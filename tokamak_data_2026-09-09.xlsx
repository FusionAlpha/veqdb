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ilesCode\VEQ_Device_Dataset\"/>
    </mc:Choice>
  </mc:AlternateContent>
  <xr:revisionPtr revIDLastSave="0" documentId="8_{548C5E27-0CF8-452A-8AB4-7A309839D0C0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装置总览" sheetId="1" r:id="rId1"/>
    <sheet name="参数证据明细" sheetId="2" r:id="rId2"/>
    <sheet name="来源文献" sheetId="3" r:id="rId3"/>
    <sheet name="缺失与待核实" sheetId="4" r:id="rId4"/>
    <sheet name="本轮补缺与修订" sheetId="5" r:id="rId5"/>
    <sheet name="调研说明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6" l="1"/>
  <c r="B23" i="6"/>
  <c r="B22" i="6"/>
  <c r="B21" i="6"/>
  <c r="B20" i="6"/>
  <c r="B19" i="6"/>
  <c r="B18" i="6"/>
  <c r="B17" i="6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Bt补采2026-09-14</author>
  </authors>
  <commentList>
    <comment ref="H6" authorId="0" shapeId="0" xr:uid="{00000000-0006-0000-0000-000001000000}">
      <text>
        <r>
          <rPr>
            <sz val="11"/>
            <rFont val="Carlito"/>
          </rPr>
          <t>口径: 设计值; 另一来源(indico.triumf.ca 405/4529)写 "toroidal field &lt;6.1 T"〔IAEA FEC contribution 35557 — BEST (中国, R=3.6 m)〕</t>
        </r>
      </text>
    </comment>
    <comment ref="H7" authorId="0" shapeId="0" xr:uid="{00000000-0006-0000-0000-000002000000}">
      <text>
        <r>
          <rPr>
            <sz val="11"/>
            <rFont val="Carlito"/>
          </rPr>
          <t>设计值(等离子体中心)〔blanketfirst-wall-challenges-and-required-rampd-on-the-pathway〕</t>
        </r>
      </text>
    </comment>
    <comment ref="H8" authorId="0" shapeId="0" xr:uid="{00000000-0006-0000-0000-000003000000}">
      <text>
        <r>
          <rPr>
            <sz val="11"/>
            <rFont val="Carlito"/>
          </rPr>
          <t>原文 "2TL" 为网页 OCR/排版讹误，应为 2 T。此为 CT-6 原型（中科院物理所，R=0.45 m, a=0.092 m），勿与 CT-6B (0.75 T) 混用。〔物理学报 (Acta Physica Sinica) 29, 577 (1980) — CT-6 装置报告〕</t>
        </r>
      </text>
    </comment>
    <comment ref="H9" authorId="0" shapeId="0" xr:uid="{00000000-0006-0000-0000-000004000000}">
      <text>
        <r>
          <rPr>
            <sz val="11"/>
            <rFont val="Carlito"/>
          </rPr>
          <t>表格 TF〔S002 Gryaznevich 2005 ST综述 表格; S003 Balshaw 2012 表格〕</t>
        </r>
      </text>
    </comment>
    <comment ref="H10" authorId="0" shapeId="0" xr:uid="{00000000-0006-0000-0000-000005000000}">
      <text>
        <r>
          <rPr>
            <sz val="11"/>
            <rFont val="Carlito"/>
          </rPr>
          <t>设计/标称 Bo | CSV 并录值: 2.0 / 2.2 / 2.5 / 3.5 / ≤3.5〔S001 IAEA World Survey 2022 表格; Wesson2011_Tokamak_edition4〕</t>
        </r>
      </text>
    </comment>
    <comment ref="H11" authorId="0" shapeId="0" xr:uid="{00000000-0006-0000-0000-000006000000}">
      <text>
        <r>
          <rPr>
            <sz val="11"/>
            <rFont val="Carlito"/>
          </rPr>
          <t>文中语句〔S066〕</t>
        </r>
      </text>
    </comment>
    <comment ref="H12" authorId="0" shapeId="0" xr:uid="{00000000-0006-0000-0000-000007000000}">
      <text>
        <r>
          <rPr>
            <sz val="11"/>
            <rFont val="Carlito"/>
          </rPr>
          <t>设计/标称 Bo〔S001 IAEA World Survey 2022 表格〕</t>
        </r>
      </text>
    </comment>
    <comment ref="H13" authorId="0" shapeId="0" xr:uid="{00000000-0006-0000-0000-000008000000}">
      <text>
        <r>
          <rPr>
            <sz val="11"/>
            <rFont val="Carlito"/>
          </rPr>
          <t>设计/指标口径：磁轴 B_T0 = 0.6–0.8 T（早期参数表 R0=0.9 m, a=0.45 m；后期官方口径为大半径 0.6–0.8 m、环径比 1.4–1.8，两表不一致，引用需注明）。 | CSV 并录值: 1.2 / 0.6-0.8〔物理学报 72, 20230749 (2023) — EXL-50U 参数表(表1)〕</t>
        </r>
      </text>
    </comment>
    <comment ref="H15" authorId="0" shapeId="0" xr:uid="{00000000-0006-0000-0000-000009000000}">
      <text>
        <r>
          <rPr>
            <sz val="11"/>
            <rFont val="Carlito"/>
          </rPr>
          <t>口径: 设计值(轴上, R0=6); 同 Table 1 行重绑; 二手 FED 81 (2006) 表有 5.6 变体已记冲突〔Y. Wu (FDS Team, ASIPP), IAEA FDS Series Conceptual Design Activities〕</t>
        </r>
      </text>
    </comment>
    <comment ref="H16" authorId="0" shapeId="0" xr:uid="{00000000-0006-0000-0000-00000A000000}">
      <text>
        <r>
          <rPr>
            <sz val="11"/>
            <rFont val="Carlito"/>
          </rPr>
          <t>口径: 设计值(轴上, R0=4); IAEA FDS 系列综述 Table 1 数值行按 R0 指纹重绑列〔Y. Wu (FDS Team, ASIPP), IAEA FDS Series Conceptual Design Activities〕</t>
        </r>
      </text>
    </comment>
    <comment ref="H17" authorId="0" shapeId="0" xr:uid="{00000000-0006-0000-0000-00000B000000}">
      <text>
        <r>
          <rPr>
            <sz val="11"/>
            <rFont val="Carlito"/>
          </rPr>
          <t>口径: 设计值(轴上, 球形环 R0=1.4); 同 Table 1 行重绑〔Y. Wu (FDS Team, ASIPP), IAEA FDS Series Conceptual Design Activities〕</t>
        </r>
      </text>
    </comment>
    <comment ref="H18" authorId="0" shapeId="0" xr:uid="{00000000-0006-0000-0000-00000C000000}">
      <text>
        <r>
          <rPr>
            <sz val="11"/>
            <rFont val="Carlito"/>
          </rPr>
          <t>表格 TF〔S003 Balshaw 2012 表格〕</t>
        </r>
      </text>
    </comment>
    <comment ref="H19" authorId="0" shapeId="0" xr:uid="{00000000-0006-0000-0000-00000D000000}">
      <text>
        <r>
          <rPr>
            <sz val="11"/>
            <rFont val="Carlito"/>
          </rPr>
          <t>21.7 T 是单个经天 HTS 磁体（验证件）的峰值场，不是整机轴上环向场 B0；公司口径称"洪荒170的磁场强度将是SPARC的110%"（SPARC 12.2 T → 推断 B0≈13.4 T，低置信派生值）。洪荒170 尚在建造，无实测 B0；勿与 HH70 数值混用。〔能量奇点 (Energy Singularity) 官网博客 — 经天(Jingtian)磁体 21.7 T 纪录〕</t>
        </r>
      </text>
    </comment>
    <comment ref="H20" authorId="0" shapeId="0" xr:uid="{00000000-0006-0000-0000-00000E000000}">
      <text>
        <r>
          <rPr>
            <sz val="11"/>
            <rFont val="Carlito"/>
          </rPr>
          <t>设计值：B0 = 0.6 T @ R0 = 0.7 m（REBCO 全高温超导托卡马克，能量奇点，2024-06 首等离子体）；TF 线圈最高场设计 2.5 T。 | CSV 并录值: 0.6 / 1.02〔"Design, commissioning, and first operation of the high-temperature superconducting tokamak HH70", Fusion Eng. Des. (2025)〕</t>
        </r>
      </text>
    </comment>
    <comment ref="H21" authorId="0" shapeId="0" xr:uid="{00000000-0006-0000-0000-00000F000000}">
      <text>
        <r>
          <rPr>
            <sz val="11"/>
            <rFont val="Carlito"/>
          </rPr>
          <t>表格 TF〔S003 Balshaw 2012 表格〕</t>
        </r>
      </text>
    </comment>
    <comment ref="H22" authorId="0" shapeId="0" xr:uid="{00000000-0006-0000-0000-000010000000}">
      <text>
        <r>
          <rPr>
            <sz val="11"/>
            <rFont val="Carlito"/>
          </rPr>
          <t>表格 TF〔S003 Balshaw 2012 表格〕</t>
        </r>
      </text>
    </comment>
    <comment ref="H23" authorId="0" shapeId="0" xr:uid="{00000000-0006-0000-0000-000011000000}">
      <text>
        <r>
          <rPr>
            <sz val="11"/>
            <rFont val="Carlito"/>
          </rPr>
          <t>设计/标称 Bo | CSV 并录值: 2.8 / 1.2–1.4〔CHEN2010_thesis; S001 IAEA World Survey 2022 表格; S002 Gryaznevich 2005 ST综述 表格; S003 Balshaw 2012 表格〕</t>
        </r>
      </text>
    </comment>
    <comment ref="H24" authorId="0" shapeId="0" xr:uid="{00000000-0006-0000-0000-000012000000}">
      <text>
        <r>
          <rPr>
            <sz val="11"/>
            <rFont val="Carlito"/>
          </rPr>
          <t>设计/标称 Bo〔S001 IAEA World Survey 2022 表格〕</t>
        </r>
      </text>
    </comment>
    <comment ref="H25" authorId="0" shapeId="0" xr:uid="{00000000-0006-0000-0000-000013000000}">
      <text>
        <r>
          <rPr>
            <sz val="11"/>
            <rFont val="Carlito"/>
          </rPr>
          <t>表格 TF〔S003 Balshaw 2012 表格; Wesson2011_Tokamak_edition4〕</t>
        </r>
      </text>
    </comment>
    <comment ref="H26" authorId="0" shapeId="0" xr:uid="{00000000-0006-0000-0000-000014000000}">
      <text>
        <r>
          <rPr>
            <sz val="11"/>
            <rFont val="Carlito"/>
          </rPr>
          <t>表格 TF〔S002 Gryaznevich 2005 ST综述 表格; S003 Balshaw 2012 表格; Wesson2011_Tokamak_edition4〕</t>
        </r>
      </text>
    </comment>
    <comment ref="H27" authorId="0" shapeId="0" xr:uid="{00000000-0006-0000-0000-000015000000}">
      <text>
        <r>
          <rPr>
            <sz val="11"/>
            <rFont val="Carlito"/>
          </rPr>
          <t>表格 TF | CSV 并录值: 3 / 3.0 / 3/2.5〔S003 Balshaw 2012 表格〕</t>
        </r>
      </text>
    </comment>
    <comment ref="H28" authorId="0" shapeId="0" xr:uid="{00000000-0006-0000-0000-000016000000}">
      <text>
        <r>
          <rPr>
            <sz val="11"/>
            <rFont val="Carlito"/>
          </rPr>
          <t>设计/标称 Bo | CSV 并录值: 2 / 3 / ≈2.0〔S001 IAEA World Survey 2022 表格〕</t>
        </r>
      </text>
    </comment>
    <comment ref="H29" authorId="0" shapeId="0" xr:uid="{00000000-0006-0000-0000-000017000000}">
      <text>
        <r>
          <rPr>
            <sz val="11"/>
            <rFont val="Carlito"/>
          </rPr>
          <t>首轮实验实现值(1987); R=0.30/a=0.045 同句自洽〔OpenAlex PRELIMINARY MEASUREMENTS ON TOKAMAK KT-5〕</t>
        </r>
      </text>
    </comment>
    <comment ref="H30" authorId="0" shapeId="0" xr:uid="{00000000-0006-0000-0000-000018000000}">
      <text>
        <r>
          <rPr>
            <sz val="11"/>
            <rFont val="Carlito"/>
          </rPr>
          <t>表格 TF〔S003 Balshaw 2012 表格〕</t>
        </r>
      </text>
    </comment>
    <comment ref="H31" authorId="0" shapeId="0" xr:uid="{00000000-0006-0000-0000-000019000000}">
      <text>
        <r>
          <rPr>
            <sz val="11"/>
            <rFont val="Carlito"/>
          </rPr>
          <t>口径: 设计值(轴上 B_T0); Startorus Fusion(新奥)负三角形度球形托卡马克; IAEA 稿转述 R0=0.87 与调研行指纹一致〔startorus.com/planning; G. Wang et al., NTST IAEA FEC 2025〕</t>
        </r>
      </text>
    </comment>
    <comment ref="H32" authorId="0" shapeId="0" xr:uid="{00000000-0006-0000-0000-00001A000000}">
      <text>
        <r>
          <rPr>
            <sz val="11"/>
            <rFont val="Carlito"/>
          </rPr>
          <t>设计/标称 Bo | CSV 并录值: 0.15 / 0.08/0.15〔S001 IAEA World Survey 2022 表格〕</t>
        </r>
      </text>
    </comment>
    <comment ref="H33" authorId="0" shapeId="0" xr:uid="{00000000-0006-0000-0000-00001B000000}">
      <text>
        <r>
          <rPr>
            <sz val="11"/>
            <rFont val="Carlito"/>
          </rPr>
          <t>运行实现值：磁轴处环向场 0.72 T。勿与 SUNIST-1 混用。 | CSV 并录值: 1.0 / 0.72〔星环聚能 (Startorus) — SUNIST-2 运行进展公告〕</t>
        </r>
      </text>
    </comment>
    <comment ref="H34" authorId="0" shapeId="0" xr:uid="{00000000-0006-0000-0000-00001C000000}">
      <text>
        <r>
          <rPr>
            <sz val="11"/>
            <rFont val="Carlito"/>
          </rPr>
          <t>FIRST(Formosa Integrated Research Spherical Tokamak, 台湾)2025 设计点 B=0.8T; 此前推荐 0.1-0.5T 为早期设计/运行范围(NCKU CAPST)——两口径并存, 推荐取最新设计点; 同摘要 R/a/κ/δ 与 xlsx 逐项一致; 摘要未给 Ip(缺失字段维持) | CSV 并录值: 0.8 / 0.1-0.5〔APS DPP 存档 · 2025/bp13/123 (FIRST 形态平衡与稳定性摘要, S019)〕</t>
        </r>
      </text>
    </comment>
    <comment ref="H35" authorId="0" shapeId="0" xr:uid="{00000000-0006-0000-0000-00001D000000}">
      <text>
        <r>
          <rPr>
            <sz val="11"/>
            <rFont val="Carlito"/>
          </rPr>
          <t>口径: 设计值(等离子体轴上环向场 11 T); 同文明确峰值 23 T 为 TF 线圈处最大场 | CSV 并录值: 11 / 23〔IAEA TCM paper ftp2_14 — A-SSTR2 operating parameters (Rp=6.2m, ap=1.5m, Ip=12MA)〕</t>
        </r>
      </text>
    </comment>
    <comment ref="H36" authorId="0" shapeId="0" xr:uid="{00000000-0006-0000-0000-00001E000000}">
      <text>
        <r>
          <rPr>
            <sz val="11"/>
            <rFont val="Carlito"/>
          </rPr>
          <t>口径: 运行/装置场(等离子体中心 B~0.1 kG, Rp~2cm=调研行 R约0.02 指纹); 名古屋大学; 后继 TOKASTAR-2 0.1T 为另一装置〔K. Yamazaki et al., Plasma and Fusion Research SERIES Vol.8 (2009) 1044〕</t>
        </r>
      </text>
    </comment>
    <comment ref="H37" authorId="0" shapeId="0" xr:uid="{00000000-0006-0000-0000-00001F000000}">
      <text>
        <r>
          <rPr>
            <sz val="11"/>
            <rFont val="Carlito"/>
          </rPr>
          <t>文中语句〔S029〕</t>
        </r>
      </text>
    </comment>
    <comment ref="H38" authorId="0" shapeId="0" xr:uid="{00000000-0006-0000-0000-000020000000}">
      <text>
        <r>
          <rPr>
            <sz val="11"/>
            <rFont val="Carlito"/>
          </rPr>
          <t>口径: 设计值(轴上); IPB Table 4-II 行(R0=5.2/a=1.38/Ip=9.8 迭代); 调研行 R=5.4 为另一迭代, 同设计系值并注〔ITER Physics Basis Table 4-II; K. Tobita et al. JAERI CREST〕</t>
        </r>
      </text>
    </comment>
    <comment ref="H39" authorId="0" shapeId="0" xr:uid="{00000000-0006-0000-0000-000021000000}">
      <text>
        <r>
          <rPr>
            <sz val="11"/>
            <rFont val="Carlito"/>
          </rPr>
          <t>Balshaw 表列：R=0.40 m, a=0.10 m, TF=0.12 T, Ip≈1 kA；60 Hz 双极性 AC 运行。CSTN 系列为日本名古屋大学装置（Current Sustaining Torus of Nagoya），非巴西装置。〔N.N. Balshaw, "Table of Tokamaks" (April 2012)〕</t>
        </r>
      </text>
    </comment>
    <comment ref="H40" authorId="0" shapeId="0" xr:uid="{00000000-0006-0000-0000-000022000000}">
      <text>
        <r>
          <rPr>
            <sz val="11"/>
            <rFont val="Carlito"/>
          </rPr>
          <t>列序：R=0.30 m, a=0.04 m, TF=0.2 T, Ip≈0.035 MA(289MHz 加热)；1981–1982 运行。〔N.N. Balshaw, "Table of Tokamaks" (April 2012)〕</t>
        </r>
      </text>
    </comment>
    <comment ref="H41" authorId="0" shapeId="0" xr:uid="{00000000-0006-0000-0000-000023000000}">
      <text>
        <r>
          <rPr>
            <sz val="11"/>
            <rFont val="Carlito"/>
          </rPr>
          <t>表格 TF〔S003 Balshaw 2012 表格〕</t>
        </r>
      </text>
    </comment>
    <comment ref="H42" authorId="0" shapeId="0" xr:uid="{00000000-0006-0000-0000-000024000000}">
      <text>
        <r>
          <rPr>
            <sz val="11"/>
            <rFont val="Carlito"/>
          </rPr>
          <t>R=0.40 m, a=0.10 m, TF=0.875 T, Ip≈1 kA；实现 60 Hz AC 运行。〔N.N. Balshaw, "Table of Tokamaks" (April 2012)〕</t>
        </r>
      </text>
    </comment>
    <comment ref="H43" authorId="0" shapeId="0" xr:uid="{00000000-0006-0000-0000-000025000000}">
      <text>
        <r>
          <rPr>
            <sz val="11"/>
            <rFont val="Carlito"/>
          </rPr>
          <t>表格 TF〔S003 Balshaw 2012 表格〕</t>
        </r>
      </text>
    </comment>
    <comment ref="H44" authorId="0" shapeId="0" xr:uid="{00000000-0006-0000-0000-000026000000}">
      <text>
        <r>
          <rPr>
            <sz val="11"/>
            <rFont val="Carlito"/>
          </rPr>
          <t>口径: 设计值上限(BT up to 8.5 T)〔INIS 40091798 — The Fusion Advanced Studies Torus (FAST), Italy〕</t>
        </r>
      </text>
    </comment>
    <comment ref="H45" authorId="0" shapeId="0" xr:uid="{00000000-0006-0000-0000-000027000000}">
      <text>
        <r>
          <rPr>
            <sz val="11"/>
            <rFont val="Carlito"/>
          </rPr>
          <t>口径: 设计值上限(BT up to 8.5 T)〔INIS 40091798 — The Fusion Advanced Studies Torus (FAST), Italy〕</t>
        </r>
      </text>
    </comment>
    <comment ref="H46" authorId="0" shapeId="0" xr:uid="{00000000-0006-0000-0000-000028000000}">
      <text>
        <r>
          <rPr>
            <sz val="11"/>
            <rFont val="Carlito"/>
          </rPr>
          <t>11 T 为 Nb3Sn 超导 TF 线圈最大场（设计值）；GNOME 为京都大学生物质-聚变混合反应堆概念研究（R=5.2 m, 320 MW），轴上 B0 未单独给出，非实验装置。〔Ibano et al., Fusion Eng. Des. 86 (2011)（SOFT 2010, P2-170）— GNOME 生物质-聚变混合堆概念〕</t>
        </r>
      </text>
    </comment>
    <comment ref="H47" authorId="0" shapeId="0" xr:uid="{00000000-0006-0000-0000-000029000000}">
      <text>
        <r>
          <rPr>
            <sz val="11"/>
            <rFont val="Carlito"/>
          </rPr>
          <t>设计/标称 Bo〔S001 IAEA World Survey 2022 表格; S002 Gryaznevich 2005 ST综述 表格〕</t>
        </r>
      </text>
    </comment>
    <comment ref="H48" authorId="0" shapeId="0" xr:uid="{00000000-0006-0000-0000-00002A000000}">
      <text>
        <r>
          <rPr>
            <sz val="11"/>
            <rFont val="Carlito"/>
          </rPr>
          <t>表格 Bt〔S002 Gryaznevich 2005 ST综述 表格〕</t>
        </r>
      </text>
    </comment>
    <comment ref="H49" authorId="0" shapeId="0" xr:uid="{00000000-0006-0000-0000-00002B000000}">
      <text>
        <r>
          <rPr>
            <sz val="11"/>
            <rFont val="Carlito"/>
          </rPr>
          <t>设计/标称 Bo | CSV 并录值: 0.5 / 0.28〔S001 IAEA World Survey 2022 表格〕</t>
        </r>
      </text>
    </comment>
    <comment ref="H50" authorId="0" shapeId="0" xr:uid="{00000000-0006-0000-0000-00002C000000}">
      <text>
        <r>
          <rPr>
            <sz val="11"/>
            <rFont val="Carlito"/>
          </rPr>
          <t>参数表值(CHEN2010_thesis.md 表4.1 “Tokamak, ITER 和 DEMO 中 α 粒子参数”, B(T) 列=轴上环向场)〔CHEN2010_thesis〕</t>
        </r>
      </text>
    </comment>
    <comment ref="H51" authorId="0" shapeId="0" xr:uid="{00000000-0006-0000-0000-00002D000000}">
      <text>
        <r>
          <rPr>
            <sz val="11"/>
            <rFont val="Carlito"/>
          </rPr>
          <t>表格 TF〔S003 Balshaw 2012 表格; Wesson2011_Tokamak_edition4〕</t>
        </r>
      </text>
    </comment>
    <comment ref="H52" authorId="0" shapeId="0" xr:uid="{00000000-0006-0000-0000-00002E000000}">
      <text>
        <r>
          <rPr>
            <sz val="11"/>
            <rFont val="Carlito"/>
          </rPr>
          <t>参数表值(Wesson Table 11.23 “Tokamak parameters”, Toroidal field 列)〔Wesson2011_Tokamak_edition4〕</t>
        </r>
      </text>
    </comment>
    <comment ref="H53" authorId="0" shapeId="0" xr:uid="{00000000-0006-0000-0000-00002F000000}">
      <text>
        <r>
          <rPr>
            <sz val="11"/>
            <rFont val="Carlito"/>
          </rPr>
          <t>文中语句 | CSV 并录值: 1.0 / 1.3〔S023〕</t>
        </r>
      </text>
    </comment>
    <comment ref="H54" authorId="0" shapeId="0" xr:uid="{00000000-0006-0000-0000-000030000000}">
      <text>
        <r>
          <rPr>
            <sz val="11"/>
            <rFont val="Carlito"/>
          </rPr>
          <t>表格 TF | CSV 并录值: 2.6 / 3.0〔S003 Balshaw 2012 表格〕</t>
        </r>
      </text>
    </comment>
    <comment ref="H55" authorId="0" shapeId="0" xr:uid="{00000000-0006-0000-0000-000031000000}">
      <text>
        <r>
          <rPr>
            <sz val="11"/>
            <rFont val="Carlito"/>
          </rPr>
          <t>列序：R=0.93 m, a=0.23 m, TF=3 T, Ip=1.5 MA；NIFS 资料亦称"トロイダル磁場が3テスラ"（双源一致，高置信）；勿与 JIPP T-II 混用。〔N.N. Balshaw, "Table of Tokamaks" (April 2012)〕</t>
        </r>
      </text>
    </comment>
    <comment ref="H56" authorId="0" shapeId="0" xr:uid="{00000000-0006-0000-0000-000032000000}">
      <text>
        <r>
          <rPr>
            <sz val="11"/>
            <rFont val="Carlito"/>
          </rPr>
          <t>S001 §2.32 表38; 与 S003 5.5T 并存, S003 值疑为线圈峰值/早期设计值 | CSV 并录值: 5.5 / 2.25〔28_Honda_2021_Development_of_a_novel_integrated_model_GOTRESS; S001 IAEA World Survey 2022 表38; S001 IAEA World Survey 2022 表格〕</t>
        </r>
      </text>
    </comment>
    <comment ref="H57" authorId="0" shapeId="0" xr:uid="{00000000-0006-0000-0000-000033000000}">
      <text>
        <r>
          <rPr>
            <sz val="11"/>
            <rFont val="Carlito"/>
          </rPr>
          <t>表格 TF | CSV 并录值: 2.0 / 4.2〔S003 Balshaw 2012 表格; Wesson2011_Tokamak_edition4〕</t>
        </r>
      </text>
    </comment>
    <comment ref="H58" authorId="0" shapeId="0" xr:uid="{00000000-0006-0000-0000-000034000000}">
      <text>
        <r>
          <rPr>
            <sz val="11"/>
            <rFont val="Carlito"/>
          </rPr>
          <t>参数表值(Wesson Table 11.23 “Tokamak parameters”, Toroidal field 列)〔Wesson2011_Tokamak_edition4〕</t>
        </r>
      </text>
    </comment>
    <comment ref="H59" authorId="0" shapeId="0" xr:uid="{00000000-0006-0000-0000-000035000000}">
      <text>
        <r>
          <rPr>
            <sz val="11"/>
            <rFont val="Carlito"/>
          </rPr>
          <t>表格 Bt〔S002 Gryaznevich 2005 ST综述 表格〕</t>
        </r>
      </text>
    </comment>
    <comment ref="H60" authorId="0" shapeId="0" xr:uid="{00000000-0006-0000-0000-000036000000}">
      <text>
        <r>
          <rPr>
            <sz val="11"/>
            <rFont val="Carlito"/>
          </rPr>
          <t>表格 TF〔S003 Balshaw 2012 表格〕</t>
        </r>
      </text>
    </comment>
    <comment ref="H61" authorId="0" shapeId="0" xr:uid="{00000000-0006-0000-0000-000037000000}">
      <text>
        <r>
          <rPr>
            <sz val="11"/>
            <rFont val="Carlito"/>
          </rPr>
          <t>表格 Bt〔S002 Gryaznevich 2005 ST综述 表格〕</t>
        </r>
      </text>
    </comment>
    <comment ref="H62" authorId="0" shapeId="0" xr:uid="{00000000-0006-0000-0000-000038000000}">
      <text>
        <r>
          <rPr>
            <sz val="11"/>
            <rFont val="Carlito"/>
          </rPr>
          <t>设计/标称 Bo | CSV 并录值: 0.3 / 0.091〔S001 IAEA World Survey 2022 表格〕</t>
        </r>
      </text>
    </comment>
    <comment ref="H63" authorId="0" shapeId="0" xr:uid="{00000000-0006-0000-0000-000039000000}">
      <text>
        <r>
          <rPr>
            <sz val="11"/>
            <rFont val="Carlito"/>
          </rPr>
          <t>设计/标称 Bo〔S001 IAEA World Survey 2022 表格〕</t>
        </r>
      </text>
    </comment>
    <comment ref="H64" authorId="0" shapeId="0" xr:uid="{00000000-0006-0000-0000-00003A000000}">
      <text>
        <r>
          <rPr>
            <sz val="11"/>
            <rFont val="Carlito"/>
          </rPr>
          <t>设计/标称 Bo〔S001 IAEA World Survey 2022 表格〕</t>
        </r>
      </text>
    </comment>
    <comment ref="H65" authorId="0" shapeId="0" xr:uid="{00000000-0006-0000-0000-00003B000000}">
      <text>
        <r>
          <rPr>
            <sz val="11"/>
            <rFont val="Carlito"/>
          </rPr>
          <t>口径: 最大场 16.4 T(TF 线圈/导体处最大场, 即线圈峰值); 未检索到轴上 B0 明确数值〔Conceptual design of SlimCS (Fusion Engineering and Design)〕</t>
        </r>
      </text>
    </comment>
    <comment ref="H66" authorId="0" shapeId="0" xr:uid="{00000000-0006-0000-0000-00003C000000}">
      <text>
        <r>
          <rPr>
            <sz val="11"/>
            <rFont val="Carlito"/>
          </rPr>
          <t>同一表第3列=SSTR线圈峰值场B_m=16.5 T；正文line2397亦称 'the Japanese SSTR design (Seki et al., 1991) has a 16-T coil'。身份=JAERI SSTR，非A-SSTR/A-SSTR2 | CSV 并录值: 9.0 / 16.5〔Sheffield1994_RevModPhys.66.1015〕</t>
        </r>
      </text>
    </comment>
    <comment ref="H67" authorId="0" shapeId="0" xr:uid="{00000000-0006-0000-0000-00003D000000}">
      <text>
        <r>
          <rPr>
            <sz val="11"/>
            <rFont val="Carlito"/>
          </rPr>
          <t>表格 TF〔S003 Balshaw 2012 表格〕</t>
        </r>
      </text>
    </comment>
    <comment ref="H68" authorId="0" shapeId="0" xr:uid="{00000000-0006-0000-0000-00003E000000}">
      <text>
        <r>
          <rPr>
            <sz val="11"/>
            <rFont val="Carlito"/>
          </rPr>
          <t>表格 TF | CSV 并录值: 4.4 / 0.44〔S003 Balshaw 2012 表格〕</t>
        </r>
      </text>
    </comment>
    <comment ref="H69" authorId="0" shapeId="0" xr:uid="{00000000-0006-0000-0000-00003F000000}">
      <text>
        <r>
          <rPr>
            <sz val="11"/>
            <rFont val="Carlito"/>
          </rPr>
          <t>表格 TF〔S003 Balshaw 2012 表格〕</t>
        </r>
      </text>
    </comment>
    <comment ref="H70" authorId="0" shapeId="0" xr:uid="{00000000-0006-0000-0000-000040000000}">
      <text>
        <r>
          <rPr>
            <sz val="11"/>
            <rFont val="Carlito"/>
          </rPr>
          <t>表格 TF | CSV 并录值: 1.0 / 1.55〔S003 Balshaw 2012 表格〕</t>
        </r>
      </text>
    </comment>
    <comment ref="H71" authorId="0" shapeId="0" xr:uid="{00000000-0006-0000-0000-000041000000}">
      <text>
        <r>
          <rPr>
            <sz val="11"/>
            <rFont val="Carlito"/>
          </rPr>
          <t>口径: 设计/标称 Bo; T1 IAEA World Survey 2022 §2.31 TOKASTAR-2 Table 37 (R0=0.1 m); 调研行 TOKASTAR 即 TOKASTAR-2 (κ≈2.0 指纹, 2022 清单无其他 TOKASTAR)</t>
        </r>
      </text>
    </comment>
    <comment ref="H72" authorId="0" shapeId="0" xr:uid="{00000000-0006-0000-0000-000042000000}">
      <text>
        <r>
          <rPr>
            <sz val="11"/>
            <rFont val="Carlito"/>
          </rPr>
          <t>设计/标称 Bo〔S001 IAEA World Survey 2022 表格〕</t>
        </r>
      </text>
    </comment>
    <comment ref="H74" authorId="0" shapeId="0" xr:uid="{00000000-0006-0000-0000-000043000000}">
      <text>
        <r>
          <rPr>
            <sz val="11"/>
            <rFont val="Carlito"/>
          </rPr>
          <t>表格 TF〔S003 Balshaw 2012 表格〕</t>
        </r>
      </text>
    </comment>
    <comment ref="H75" authorId="0" shapeId="0" xr:uid="{00000000-0006-0000-0000-000044000000}">
      <text>
        <r>
          <rPr>
            <sz val="11"/>
            <rFont val="Carlito"/>
          </rPr>
          <t>表格 TF〔S003 Balshaw 2012 表格〕</t>
        </r>
      </text>
    </comment>
    <comment ref="H76" authorId="0" shapeId="0" xr:uid="{00000000-0006-0000-0000-000045000000}">
      <text>
        <r>
          <rPr>
            <sz val="11"/>
            <rFont val="Carlito"/>
          </rPr>
          <t>表格 TF〔S003 Balshaw 2012 表格〕</t>
        </r>
      </text>
    </comment>
    <comment ref="H77" authorId="0" shapeId="0" xr:uid="{00000000-0006-0000-0000-000046000000}">
      <text>
        <r>
          <rPr>
            <sz val="11"/>
            <rFont val="Carlito"/>
          </rPr>
          <t>九州大学 Nb3Sn 超导装置；8 T 为线圈/设计最大场（峰值口径），常规运行约 6 T 级。〔IAEA TECDOC-1160 (超导托卡马克) / k.sina.cn 武松涛报道〕</t>
        </r>
      </text>
    </comment>
    <comment ref="H78" authorId="0" shapeId="0" xr:uid="{00000000-0006-0000-0000-000047000000}">
      <text>
        <r>
          <rPr>
            <sz val="11"/>
            <rFont val="Carlito"/>
          </rPr>
          <t>口径: 运行实现(低场合并实验导向场 Bt=Btext+Bt(pin), R=0.2/a=0.14); JPFRS 1999 Vol.2 一手; 注意该文 Bp=0.05T 为极向场勿混; conf 0.55</t>
        </r>
      </text>
    </comment>
    <comment ref="H79" authorId="0" shapeId="0" xr:uid="{00000000-0006-0000-0000-000048000000}">
      <text>
        <r>
          <rPr>
            <sz val="11"/>
            <rFont val="Carlito"/>
          </rPr>
          <t>口径: 二手设计/建成值 3-5 kG (R=0.4-0.55, Ip~300kA, 东京大学); Katsurai ST Workshop 摘要; conf 0.4</t>
        </r>
      </text>
    </comment>
    <comment ref="H80" authorId="0" shapeId="0" xr:uid="{00000000-0006-0000-0000-000049000000}">
      <text>
        <r>
          <rPr>
            <sz val="11"/>
            <rFont val="Carlito"/>
          </rPr>
          <t>设计/标称 Bo | CSV 并录值: 0.3 / 0.3/0.4〔S001 IAEA World Survey 2022 表格〕</t>
        </r>
      </text>
    </comment>
    <comment ref="H81" authorId="0" shapeId="0" xr:uid="{00000000-0006-0000-0000-00004A000000}">
      <text>
        <r>
          <rPr>
            <sz val="11"/>
            <rFont val="Carlito"/>
          </rPr>
          <t>Table C.2 'MFE experiments, operational or construction'，表头 R(m)|a(m)[κ]|Pulse length(s)|B_t(T)[Bp(T)]|I(MA)|... → TST-M(Japan) B_t=0.3 T, R=0.35 m, a=0.25 m, I=0.1 MA。注意≠TST-2(该表另列 TST-2 0.4 T)〔Committee1999_Opportunities_In_The_Fusion_Energy_Sciences_Program〕</t>
        </r>
      </text>
    </comment>
    <comment ref="H82" authorId="0" shapeId="0" xr:uid="{00000000-0006-0000-0000-00004B000000}">
      <text>
        <r>
          <rPr>
            <sz val="11"/>
            <rFont val="Carlito"/>
          </rPr>
          <t>设计/标称 Bo | CSV 并录值: 0.1 / 0.25〔S001 IAEA World Survey 2022 表格〕</t>
        </r>
      </text>
    </comment>
    <comment ref="H83" authorId="0" shapeId="0" xr:uid="{00000000-0006-0000-0000-00004C000000}">
      <text>
        <r>
          <rPr>
            <sz val="11"/>
            <rFont val="Carlito"/>
          </rPr>
          <t>R=0.28, a/Ip 列原文为"?"〔S003 Balshaw 2012 表格(人工直读补漏)〕</t>
        </r>
      </text>
    </comment>
    <comment ref="H84" authorId="0" shapeId="0" xr:uid="{00000000-0006-0000-0000-00004D000000}">
      <text>
        <r>
          <rPr>
            <sz val="11"/>
            <rFont val="Carlito"/>
          </rPr>
          <t>表格 TF〔S003 Balshaw 2012 表格〕</t>
        </r>
      </text>
    </comment>
    <comment ref="H85" authorId="0" shapeId="0" xr:uid="{00000000-0006-0000-0000-00004E000000}">
      <text>
        <r>
          <rPr>
            <sz val="11"/>
            <rFont val="Carlito"/>
          </rPr>
          <t>表格 TF〔S002 Gryaznevich 2005 ST综述 表格; S003 Balshaw 2012 表格〕</t>
        </r>
      </text>
    </comment>
    <comment ref="H86" authorId="0" shapeId="0" xr:uid="{00000000-0006-0000-0000-00004F000000}">
      <text>
        <r>
          <rPr>
            <sz val="11"/>
            <rFont val="Carlito"/>
          </rPr>
          <t>文中语句〔S029〕</t>
        </r>
      </text>
    </comment>
    <comment ref="H87" authorId="0" shapeId="0" xr:uid="{00000000-0006-0000-0000-000050000000}">
      <text>
        <r>
          <rPr>
            <sz val="11"/>
            <rFont val="Carlito"/>
          </rPr>
          <t>文中语句〔S029〕</t>
        </r>
      </text>
    </comment>
    <comment ref="H88" authorId="0" shapeId="0" xr:uid="{00000000-0006-0000-0000-000051000000}">
      <text>
        <r>
          <rPr>
            <sz val="11"/>
            <rFont val="Carlito"/>
          </rPr>
          <t>设计值(等离子体中心 / TF 峰值)〔05_Kim_2015_Design_concept_of_K-DEMO_for_near-term_implementation〕</t>
        </r>
      </text>
    </comment>
    <comment ref="H89" authorId="0" shapeId="0" xr:uid="{00000000-0006-0000-0000-000052000000}">
      <text>
        <r>
          <rPr>
            <sz val="11"/>
            <rFont val="Carlito"/>
          </rPr>
          <t>设计值(等离子体中心 / TF 峰值)〔05_Kim_2015_Design_concept_of_K-DEMO_for_near-term_implementation〕</t>
        </r>
      </text>
    </comment>
    <comment ref="H90" authorId="0" shapeId="0" xr:uid="{00000000-0006-0000-0000-000053000000}">
      <text>
        <r>
          <rPr>
            <sz val="11"/>
            <rFont val="Carlito"/>
          </rPr>
          <t>表格 TF〔S002 Gryaznevich 2005 ST综述 表格; S003 Balshaw 2012 表格〕</t>
        </r>
      </text>
    </comment>
    <comment ref="H91" authorId="0" shapeId="0" xr:uid="{00000000-0006-0000-0000-000054000000}">
      <text>
        <r>
          <rPr>
            <sz val="11"/>
            <rFont val="Carlito"/>
          </rPr>
          <t>设计/标称 Bo | CSV 并录值: 3.5 / 1.96 / ≤3.5〔S001 IAEA World Survey 2022 表格; Wesson2011_Tokamak_edition4〕</t>
        </r>
      </text>
    </comment>
    <comment ref="H92" authorId="0" shapeId="0" xr:uid="{00000000-0006-0000-0000-000055000000}">
      <text>
        <r>
          <rPr>
            <sz val="11"/>
            <rFont val="Carlito"/>
          </rPr>
          <t>表格 TF〔S002 Gryaznevich 2005 ST综述 表格; S003 Balshaw 2012 表格〕</t>
        </r>
      </text>
    </comment>
    <comment ref="H93" authorId="0" shapeId="0" xr:uid="{00000000-0006-0000-0000-000056000000}">
      <text>
        <r>
          <rPr>
            <sz val="11"/>
            <rFont val="Carlito"/>
          </rPr>
          <t>满场设计 3T; 同篇 5MW HiBS 模式运行点为 2T/200kA(分口径)〔OpenAlex 10.1109/fusion.1995.534512; OpenAlex 10.1109/plasma.1995.531708; OpenAlex 10.13182/fst95-a11947123〕</t>
        </r>
      </text>
    </comment>
    <comment ref="H94" authorId="0" shapeId="0" xr:uid="{00000000-0006-0000-0000-000057000000}">
      <text>
        <r>
          <rPr>
            <sz val="11"/>
            <rFont val="Carlito"/>
          </rPr>
          <t>设计/标称 Bo〔S001 IAEA World Survey 2022 表格〕</t>
        </r>
      </text>
    </comment>
    <comment ref="H95" authorId="0" shapeId="0" xr:uid="{00000000-0006-0000-0000-000058000000}">
      <text>
        <r>
          <rPr>
            <sz val="11"/>
            <rFont val="Carlito"/>
          </rPr>
          <t>表格 TF | CSV 并录值: 0.5 / 1.5〔S003 Balshaw 2012 表格; S060〕</t>
        </r>
      </text>
    </comment>
    <comment ref="H96" authorId="0" shapeId="0" xr:uid="{00000000-0006-0000-0000-000059000000}">
      <text>
        <r>
          <rPr>
            <sz val="11"/>
            <rFont val="Carlito"/>
          </rPr>
          <t>设计/标称 Bo〔S001 IAEA World Survey 2022 表格〕</t>
        </r>
      </text>
    </comment>
    <comment ref="H97" authorId="0" shapeId="0" xr:uid="{00000000-0006-0000-0000-00005A000000}">
      <text>
        <r>
          <rPr>
            <sz val="11"/>
            <rFont val="Carlito"/>
          </rPr>
          <t>文中语句〔S032〕</t>
        </r>
      </text>
    </comment>
    <comment ref="H98" authorId="0" shapeId="0" xr:uid="{00000000-0006-0000-0000-00005B000000}">
      <text>
        <r>
          <rPr>
            <sz val="11"/>
            <rFont val="Carlito"/>
          </rPr>
          <t>表格 TF〔S002 Gryaznevich 2005 ST综述 表格; S003 Balshaw 2012 表格〕</t>
        </r>
      </text>
    </comment>
    <comment ref="H99" authorId="0" shapeId="0" xr:uid="{00000000-0006-0000-0000-00005C000000}">
      <text>
        <r>
          <rPr>
            <sz val="11"/>
            <rFont val="Carlito"/>
          </rPr>
          <t>设计/标称 Bo〔S001 IAEA World Survey 2022 表格〕</t>
        </r>
      </text>
    </comment>
    <comment ref="H100" authorId="0" shapeId="0" xr:uid="{00000000-0006-0000-0000-00005D000000}">
      <text>
        <r>
          <rPr>
            <sz val="11"/>
            <rFont val="Carlito"/>
          </rPr>
          <t>口径: T1 官方表 B0=1.5 T (max 3 T), 同表 R1.1/a0.2/Ip0.1MA〔S001 Table 26 (SST-1, IPR India) — 本地 md: papers/聚变实验与装置进展/IAEA装置调研报告_WorldSurvey_WFO/01_IAEA_2022_World_Survey_of_Fusion_Devices_2022_IAEA.md〕</t>
        </r>
      </text>
    </comment>
    <comment ref="H101" authorId="0" shapeId="0" xr:uid="{00000000-0006-0000-0000-00005E000000}">
      <text>
        <r>
          <rPr>
            <sz val="11"/>
            <rFont val="Carlito"/>
          </rPr>
          <t>口径: T1 官方表 B0=1.5 T (max 3 T), 同表 R1.1/a0.2/Ip0.1MA〔S001 Table 26 (SST-1, IPR India) — 本地 md: papers/聚变实验与装置进展/IAEA装置调研报告_WorldSurvey_WFO/01_IAEA_2022_World_Survey_of_Fusion_Devices_2022_IAEA.md〕</t>
        </r>
      </text>
    </comment>
    <comment ref="H102" authorId="0" shapeId="0" xr:uid="{00000000-0006-0000-0000-00005F000000}">
      <text>
        <r>
          <rPr>
            <sz val="11"/>
            <rFont val="Carlito"/>
          </rPr>
          <t>口径: 设计值未建成(Planned 2027?); 大设计点 Bt=5.42T@R=4.42 与调研行指纹吻合; 并录早期变体 4.6T(R0=4.4/a=1.14/A=3.86/Ip=11MA) 与紧凑ST变体 2.8T(R=1.25, 另一路线); conf 0.6</t>
        </r>
      </text>
    </comment>
    <comment ref="H103" authorId="0" shapeId="0" xr:uid="{00000000-0006-0000-0000-000060000000}">
      <text>
        <r>
          <rPr>
            <sz val="11"/>
            <rFont val="Carlito"/>
          </rPr>
          <t>泰国 TT-1 运行参数：Ip 100 kA、B_t 0.9 T、平顶 123 ms。〔SPC2025 (KKU) keynote - Thailand Tokamak-1〕</t>
        </r>
      </text>
    </comment>
    <comment ref="H104" authorId="0" shapeId="0" xr:uid="{00000000-0006-0000-0000-000061000000}">
      <text>
        <r>
          <rPr>
            <sz val="11"/>
            <rFont val="Carlito"/>
          </rPr>
          <t>Wikipedia 参数表对 GLAST-I/GLAST-II 合并给出 0.1–0.4 T，未区分两台装置（GLAST-I 为钢中央筒、GLAST-II 为玻璃真空室）。GLAST-III 为 0.2 T central / 0.1 T toroidal，勿混用。巴基斯坦 PINSTECH/GCU 小型球形托卡马克。〔Wikipedia: GLAST (tokamak) — 参数表（GLAST-I &amp; GLAST-II 合并列）〕</t>
        </r>
      </text>
    </comment>
    <comment ref="H105" authorId="0" shapeId="0" xr:uid="{00000000-0006-0000-0000-000062000000}">
      <text>
        <r>
          <rPr>
            <sz val="11"/>
            <rFont val="Carlito"/>
          </rPr>
          <t>GLAST-II 原始论文口径：最大可达环向场约 0.1 T。冲突提示：早前一轮检索曾得 "2004 年 Plasma Devices and Operations 设计值 0.25 T" 与 "2016 年升级后 0.57 T"（称 improved the maximum toroidal field from 0.25 T to 0.57 T），本轮多组查询均无法再定位原文，且与论文 0.1 T 口径直接矛盾；0.57 T 可能与后继 MT-I/MT-II 系列混淆（MT-II TF 设计 0.3 T）。Wikipedia 对 GLAST-I/II 合并给 0.1–0.4 T。引用 0.25/0.57 T 前必须核实原文。〔Hussain et al., "Initial Plasma Formation in the GLAST-II Spherical Tokamak", J. Fusion Energy 35, 529–537 (2016) — 图注页〕</t>
        </r>
      </text>
    </comment>
    <comment ref="H106" authorId="0" shapeId="0" xr:uid="{00000000-0006-0000-0000-000063000000}">
      <text>
        <r>
          <rPr>
            <sz val="11"/>
            <rFont val="Carlito"/>
          </rPr>
          <t>设计/标称 Bo〔S001 IAEA World Survey 2022 表格〕</t>
        </r>
      </text>
    </comment>
    <comment ref="H107" authorId="0" shapeId="0" xr:uid="{00000000-0006-0000-0000-000064000000}">
      <text>
        <r>
          <rPr>
            <sz val="11"/>
            <rFont val="Carlito"/>
          </rPr>
          <t>文中语句〔S220〕</t>
        </r>
      </text>
    </comment>
    <comment ref="H108" authorId="0" shapeId="0" xr:uid="{00000000-0006-0000-0000-000065000000}">
      <text>
        <r>
          <rPr>
            <sz val="11"/>
            <rFont val="Carlito"/>
          </rPr>
          <t>巴基斯坦 MT-II（JSON 归属巴基斯坦正确）；0.3 T 为等离子体区环向场运行值。引句为搜索片段转述。〔Fusion Science and Technology (2023) - Pakistan MT-II tokamak〕</t>
        </r>
      </text>
    </comment>
    <comment ref="H109" authorId="0" shapeId="0" xr:uid="{00000000-0006-0000-0000-000066000000}">
      <text>
        <r>
          <rPr>
            <sz val="11"/>
            <rFont val="Carlito"/>
          </rPr>
          <t>设计/标称 Bo〔S001 IAEA World Survey 2022 表格; S223〕</t>
        </r>
      </text>
    </comment>
    <comment ref="H110" authorId="0" shapeId="0" xr:uid="{00000000-0006-0000-0000-000067000000}">
      <text>
        <r>
          <rPr>
            <sz val="11"/>
            <rFont val="Carlito"/>
          </rPr>
          <t>表格 Bt〔S002 Gryaznevich 2005 ST综述 表格〕</t>
        </r>
      </text>
    </comment>
    <comment ref="H111" authorId="0" shapeId="0" xr:uid="{00000000-0006-0000-0000-000068000000}">
      <text>
        <r>
          <rPr>
            <sz val="11"/>
            <rFont val="Carlito"/>
          </rPr>
          <t>设计/标称 Bo〔S001 IAEA World Survey 2022 表格; S003 Balshaw 2012 表格〕</t>
        </r>
      </text>
    </comment>
    <comment ref="H112" authorId="0" shapeId="0" xr:uid="{00000000-0006-0000-0000-000069000000}">
      <text>
        <r>
          <rPr>
            <sz val="11"/>
            <rFont val="Carlito"/>
          </rPr>
          <t>设计/标称 Bo | CSV 并录值: 0.9 / 1.2 / 1.0/1.2〔S001 IAEA World Survey 2022 表格〕</t>
        </r>
      </text>
    </comment>
    <comment ref="H113" authorId="0" shapeId="0" xr:uid="{00000000-0006-0000-0000-00006A000000}">
      <text>
        <r>
          <rPr>
            <sz val="11"/>
            <rFont val="Carlito"/>
          </rPr>
          <t>设计/标称 Bo | CSV 并录值: 0.9 / 1.2〔S001 IAEA World Survey 2022 表格〕</t>
        </r>
      </text>
    </comment>
    <comment ref="H114" authorId="0" shapeId="0" xr:uid="{00000000-0006-0000-0000-00006B000000}">
      <text>
        <r>
          <rPr>
            <sz val="11"/>
            <rFont val="Carlito"/>
          </rPr>
          <t>设计/标称 Bo〔S001 IAEA World Survey 2022 表格; S002 Gryaznevich 2005 ST综述 表格〕</t>
        </r>
      </text>
    </comment>
    <comment ref="H115" authorId="0" shapeId="0" xr:uid="{00000000-0006-0000-0000-00006C000000}">
      <text>
        <r>
          <rPr>
            <sz val="11"/>
            <rFont val="Carlito"/>
          </rPr>
          <t>表格 TF | CSV 并录值: 2 / 1.5〔S003 Balshaw 2012 表格〕</t>
        </r>
      </text>
    </comment>
    <comment ref="H116" authorId="0" shapeId="0" xr:uid="{00000000-0006-0000-0000-00006D000000}">
      <text>
        <r>
          <rPr>
            <sz val="11"/>
            <rFont val="Carlito"/>
          </rPr>
          <t>口径: 设计值(Bt0 = 大半径处环向场)〔RG 表 — Main parameters of the steady-state DEMO-FNS plasma〕</t>
        </r>
      </text>
    </comment>
    <comment ref="H117" authorId="0" shapeId="0" xr:uid="{00000000-0006-0000-0000-00006E000000}">
      <text>
        <r>
          <rPr>
            <sz val="11"/>
            <rFont val="Carlito"/>
          </rPr>
          <t>口径: 设计值; 聚变功率 2.44 GW 与文献《Russian concept for a DEMO-S demonstration fusion power reactor》的 2.4 GW 一致〔B. Kuteev — Russian DEMO programme (IAEA DEMO 2019 meeting, NUCLEUS)〕</t>
        </r>
      </text>
    </comment>
    <comment ref="H118" authorId="0" shapeId="0" xr:uid="{00000000-0006-0000-0000-00006F000000}">
      <text>
        <r>
          <rPr>
            <sz val="11"/>
            <rFont val="Carlito"/>
          </rPr>
          <t>口径: 设计值(约 ~1.5 T); 相关 SCFNS 概念(WO2015155531A1)亦写 "B T=1.5 Tesla"〔Conceptual design requirements and solutions for MW-range fusion neutron source FNS-ST (俄罗斯)〕</t>
        </r>
      </text>
    </comment>
    <comment ref="H119" authorId="0" shapeId="0" xr:uid="{00000000-0006-0000-0000-000070000000}">
      <text>
        <r>
          <rPr>
            <sz val="11"/>
            <rFont val="Carlito"/>
          </rPr>
          <t>表格 TF〔S003 Balshaw 2012 表格〕</t>
        </r>
      </text>
    </comment>
    <comment ref="H120" authorId="0" shapeId="0" xr:uid="{00000000-0006-0000-0000-000071000000}">
      <text>
        <r>
          <rPr>
            <sz val="11"/>
            <rFont val="Carlito"/>
          </rPr>
          <t>设计/标称 Bo | CSV 并录值: 2.2 / 2.3〔S001 IAEA World Survey 2022 表格〕</t>
        </r>
      </text>
    </comment>
    <comment ref="H121" authorId="0" shapeId="0" xr:uid="{00000000-0006-0000-0000-000072000000}">
      <text>
        <r>
          <rPr>
            <sz val="11"/>
            <rFont val="Carlito"/>
          </rPr>
          <t>同一装置（Globus-3，Ioffe 所紧凑混合式聚变中子源 FNS 方案）；设计值 BT0 = 1.5 T。〔Plasma Physics Reports (2023, DOI 10.1134/S1063780X23601748) — Globus-3 预设计〕</t>
        </r>
      </text>
    </comment>
    <comment ref="H122" authorId="0" shapeId="0" xr:uid="{00000000-0006-0000-0000-000073000000}">
      <text>
        <r>
          <rPr>
            <sz val="11"/>
            <rFont val="Carlito"/>
          </rPr>
          <t>设计值 BT0 = 1.5 T。Ioffe 研究所下一代球形环（Globus-M 后继）；勿与 Globus-M2 (0.8 T) 混用。〔Plasma Physics Reports (2023, DOI 10.1134/S1063780X23601748) — Globus-3 预设计〕</t>
        </r>
      </text>
    </comment>
    <comment ref="H123" authorId="0" shapeId="0" xr:uid="{00000000-0006-0000-0000-000074000000}">
      <text>
        <r>
          <rPr>
            <sz val="11"/>
            <rFont val="Carlito"/>
          </rPr>
          <t>设计/标称 Bo | CSV 并录值: 1 / 3 / 0.7 / 0.8 / 0.9〔S001 IAEA World Survey 2022 表格; S236〕</t>
        </r>
      </text>
    </comment>
    <comment ref="H124" authorId="0" shapeId="0" xr:uid="{00000000-0006-0000-0000-000075000000}">
      <text>
        <r>
          <rPr>
            <sz val="11"/>
            <rFont val="Carlito"/>
          </rPr>
          <t>表格 Bt〔S002 Gryaznevich 2005 ST综述 表格〕</t>
        </r>
      </text>
    </comment>
    <comment ref="H125" authorId="0" shapeId="0" xr:uid="{00000000-0006-0000-0000-000076000000}">
      <text>
        <r>
          <rPr>
            <sz val="11"/>
            <rFont val="Carlito"/>
          </rPr>
          <t>设计/标称 Bo〔S001 IAEA World Survey 2022 表格; S002 Gryaznevich 2005 ST综述 表格〕</t>
        </r>
      </text>
    </comment>
    <comment ref="H126" authorId="0" shapeId="0" xr:uid="{00000000-0006-0000-0000-000077000000}">
      <text>
        <r>
          <rPr>
            <sz val="11"/>
            <rFont val="Carlito"/>
          </rPr>
          <t>口径: 设计值; 另一来源(neimagazine)写 "Toroidal field Bt &lt; 13 T"〔IAEA conference contribution 17434 — IGNITOR〕</t>
        </r>
      </text>
    </comment>
    <comment ref="H127" authorId="0" shapeId="0" xr:uid="{00000000-0006-0000-0000-000078000000}">
      <text>
        <r>
          <rPr>
            <sz val="11"/>
            <rFont val="Carlito"/>
          </rPr>
          <t>文中语句〔S060〕</t>
        </r>
      </text>
    </comment>
    <comment ref="H128" authorId="0" shapeId="0" xr:uid="{00000000-0006-0000-0000-000079000000}">
      <text>
        <r>
          <rPr>
            <sz val="11"/>
            <rFont val="Carlito"/>
          </rPr>
          <t>表格 TF〔S003 Balshaw 2012 表格〕</t>
        </r>
      </text>
    </comment>
    <comment ref="H129" authorId="0" shapeId="0" xr:uid="{00000000-0006-0000-0000-00007A000000}">
      <text>
        <r>
          <rPr>
            <sz val="11"/>
            <rFont val="Carlito"/>
          </rPr>
          <t>参数表值(Wesson Table 11.23 “Tokamak parameters”, Toroidal field 列)〔Wesson2011_Tokamak_edition4〕</t>
        </r>
      </text>
    </comment>
    <comment ref="H130" authorId="0" shapeId="0" xr:uid="{00000000-0006-0000-0000-00007B000000}">
      <text>
        <r>
          <rPr>
            <sz val="11"/>
            <rFont val="Carlito"/>
          </rPr>
          <t>参数表值(Wesson Table 11.23 “Tokamak parameters”, Toroidal field 列)〔Wesson2011_Tokamak_edition4〕</t>
        </r>
      </text>
    </comment>
    <comment ref="H131" authorId="0" shapeId="0" xr:uid="{00000000-0006-0000-0000-00007C000000}">
      <text>
        <r>
          <rPr>
            <sz val="11"/>
            <rFont val="Carlito"/>
          </rPr>
          <t>设计/标称 Bo | CSV 并录值: 1 / 1.2 / 1.5〔S001 IAEA World Survey 2022 表格〕</t>
        </r>
      </text>
    </comment>
    <comment ref="H132" authorId="0" shapeId="0" xr:uid="{00000000-0006-0000-0000-00007D000000}">
      <text>
        <r>
          <rPr>
            <sz val="11"/>
            <rFont val="Carlito"/>
          </rPr>
          <t>表格 TF | CSV 并录值: 1 / 1.0〔S003 Balshaw 2012 表格〕</t>
        </r>
      </text>
    </comment>
    <comment ref="H133" authorId="0" shapeId="0" xr:uid="{00000000-0006-0000-0000-00007E000000}">
      <text>
        <r>
          <rPr>
            <sz val="11"/>
            <rFont val="Carlito"/>
          </rPr>
          <t>表格 TF〔S003 Balshaw 2012 表格〕</t>
        </r>
      </text>
    </comment>
    <comment ref="H134" authorId="0" shapeId="0" xr:uid="{00000000-0006-0000-0000-00007F000000}">
      <text>
        <r>
          <rPr>
            <sz val="11"/>
            <rFont val="Carlito"/>
          </rPr>
          <t>同表备注文字口径(中心场); 与表列 2T 自相矛盾, 低置信; 装置未运行 | CSV 并录值: 2 / 12〔S003 Balshaw 2012 表格(人工直读补漏)〕</t>
        </r>
      </text>
    </comment>
    <comment ref="H135" authorId="0" shapeId="0" xr:uid="{00000000-0006-0000-0000-000080000000}">
      <text>
        <r>
          <rPr>
            <sz val="11"/>
            <rFont val="Carlito"/>
          </rPr>
          <t>同表备注文字口径(中心场); 与表列 2T 自相矛盾, 低置信; 装置未运行 | CSV 并录值: 2 / 12〔S003 Balshaw 2012 表格(人工直读补漏)〕</t>
        </r>
      </text>
    </comment>
    <comment ref="H136" authorId="0" shapeId="0" xr:uid="{00000000-0006-0000-0000-000081000000}">
      <text>
        <r>
          <rPr>
            <sz val="11"/>
            <rFont val="Carlito"/>
          </rPr>
          <t>设计/标称 Bo | CSV 并录值: 2 / 3.5〔S001 IAEA World Survey 2022 表格〕</t>
        </r>
      </text>
    </comment>
    <comment ref="H137" authorId="0" shapeId="0" xr:uid="{00000000-0006-0000-0000-000082000000}">
      <text>
        <r>
          <rPr>
            <sz val="11"/>
            <rFont val="Carlito"/>
          </rPr>
          <t>苏联超导（Nb3Sn）装置的设计环向场 3.6 T；报道称实际未达满场运行（运行值更低）。注意勿与 T-15MD（2 T）混淆。〔Т-15 (реактор) — Википедия〕</t>
        </r>
      </text>
    </comment>
    <comment ref="H138" authorId="0" shapeId="0" xr:uid="{00000000-0006-0000-0000-000083000000}">
      <text>
        <r>
          <rPr>
            <sz val="11"/>
            <rFont val="Carlito"/>
          </rPr>
          <t>表格 TF | CSV 并录值: 1 / 1.1〔S003 Balshaw 2012 表格〕</t>
        </r>
      </text>
    </comment>
    <comment ref="H139" authorId="0" shapeId="0" xr:uid="{00000000-0006-0000-0000-000084000000}">
      <text>
        <r>
          <rPr>
            <sz val="11"/>
            <rFont val="Carlito"/>
          </rPr>
          <t>口径: 1975 设计值(轴上); 附录双列对照 MTR=5T/T-20=3.5T, 同表 R5/a2/Ip6MA; Table 1 行 R5.0/a2.0/Ip6/Bt3.5 交叉印证(列位经 Tore Supra=3.6T 标定)〔39_Alikaev_2017_Reflections_on_T20 (IPP 2017-5, 原始 UWFDM-129 1975) — papers/聚变堆工程与设计/堆设计概念_CFETR_DEMO_ARC_SPARC/〕</t>
        </r>
      </text>
    </comment>
    <comment ref="H140" authorId="0" shapeId="0" xr:uid="{00000000-0006-0000-0000-000085000000}">
      <text>
        <r>
          <rPr>
            <sz val="11"/>
            <rFont val="Carlito"/>
          </rPr>
          <t>表格 TF | CSV 并录值: 4 / 2.5〔S003 Balshaw 2012 表格〕</t>
        </r>
      </text>
    </comment>
    <comment ref="H141" authorId="0" shapeId="0" xr:uid="{00000000-0006-0000-0000-000086000000}">
      <text>
        <r>
          <rPr>
            <sz val="11"/>
            <rFont val="Carlito"/>
          </rPr>
          <t>Balshaw 将 T-3(后称 T-3a)记同一行, B=4T 为取整口径; 文献常见 3.5-3.8T(35-38kG) | CSV 并录值: 4 / 3.8〔S003 Balshaw 2012 表格(人工直读补漏); [E]_YuanEtAl_2011_托卡马克装置工程基础〕</t>
        </r>
      </text>
    </comment>
    <comment ref="H142" authorId="0" shapeId="0" xr:uid="{00000000-0006-0000-0000-000087000000}">
      <text>
        <r>
          <rPr>
            <sz val="11"/>
            <rFont val="Carlito"/>
          </rPr>
          <t>表格 TF | CSV 并录值: 5 / 5.0〔S003 Balshaw 2012 表格〕</t>
        </r>
      </text>
    </comment>
    <comment ref="H143" authorId="0" shapeId="0" xr:uid="{00000000-0006-0000-0000-000088000000}">
      <text>
        <r>
          <rPr>
            <sz val="11"/>
            <rFont val="Carlito"/>
          </rPr>
          <t>表格 TF〔S003 Balshaw 2012 表格〕</t>
        </r>
      </text>
    </comment>
    <comment ref="H144" authorId="0" shapeId="0" xr:uid="{00000000-0006-0000-0000-000089000000}">
      <text>
        <r>
          <rPr>
            <sz val="11"/>
            <rFont val="Carlito"/>
          </rPr>
          <t>表格 TF〔S003 Balshaw 2012 表格; Wesson2011_Tokamak_edition4〕</t>
        </r>
      </text>
    </comment>
    <comment ref="H145" authorId="0" shapeId="0" xr:uid="{00000000-0006-0000-0000-00008A000000}">
      <text>
        <r>
          <rPr>
            <sz val="11"/>
            <rFont val="Carlito"/>
          </rPr>
          <t>表格 TF | CSV 并录值: 3 / 3.0〔S003 Balshaw 2012 表格〕</t>
        </r>
      </text>
    </comment>
    <comment ref="H146" authorId="0" shapeId="0" xr:uid="{00000000-0006-0000-0000-00008B000000}">
      <text>
        <r>
          <rPr>
            <sz val="11"/>
            <rFont val="Carlito"/>
          </rPr>
          <t>表格 TF〔S003 Balshaw 2012 表格〕</t>
        </r>
      </text>
    </comment>
    <comment ref="H147" authorId="0" shapeId="0" xr:uid="{00000000-0006-0000-0000-00008C000000}">
      <text>
        <r>
          <rPr>
            <sz val="11"/>
            <rFont val="Carlito"/>
          </rPr>
          <t>表格 TF〔S003 Balshaw 2012 表格〕</t>
        </r>
      </text>
    </comment>
    <comment ref="H148" authorId="0" shapeId="0" xr:uid="{00000000-0006-0000-0000-00008D000000}">
      <text>
        <r>
          <rPr>
            <sz val="11"/>
            <rFont val="Carlito"/>
          </rPr>
          <t>中低置信：数值出自同一装置在布拉格的 CASTOR 阶段参数表（TM-1 于 1977 年改建为 TM-1-MH/CASTOR）；莫斯科原始 TM-1 期的 Bt 未单独查到。〔IPP CAS — History: Tokamak CASTOR (ex-TM-1/TM-1-MH)〕</t>
        </r>
      </text>
    </comment>
    <comment ref="H149" authorId="0" shapeId="0" xr:uid="{00000000-0006-0000-0000-00008E000000}">
      <text>
        <r>
          <rPr>
            <sz val="11"/>
            <rFont val="Carlito"/>
          </rPr>
          <t>R=0.40 a=0.08 Ip=0.03MA; TM-1 的射频加热改型(后演化为 CASTOR); 设计口径〔S003 Balshaw 2012 表格(人工直读补漏)〕</t>
        </r>
      </text>
    </comment>
    <comment ref="H150" authorId="0" shapeId="0" xr:uid="{00000000-0006-0000-0000-00008F000000}">
      <text>
        <r>
          <rPr>
            <sz val="11"/>
            <rFont val="Carlito"/>
          </rPr>
          <t>表格 TF〔S003 Balshaw 2012 表格〕</t>
        </r>
      </text>
    </comment>
    <comment ref="H151" authorId="0" shapeId="0" xr:uid="{00000000-0006-0000-0000-000090000000}">
      <text>
        <r>
          <rPr>
            <sz val="11"/>
            <rFont val="Carlito"/>
          </rPr>
          <t>表格 TF | CSV 并录值: 2.5 / 4.0〔S003 Balshaw 2012 表格〕</t>
        </r>
      </text>
    </comment>
    <comment ref="H152" authorId="0" shapeId="0" xr:uid="{00000000-0006-0000-0000-000091000000}">
      <text>
        <r>
          <rPr>
            <sz val="11"/>
            <rFont val="Carlito"/>
          </rPr>
          <t>表格 TF〔S003 Balshaw 2012 表格〕</t>
        </r>
      </text>
    </comment>
    <comment ref="H153" authorId="0" shapeId="0" xr:uid="{00000000-0006-0000-0000-000092000000}">
      <text>
        <r>
          <rPr>
            <sz val="11"/>
            <rFont val="Carlito"/>
          </rPr>
          <t>表格 TF〔S003 Balshaw 2012 表格〕</t>
        </r>
      </text>
    </comment>
    <comment ref="H154" authorId="0" shapeId="0" xr:uid="{00000000-0006-0000-0000-000093000000}">
      <text>
        <r>
          <rPr>
            <sz val="11"/>
            <rFont val="Carlito"/>
          </rPr>
          <t>表格 TF〔S003 Balshaw 2012 表格; Wesson2011_Tokamak_edition4〕</t>
        </r>
      </text>
    </comment>
    <comment ref="H155" authorId="0" shapeId="0" xr:uid="{00000000-0006-0000-0000-000094000000}">
      <text>
        <r>
          <rPr>
            <sz val="11"/>
            <rFont val="Carlito"/>
          </rPr>
          <t>表格 TF〔S003 Balshaw 2012 表格〕</t>
        </r>
      </text>
    </comment>
    <comment ref="H156" authorId="0" shapeId="0" xr:uid="{00000000-0006-0000-0000-000095000000}">
      <text>
        <r>
          <rPr>
            <sz val="11"/>
            <rFont val="Carlito"/>
          </rPr>
          <t>OpenAlex 检索〔OpenAlex 10.1134/s1063780x21110180; OpenAlex 10.1134/s1063780x21110192〕</t>
        </r>
      </text>
    </comment>
    <comment ref="H158" authorId="0" shapeId="0" xr:uid="{00000000-0006-0000-0000-000096000000}">
      <text>
        <r>
          <rPr>
            <sz val="11"/>
            <rFont val="Carlito"/>
          </rPr>
          <t>表格 TF〔S003 Balshaw 2012 表格〕</t>
        </r>
      </text>
    </comment>
    <comment ref="H159" authorId="0" shapeId="0" xr:uid="{00000000-0006-0000-0000-000097000000}">
      <text>
        <r>
          <rPr>
            <sz val="11"/>
            <rFont val="Carlito"/>
          </rPr>
          <t>表格 TF | CSV 并录值: 1.2 / 2.0〔S003 Balshaw 2012 表格〕</t>
        </r>
      </text>
    </comment>
    <comment ref="H160" authorId="0" shapeId="0" xr:uid="{00000000-0006-0000-0000-000098000000}">
      <text>
        <r>
          <rPr>
            <sz val="11"/>
            <rFont val="Carlito"/>
          </rPr>
          <t>表格 TF | CSV 并录值: 1.2 / 3.0〔S003 Balshaw 2012 表格〕</t>
        </r>
      </text>
    </comment>
    <comment ref="H161" authorId="0" shapeId="0" xr:uid="{00000000-0006-0000-0000-000099000000}">
      <text>
        <r>
          <rPr>
            <sz val="11"/>
            <rFont val="Carlito"/>
          </rPr>
          <t>设计/标称 Bo | CSV 并录值: 1.2 / 1.0/3.0〔S001 IAEA World Survey 2022 表格〕</t>
        </r>
      </text>
    </comment>
    <comment ref="H162" authorId="0" shapeId="0" xr:uid="{00000000-0006-0000-0000-00009A000000}">
      <text>
        <r>
          <rPr>
            <sz val="11"/>
            <rFont val="Carlito"/>
          </rPr>
          <t>表格 TF〔S003 Balshaw 2012 表格〕</t>
        </r>
      </text>
    </comment>
    <comment ref="H163" authorId="0" shapeId="0" xr:uid="{00000000-0006-0000-0000-00009B000000}">
      <text>
        <r>
          <rPr>
            <sz val="11"/>
            <rFont val="Carlito"/>
          </rPr>
          <t>a=0.08×0.16(拉长比4); 同表备注: TVD 即后来运抵伊朗的 Damavand(改造后 1.2T)〔S003 Balshaw 2012 表格(人工直读补漏)〕</t>
        </r>
      </text>
    </comment>
    <comment ref="H164" authorId="0" shapeId="0" xr:uid="{00000000-0006-0000-0000-00009C000000}">
      <text>
        <r>
          <rPr>
            <sz val="11"/>
            <rFont val="Carlito"/>
          </rPr>
          <t>表格 TF〔S003 Balshaw 2012 表格〕</t>
        </r>
      </text>
    </comment>
    <comment ref="H165" authorId="0" shapeId="0" xr:uid="{00000000-0006-0000-0000-00009D000000}">
      <text>
        <r>
          <rPr>
            <sz val="11"/>
            <rFont val="Carlito"/>
          </rPr>
          <t>参数表值(Wesson Table 11.23 “Tokamak parameters”, Toroidal field 列)〔Wesson2011_Tokamak_edition4〕</t>
        </r>
      </text>
    </comment>
    <comment ref="H166" authorId="0" shapeId="0" xr:uid="{00000000-0006-0000-0000-00009E000000}">
      <text>
        <r>
          <rPr>
            <sz val="11"/>
            <rFont val="Carlito"/>
          </rPr>
          <t>表格 TF | CSV 并录值: 1.2 / 2.1〔S003 Balshaw 2012 表格〕</t>
        </r>
      </text>
    </comment>
    <comment ref="H167" authorId="0" shapeId="0" xr:uid="{00000000-0006-0000-0000-00009F000000}">
      <text>
        <r>
          <rPr>
            <sz val="11"/>
            <rFont val="Carlito"/>
          </rPr>
          <t>参数表值(Wesson Table 11.23 “Tokamak parameters”, Toroidal field 列)〔Wesson2011_Tokamak_edition4〕</t>
        </r>
      </text>
    </comment>
    <comment ref="H168" authorId="0" shapeId="0" xr:uid="{00000000-0006-0000-0000-0000A0000000}">
      <text>
        <r>
          <rPr>
            <sz val="11"/>
            <rFont val="Carlito"/>
          </rPr>
          <t>设计/标称 Bo | CSV 并录值: 2.7 / 3.4 / 3.5 / 3.8 / 0.8–3.8〔S001 IAEA World Survey 2022 表格〕</t>
        </r>
      </text>
    </comment>
    <comment ref="H169" authorId="0" shapeId="0" xr:uid="{00000000-0006-0000-0000-0000A1000000}">
      <text>
        <r>
          <rPr>
            <sz val="11"/>
            <rFont val="Carlito"/>
          </rPr>
          <t>运行值(#46945) | CSV 并录值: 0.51 / 0.52〔13_Aboutaleb_2024_first-measurements-of-energetic-protons-in-mega-amp-spherical-tokamak〕</t>
        </r>
      </text>
    </comment>
    <comment ref="H170" authorId="0" shapeId="0" xr:uid="{00000000-0006-0000-0000-0000A2000000}">
      <text>
        <r>
          <rPr>
            <sz val="11"/>
            <rFont val="Carlito"/>
          </rPr>
          <t>设计/标称 Bo〔S001 IAEA World Survey 2022 表格〕</t>
        </r>
      </text>
    </comment>
    <comment ref="H171" authorId="0" shapeId="0" xr:uid="{00000000-0006-0000-0000-0000A3000000}">
      <text>
        <r>
          <rPr>
            <sz val="11"/>
            <rFont val="Carlito"/>
          </rPr>
          <t>设计/标称 Bo〔S001 IAEA World Survey 2022 表格〕</t>
        </r>
      </text>
    </comment>
    <comment ref="H172" authorId="0" shapeId="0" xr:uid="{00000000-0006-0000-0000-0000A4000000}">
      <text>
        <r>
          <rPr>
            <sz val="11"/>
            <rFont val="Carlito"/>
          </rPr>
          <t>口径: 设计值(2024 年 R=4.25 m 设计点, 磁场 4.25 T)〔Tokamak Energy — first ST-E1 design details (2024-10-15)〕</t>
        </r>
      </text>
    </comment>
    <comment ref="H173" authorId="0" shapeId="0" xr:uid="{00000000-0006-0000-0000-0000A5000000}">
      <text>
        <r>
          <rPr>
            <sz val="11"/>
            <rFont val="Carlito"/>
          </rPr>
          <t>口径: 设计值(rev D, R=5.0 m, 轴上 5.25 T)〔APS DPP 2025 GM12.7 — Overview of Tokamak Energy's Fusion Pilot Plant Program; Tokamak Energy's pre-concept design for a fusion power plant: an overview of ST-E1〕</t>
        </r>
      </text>
    </comment>
    <comment ref="H174" authorId="0" shapeId="0" xr:uid="{00000000-0006-0000-0000-0000A6000000}">
      <text>
        <r>
          <rPr>
            <sz val="11"/>
            <rFont val="Carlito"/>
          </rPr>
          <t>'field on torus 0.1 T'（环上/装置场），R=0.25 m 桌面演示型 HTS 托卡马克；'ST25 1.2' 的 1.2 为参考文献编号，非场值〔high-temperature-superconductors-for-fusion-magnets〕</t>
        </r>
      </text>
    </comment>
    <comment ref="H175" authorId="0" shapeId="0" xr:uid="{00000000-0006-0000-0000-0000A7000000}">
      <text>
        <r>
          <rPr>
            <sz val="11"/>
            <rFont val="Carlito"/>
          </rPr>
          <t>'field on torus 0.1 T'（环上/装置场），R=0.25 m 桌面演示型 HTS 托卡马克；'ST25 1.2' 的 1.2 为参考文献编号，非场值〔high-temperature-superconductors-for-fusion-magnets〕</t>
        </r>
      </text>
    </comment>
    <comment ref="H176" authorId="0" shapeId="0" xr:uid="{00000000-0006-0000-0000-0000A8000000}">
      <text>
        <r>
          <rPr>
            <sz val="11"/>
            <rFont val="Carlito"/>
          </rPr>
          <t>设计/标称 Bo〔S001 IAEA World Survey 2022 表格; S073〕</t>
        </r>
      </text>
    </comment>
    <comment ref="H178" authorId="0" shapeId="0" xr:uid="{00000000-0006-0000-0000-0000A9000000}">
      <text>
        <r>
          <rPr>
            <sz val="11"/>
            <rFont val="Carlito"/>
          </rPr>
          <t>参数表值(Wesson Table 11.23 “Tokamak parameters”, Toroidal field 列)〔Wesson2011_Tokamak_edition4〕</t>
        </r>
      </text>
    </comment>
    <comment ref="H179" authorId="0" shapeId="0" xr:uid="{00000000-0006-0000-0000-0000AA000000}">
      <text>
        <r>
          <rPr>
            <sz val="11"/>
            <rFont val="Carlito"/>
          </rPr>
          <t>S084 §4.1 引 [13] STEP 形状参数〔S084〕</t>
        </r>
      </text>
    </comment>
    <comment ref="H180" authorId="0" shapeId="0" xr:uid="{00000000-0006-0000-0000-0000AB000000}">
      <text>
        <r>
          <rPr>
            <sz val="11"/>
            <rFont val="Carlito"/>
          </rPr>
          <t>参数表值(Wesson Table 11.23 “Tokamak parameters”, Toroidal field 列)〔Wesson2011_Tokamak_edition4〕</t>
        </r>
      </text>
    </comment>
    <comment ref="H181" authorId="0" shapeId="0" xr:uid="{00000000-0006-0000-0000-0000AC000000}">
      <text>
        <r>
          <rPr>
            <sz val="11"/>
            <rFont val="Carlito"/>
          </rPr>
          <t>设计/标称 Bo | CSV 并录值: 5.3 / 2.65 / 5.3 / 5.18〔07_Budny_2009_Comparisons-of-predicted-plasma-performance-in-ITER-H-mode-plasmas-wit; S001 IAEA World Survey 2022 表格; S073; S202〕</t>
        </r>
      </text>
    </comment>
    <comment ref="H182" authorId="0" shapeId="0" xr:uid="{00000000-0006-0000-0000-0000AD000000}">
      <text>
        <r>
          <rPr>
            <sz val="11"/>
            <rFont val="Carlito"/>
          </rPr>
          <t>设计/标称 Bo | CSV 并录值: 5.3 / 2.65 / 5.3 / 5.18〔07_Budny_2009_Comparisons-of-predicted-plasma-performance-in-ITER-H-mode-plasmas-wit; S001 IAEA World Survey 2022 表格; S073; S202〕</t>
        </r>
      </text>
    </comment>
    <comment ref="H183" authorId="0" shapeId="0" xr:uid="{00000000-0006-0000-0000-0000AE000000}">
      <text>
        <r>
          <rPr>
            <sz val="11"/>
            <rFont val="Carlito"/>
          </rPr>
          <t>表格 TF | CSV 并录值: 1.6 / 2.7〔S003 Balshaw 2012 表格〕</t>
        </r>
      </text>
    </comment>
    <comment ref="H184" authorId="0" shapeId="0" xr:uid="{00000000-0006-0000-0000-0000AF000000}">
      <text>
        <r>
          <rPr>
            <sz val="11"/>
            <rFont val="Carlito"/>
          </rPr>
          <t>表格 TF〔S003 Balshaw 2012 表格〕</t>
        </r>
      </text>
    </comment>
    <comment ref="H185" authorId="0" shapeId="0" xr:uid="{00000000-0006-0000-0000-0000B0000000}">
      <text>
        <r>
          <rPr>
            <sz val="11"/>
            <rFont val="Carlito"/>
          </rPr>
          <t>表格 TF | CSV 并录值: 6 / 6.0〔S003 Balshaw 2012 表格〕</t>
        </r>
      </text>
    </comment>
    <comment ref="H186" authorId="0" shapeId="0" xr:uid="{00000000-0006-0000-0000-0000B1000000}">
      <text>
        <r>
          <rPr>
            <sz val="11"/>
            <rFont val="Carlito"/>
          </rPr>
          <t>表格 TF | CSV 并录值: 6 / 6.0〔S003 Balshaw 2012 表格〕</t>
        </r>
      </text>
    </comment>
    <comment ref="H187" authorId="0" shapeId="0" xr:uid="{00000000-0006-0000-0000-0000B2000000}">
      <text>
        <r>
          <rPr>
            <sz val="11"/>
            <rFont val="Carlito"/>
          </rPr>
          <t>表格 TF | CSV 并录值: 2 / 3.3 / 3.8〔S003 Balshaw 2012 表格〕</t>
        </r>
      </text>
    </comment>
    <comment ref="H188" authorId="0" shapeId="0" xr:uid="{00000000-0006-0000-0000-0000B3000000}">
      <text>
        <r>
          <rPr>
            <sz val="11"/>
            <rFont val="Carlito"/>
          </rPr>
          <t>该文档记录的是 Greifswald 阶段（运抵美国后改名 HIDRA）参数，BT 上限 0.5 T；Grenoble 托卡马克期数值经 4 个查询变体未查到。〔UIUC CPMI — HIDRA (ex-WEGA)〕</t>
        </r>
      </text>
    </comment>
    <comment ref="H189" authorId="0" shapeId="0" xr:uid="{00000000-0006-0000-0000-0000B4000000}">
      <text>
        <r>
          <rPr>
            <sz val="11"/>
            <rFont val="Carlito"/>
          </rPr>
          <t>设计/标称 Bo〔32_Manas_2024_Maximizing_the_ion_temperature_in_an_electron_heated_plasma; S001 IAEA World Survey 2022 表格〕</t>
        </r>
      </text>
    </comment>
    <comment ref="H190" authorId="0" shapeId="0" xr:uid="{00000000-0006-0000-0000-0000B5000000}">
      <text>
        <r>
          <rPr>
            <sz val="11"/>
            <rFont val="Carlito"/>
          </rPr>
          <t>表格 TF | CSV 并录值: 2 / 3 / 2.6 / 3.0 / 3.2〔S003 Balshaw 2012 表格〕</t>
        </r>
      </text>
    </comment>
    <comment ref="H191" authorId="0" shapeId="0" xr:uid="{00000000-0006-0000-0000-0000B6000000}">
      <text>
        <r>
          <rPr>
            <sz val="11"/>
            <rFont val="Carlito"/>
          </rPr>
          <t>设计/标称 Bo | CSV 并录值: 2.2 / 2.5 / 3.2 / 3.9 / 1.8–3.0〔S001 IAEA World Survey 2022 表格〕</t>
        </r>
      </text>
    </comment>
    <comment ref="H192" authorId="0" shapeId="0" xr:uid="{00000000-0006-0000-0000-0000B7000000}">
      <text>
        <r>
          <rPr>
            <sz val="11"/>
            <rFont val="Carlito"/>
          </rPr>
          <t>表格 TF | CSV 并录值: 3 / 2.7〔S003 Balshaw 2012 表格〕</t>
        </r>
      </text>
    </comment>
    <comment ref="H193" authorId="0" shapeId="0" xr:uid="{00000000-0006-0000-0000-0000B8000000}">
      <text>
        <r>
          <rPr>
            <sz val="11"/>
            <rFont val="Carlito"/>
          </rPr>
          <t>表格 TF〔S003 Balshaw 2012 表格〕</t>
        </r>
      </text>
    </comment>
    <comment ref="H194" authorId="0" shapeId="0" xr:uid="{00000000-0006-0000-0000-0000B9000000}">
      <text>
        <r>
          <rPr>
            <sz val="11"/>
            <rFont val="Carlito"/>
          </rPr>
          <t>表格 TF | CSV 并录值: 2.3 / 2.6 / 2.8 / 3.0 / 2.25〔S003 Balshaw 2012 表格〕</t>
        </r>
      </text>
    </comment>
    <comment ref="H195" authorId="0" shapeId="0" xr:uid="{00000000-0006-0000-0000-0000BA000000}">
      <text>
        <r>
          <rPr>
            <sz val="11"/>
            <rFont val="Carlito"/>
          </rPr>
          <t>表格 TF〔S003 Balshaw 2012 表格〕</t>
        </r>
      </text>
    </comment>
    <comment ref="H196" authorId="0" shapeId="0" xr:uid="{00000000-0006-0000-0000-0000BB000000}">
      <text>
        <r>
          <rPr>
            <sz val="11"/>
            <rFont val="Carlito"/>
          </rPr>
          <t>设计/标称 Bo〔12_Paper_2022_Design_of_a_multi_configurations_divertor_for_the; S001 IAEA World Survey 2022 表格; S080; dtt-divertor-tokamak-test-facility-a-testbed-for-demo〕</t>
        </r>
      </text>
    </comment>
    <comment ref="H197" authorId="0" shapeId="0" xr:uid="{00000000-0006-0000-0000-0000BC000000}">
      <text>
        <r>
          <rPr>
            <sz val="11"/>
            <rFont val="Carlito"/>
          </rPr>
          <t>设计/标称 Bo〔12_Paper_2022_Design_of_a_multi_configurations_divertor_for_the; S001 IAEA World Survey 2022 表格; S080; dtt-divertor-tokamak-test-facility-a-testbed-for-demo〕</t>
        </r>
      </text>
    </comment>
    <comment ref="H198" authorId="0" shapeId="0" xr:uid="{00000000-0006-0000-0000-0000BD000000}">
      <text>
        <r>
          <rPr>
            <sz val="11"/>
            <rFont val="Carlito"/>
          </rPr>
          <t>口径: 设计值上限(BT up to 8.5 T)〔INIS 40091798 — The Fusion Advanced Studies Torus (FAST), Italy〕</t>
        </r>
      </text>
    </comment>
    <comment ref="H199" authorId="0" shapeId="0" xr:uid="{00000000-0006-0000-0000-0000BE000000}">
      <text>
        <r>
          <rPr>
            <sz val="11"/>
            <rFont val="Carlito"/>
          </rPr>
          <t>FT3(2004 Frascati 设计) 全参数表; R=1.3 与 xlsx 已填一致; 22 台 Bt 未命中名单中再移出一台〔S077 Gormezano et al. (FTU programme) TABLE IV〕</t>
        </r>
      </text>
    </comment>
    <comment ref="H200" authorId="0" shapeId="0" xr:uid="{00000000-0006-0000-0000-0000BF000000}">
      <text>
        <r>
          <rPr>
            <sz val="11"/>
            <rFont val="Carlito"/>
          </rPr>
          <t>设计/标称 Bo | CSV 并录值: 8 / 8.0 / 5–8 (最高 8)〔S001 IAEA World Survey 2022 表格; S003 Balshaw 2012 表格〕</t>
        </r>
      </text>
    </comment>
    <comment ref="H201" authorId="0" shapeId="0" xr:uid="{00000000-0006-0000-0000-0000C0000000}">
      <text>
        <r>
          <rPr>
            <sz val="11"/>
            <rFont val="Carlito"/>
          </rPr>
          <t>参数表值(Wesson Table 11.23 “Tokamak parameters”, Toroidal field 列)〔Wesson2011_Tokamak_edition4〕</t>
        </r>
      </text>
    </comment>
    <comment ref="H202" authorId="0" shapeId="0" xr:uid="{00000000-0006-0000-0000-0000C1000000}">
      <text>
        <r>
          <rPr>
            <sz val="11"/>
            <rFont val="Carlito"/>
          </rPr>
          <t>表格 Bt〔S002 Gryaznevich 2005 ST综述 表格〕</t>
        </r>
      </text>
    </comment>
    <comment ref="H203" authorId="0" shapeId="0" xr:uid="{00000000-0006-0000-0000-0000C2000000}">
      <text>
        <r>
          <rPr>
            <sz val="11"/>
            <rFont val="Carlito"/>
          </rPr>
          <t>文中语句〔S123〕</t>
        </r>
      </text>
    </comment>
    <comment ref="H204" authorId="0" shapeId="0" xr:uid="{00000000-0006-0000-0000-0000C3000000}">
      <text>
        <r>
          <rPr>
            <sz val="11"/>
            <rFont val="Carlito"/>
          </rPr>
          <t>文中语句〔S123〕</t>
        </r>
      </text>
    </comment>
    <comment ref="H205" authorId="0" shapeId="0" xr:uid="{00000000-0006-0000-0000-0000C4000000}">
      <text>
        <r>
          <rPr>
            <sz val="11"/>
            <rFont val="Carlito"/>
          </rPr>
          <t>表格 TF〔S003 Balshaw 2012 表格〕</t>
        </r>
      </text>
    </comment>
    <comment ref="H206" authorId="0" shapeId="0" xr:uid="{00000000-0006-0000-0000-0000C5000000}">
      <text>
        <r>
          <rPr>
            <sz val="11"/>
            <rFont val="Carlito"/>
          </rPr>
          <t>列序 R a B Ip; Balshaw 注 aka Torello; 湍流加热研究装置〔S003 Balshaw 2012 表格(人工直读补漏)〕</t>
        </r>
      </text>
    </comment>
    <comment ref="H207" authorId="0" shapeId="0" xr:uid="{00000000-0006-0000-0000-0000C6000000}">
      <text>
        <r>
          <rPr>
            <sz val="11"/>
            <rFont val="Carlito"/>
          </rPr>
          <t>表格 TF〔S003 Balshaw 2012 表格〕</t>
        </r>
      </text>
    </comment>
    <comment ref="H208" authorId="0" shapeId="0" xr:uid="{00000000-0006-0000-0000-0000C7000000}">
      <text>
        <r>
          <rPr>
            <sz val="11"/>
            <rFont val="Carlito"/>
          </rPr>
          <t>设计/标称 Bo | CSV 并录值: 1.4 / 1.5 / 1.54 / ≤1.5〔S001 IAEA World Survey 2022 表格〕</t>
        </r>
      </text>
    </comment>
    <comment ref="H209" authorId="0" shapeId="0" xr:uid="{00000000-0006-0000-0000-0000C8000000}">
      <text>
        <r>
          <rPr>
            <sz val="11"/>
            <rFont val="Carlito"/>
          </rPr>
          <t>表格 TF〔S002 Gryaznevich 2005 ST综述 表格; S003 Balshaw 2012 表格〕</t>
        </r>
      </text>
    </comment>
    <comment ref="H210" authorId="0" shapeId="0" xr:uid="{00000000-0006-0000-0000-0000C9000000}">
      <text>
        <r>
          <rPr>
            <sz val="11"/>
            <rFont val="Carlito"/>
          </rPr>
          <t>表格 TF | CSV 并录值: 2.1 / 0.8–2.1〔S003 Balshaw 2012 表格; Wesson2011_Tokamak_edition4〕</t>
        </r>
      </text>
    </comment>
    <comment ref="H211" authorId="0" shapeId="0" xr:uid="{00000000-0006-0000-0000-0000CA000000}">
      <text>
        <r>
          <rPr>
            <sz val="11"/>
            <rFont val="Carlito"/>
          </rPr>
          <t>设计/标称 Bo | CSV 并录值: 5 / 2.5–5〔S001 IAEA World Survey 2022 表格; S074; preliminary-design-of-the-compass-upgrade-tokamak〕</t>
        </r>
      </text>
    </comment>
    <comment ref="H212" authorId="0" shapeId="0" xr:uid="{00000000-0006-0000-0000-0000CB000000}">
      <text>
        <r>
          <rPr>
            <sz val="11"/>
            <rFont val="Carlito"/>
          </rPr>
          <t>设计/标称 Bo | CSV 并录值: 0.8 / 1.5〔S001 IAEA World Survey 2022 表格〕</t>
        </r>
      </text>
    </comment>
    <comment ref="H213" authorId="0" shapeId="0" xr:uid="{00000000-0006-0000-0000-0000CC000000}">
      <text>
        <r>
          <rPr>
            <sz val="11"/>
            <rFont val="Carlito"/>
          </rPr>
          <t>口径: T1 官方表三阶段 B0 (Phase1 0.1T / Phase2 0.3T / Phase3 1T); Segado 2023 (FED 193) 佐证 B_phi &lt;= 1 T〔S001 §2.52 SMART 表; 13_Segado-Fernández_2023 central stack (10.1016/j.fusengdes.2023.113832)〕</t>
        </r>
      </text>
    </comment>
    <comment ref="H214" authorId="0" shapeId="0" xr:uid="{00000000-0006-0000-0000-0000CD000000}">
      <text>
        <r>
          <rPr>
            <sz val="11"/>
            <rFont val="Carlito"/>
          </rPr>
          <t>表格 TF〔S003 Balshaw 2012 表格〕</t>
        </r>
      </text>
    </comment>
    <comment ref="H215" authorId="0" shapeId="0" xr:uid="{00000000-0006-0000-0000-0000CE000000}">
      <text>
        <r>
          <rPr>
            <sz val="11"/>
            <rFont val="Carlito"/>
          </rPr>
          <t>设计/标称 Bo | CSV 并录值: 0.5 / 0.6 / 0.8〔S001 IAEA World Survey 2022 表格〕</t>
        </r>
      </text>
    </comment>
    <comment ref="H216" authorId="0" shapeId="0" xr:uid="{00000000-0006-0000-0000-0000CF000000}">
      <text>
        <r>
          <rPr>
            <sz val="11"/>
            <rFont val="Carlito"/>
          </rPr>
          <t>表格 TF〔S003 Balshaw 2012 表格〕</t>
        </r>
      </text>
    </comment>
    <comment ref="H217" authorId="0" shapeId="0" xr:uid="{00000000-0006-0000-0000-0000D0000000}">
      <text>
        <r>
          <rPr>
            <sz val="11"/>
            <rFont val="Carlito"/>
          </rPr>
          <t>表格 TF〔S003 Balshaw 2012 表格〕</t>
        </r>
      </text>
    </comment>
    <comment ref="H218" authorId="0" shapeId="0" xr:uid="{00000000-0006-0000-0000-0000D1000000}">
      <text>
        <r>
          <rPr>
            <sz val="11"/>
            <rFont val="Carlito"/>
          </rPr>
          <t>表格 TF〔S003 Balshaw 2012 表格〕</t>
        </r>
      </text>
    </comment>
    <comment ref="H219" authorId="0" shapeId="0" xr:uid="{00000000-0006-0000-0000-0000D2000000}">
      <text>
        <r>
          <rPr>
            <sz val="11"/>
            <rFont val="Carlito"/>
          </rPr>
          <t>表格 TF | CSV 并录值: 0.8 / 0.625〔S003 Balshaw 2012 表格〕</t>
        </r>
      </text>
    </comment>
    <comment ref="H220" authorId="0" shapeId="0" xr:uid="{00000000-0006-0000-0000-0000D3000000}">
      <text>
        <r>
          <rPr>
            <sz val="11"/>
            <rFont val="Carlito"/>
          </rPr>
          <t>设计/标称 Bo | CSV 并录值: 0.3 / 0.4〔S001 IAEA World Survey 2022 表格〕</t>
        </r>
      </text>
    </comment>
    <comment ref="H221" authorId="0" shapeId="0" xr:uid="{00000000-0006-0000-0000-0000D4000000}">
      <text>
        <r>
          <rPr>
            <sz val="11"/>
            <rFont val="Carlito"/>
          </rPr>
          <t>设计/标称 Bo〔S001 IAEA World Survey 2022 表格; S003 Balshaw 2012 表格〕</t>
        </r>
      </text>
    </comment>
    <comment ref="H222" authorId="0" shapeId="0" xr:uid="{00000000-0006-0000-0000-0000D5000000}">
      <text>
        <r>
          <rPr>
            <sz val="11"/>
            <rFont val="Carlito"/>
          </rPr>
          <t>表格 TF〔S003 Balshaw 2012 表格〕</t>
        </r>
      </text>
    </comment>
    <comment ref="H223" authorId="0" shapeId="0" xr:uid="{00000000-0006-0000-0000-0000D6000000}">
      <text>
        <r>
          <rPr>
            <sz val="11"/>
            <rFont val="Carlito"/>
          </rPr>
          <t>文中语句〔S094〕</t>
        </r>
      </text>
    </comment>
    <comment ref="H224" authorId="0" shapeId="0" xr:uid="{00000000-0006-0000-0000-0000D7000000}">
      <text>
        <r>
          <rPr>
            <sz val="11"/>
            <rFont val="Carlito"/>
          </rPr>
          <t>设计值(on-axis) | CSV 并录值: 5.3 / 5.7 / 6.9〔the-demo-magnet-system-status-and-future-challenges〕</t>
        </r>
      </text>
    </comment>
    <comment ref="H225" authorId="0" shapeId="0" xr:uid="{00000000-0006-0000-0000-0000D8000000}">
      <text>
        <r>
          <rPr>
            <sz val="11"/>
            <rFont val="Carlito"/>
          </rPr>
          <t>文中语句 | CSV 并录值: 5.0 / 5.6〔S115〕</t>
        </r>
      </text>
    </comment>
    <comment ref="H226" authorId="0" shapeId="0" xr:uid="{00000000-0006-0000-0000-0000D9000000}">
      <text>
        <r>
          <rPr>
            <sz val="11"/>
            <rFont val="Carlito"/>
          </rPr>
          <t>口径: 设计值(轴上)。列序推断: ITER 5.3 / Model A (R=9.55 m) 7.0 / Model B (R=8.6 m) 6.9 / Model C (R=7.5 m) 6.0 / Model D (R=6.1 m) 被截断 / ARIES-AT (R=5.2 m)〔ScienceDirect Topics 'Fusion Product' — PPCS 模型参数表摘录〕</t>
        </r>
      </text>
    </comment>
    <comment ref="H227" authorId="0" shapeId="0" xr:uid="{00000000-0006-0000-0000-0000DA000000}">
      <text>
        <r>
          <rPr>
            <sz val="11"/>
            <rFont val="Carlito"/>
          </rPr>
          <t>口径: 设计值(轴上); 对应 R=8.6 m 列(按半径顺序推断为 Model B), 列-模型对应关系为推断, 建议以 PPCS 原表复核〔ScienceDirect Topics 'Fusion Product' — PPCS 模型参数表摘录〕</t>
        </r>
      </text>
    </comment>
    <comment ref="H228" authorId="0" shapeId="0" xr:uid="{00000000-0006-0000-0000-0000DB000000}">
      <text>
        <r>
          <rPr>
            <sz val="11"/>
            <rFont val="Carlito"/>
          </rPr>
          <t>口径: 设计值(轴上); 对应 R=7.5 m 列(按半径顺序推断为 Model C)〔ScienceDirect Topics 'Fusion Product' — PPCS 模型参数表摘录〕</t>
        </r>
      </text>
    </comment>
    <comment ref="H229" authorId="0" shapeId="0" xr:uid="{00000000-0006-0000-0000-0000DC000000}">
      <text>
        <r>
          <rPr>
            <sz val="11"/>
            <rFont val="Carlito"/>
          </rPr>
          <t>口径: 设计值(轴上, R=6.1 列, 列序 A B C D 末列); 双口径 TF on TF coil conductor=13.4T 并录〔EFDA-RP-RE-5.0 PPCS Final Report (2005)〕</t>
        </r>
      </text>
    </comment>
    <comment ref="H230" authorId="0" shapeId="0" xr:uid="{00000000-0006-0000-0000-0000DD000000}">
      <text>
        <r>
          <rPr>
            <sz val="11"/>
            <rFont val="Carlito"/>
          </rPr>
          <t>表格 Bt〔S002 Gryaznevich 2005 ST综述 表格〕</t>
        </r>
      </text>
    </comment>
    <comment ref="H231" authorId="0" shapeId="0" xr:uid="{00000000-0006-0000-0000-0000DE000000}">
      <text>
        <r>
          <rPr>
            <sz val="11"/>
            <rFont val="Carlito"/>
          </rPr>
          <t>表格 TF | CSV 并录值: 10 / 10.0〔S003 Balshaw 2012 表格〕</t>
        </r>
      </text>
    </comment>
    <comment ref="H232" authorId="0" shapeId="0" xr:uid="{00000000-0006-0000-0000-0000DF000000}">
      <text>
        <r>
          <rPr>
            <sz val="11"/>
            <rFont val="Carlito"/>
          </rPr>
          <t>表格 TF | CSV 并录值: 12 / 12.0 / 8–10〔S003 Balshaw 2012 表格〕</t>
        </r>
      </text>
    </comment>
    <comment ref="H233" authorId="0" shapeId="0" xr:uid="{00000000-0006-0000-0000-0000E0000000}">
      <text>
        <r>
          <rPr>
            <sz val="11"/>
            <rFont val="Carlito"/>
          </rPr>
          <t>S003 raw=[0.67, 0.22, 8] (R=0.67, a=0.22, TF=8), C-Mod 8T 为公认值 | CSV 并录值: 8 / 5.4 / 9.0〔25_Greenwald_2014_20_years_of_research_on_the_Alcator_C-Mod_tokamak; S003 Balshaw 2012 表格〕</t>
        </r>
      </text>
    </comment>
    <comment ref="H234" authorId="0" shapeId="0" xr:uid="{00000000-0006-0000-0000-0000E1000000}">
      <text>
        <r>
          <rPr>
            <sz val="11"/>
            <rFont val="Carlito"/>
          </rPr>
          <t>文中语句〔S202〕</t>
        </r>
      </text>
    </comment>
    <comment ref="H235" authorId="0" shapeId="0" xr:uid="{00000000-0006-0000-0000-0000E2000000}">
      <text>
        <r>
          <rPr>
            <sz val="11"/>
            <rFont val="Carlito"/>
          </rPr>
          <t>口径: 设计值(轴上 9.2 T, R=3.3 m)。确认为 MIT 2015 ARC, 非 ARC V3A〔NextBigFuture — MIT ARC 2015 concept (同值见 arXiv:1409.3540 / FED S0920379615302337); aps_dpp_archive (meetings-archive.aps.org/dpp/) 摘要 · 2014/tp8/5 (MIT, ARC 概念设计一作摘要)〕</t>
        </r>
      </text>
    </comment>
    <comment ref="H236" authorId="0" shapeId="0" xr:uid="{00000000-0006-0000-0000-0000E3000000}">
      <text>
        <r>
          <rPr>
            <sz val="11"/>
            <rFont val="Carlito"/>
          </rPr>
          <t>口径: 线圈峰值(Bt 扫描上限情形下 TF 线圈处峰值 16 T) | CSV 并录值: 16 / 6.0〔OSTI 1178069 — ARIES Advanced and Conservative Tokamak PVR (Bt 扫描 4.5-7.5 T)〕</t>
        </r>
      </text>
    </comment>
    <comment ref="H237" authorId="0" shapeId="0" xr:uid="{00000000-0006-0000-0000-0000E4000000}">
      <text>
        <r>
          <rPr>
            <sz val="11"/>
            <rFont val="Carlito"/>
          </rPr>
          <t>文中语句〔S180〕</t>
        </r>
      </text>
    </comment>
    <comment ref="H238" authorId="0" shapeId="0" xr:uid="{00000000-0006-0000-0000-0000E5000000}">
      <text>
        <r>
          <rPr>
            <sz val="11"/>
            <rFont val="Carlito"/>
          </rPr>
          <t>文中语句 | CSV 并录值: 8 / 5.8〔S156〕</t>
        </r>
      </text>
    </comment>
    <comment ref="H239" authorId="0" shapeId="0" xr:uid="{00000000-0006-0000-0000-0000E6000000}">
      <text>
        <r>
          <rPr>
            <sz val="11"/>
            <rFont val="Carlito"/>
          </rPr>
          <t>文中语句 | CSV 并录值: 8 / 5.8〔S156〕</t>
        </r>
      </text>
    </comment>
    <comment ref="H240" authorId="0" shapeId="0" xr:uid="{00000000-0006-0000-0000-0000E7000000}">
      <text>
        <r>
          <rPr>
            <sz val="11"/>
            <rFont val="Carlito"/>
          </rPr>
          <t>ARIES-I 官方参考设计点(exec-sum 表同值 11.3); 同表 R 6.75/a 1.50/κx 1.80/δx 0.70/Ip 10.20 与 xlsx 逐项一致; 此前推荐值 6.0T(T4 S201) 出自 ACT 研究语境(Bt 扫描 4.5-7.5T), 疑串行, 降为并存值; 另 T6 21T 为线圈峰值口径 | CSV 并录值: 6.0 / 7.0 / 6.75 / 8.75 / 11.33〔qedfusion ARIES 档案 · ARIES-1 Final Report (UCLA-PPG-1383) chap03 Table 3.1-I〕</t>
        </r>
      </text>
    </comment>
    <comment ref="H241" authorId="0" shapeId="0" xr:uid="{00000000-0006-0000-0000-0000E8000000}">
      <text>
        <r>
          <rPr>
            <sz val="11"/>
            <rFont val="Carlito"/>
          </rPr>
          <t>Table I 括号值(ARIES-II 列); 与 Sheffield1994 表X 7.5T 并存双口径; 线圈峰值16T | CSV 并录值: 7.5 / 8.1 / ≲16〔qedfusion ARIES 档案 · IAEA CN-56/W-3 (Najmabadi 1992, ARIES-II/IV) Table I〕</t>
        </r>
      </text>
    </comment>
    <comment ref="H242" authorId="0" shapeId="0" xr:uid="{00000000-0006-0000-0000-0000E9000000}">
      <text>
        <r>
          <rPr>
            <sz val="11"/>
            <rFont val="Carlito"/>
          </rPr>
          <t>文中语句〔S190〕</t>
        </r>
      </text>
    </comment>
    <comment ref="H243" authorId="0" shapeId="0" xr:uid="{00000000-0006-0000-0000-0000EA000000}">
      <text>
        <r>
          <rPr>
            <sz val="11"/>
            <rFont val="Carlito"/>
          </rPr>
          <t>轴上场设计值, 线圈峰值16T; 同表 Ip 6.8(6.5)MA / R 6.1(5.6)m / a 1.5(1.4)m / κ=2 / δ=0.67; pdf2md OCR 自 qedfusion_DOCS/REPORT/CONF/IAEA92/najmabadi.pdf(ARIES-II/IV 唯一在线文本, UCLA-PPG-1461 Final Report 站点标注无电子版)〔qedfusion ARIES 档案 · IAEA CN-56/W-3 (Najmabadi 1992, ARIES-II/IV) Table I〕</t>
        </r>
      </text>
    </comment>
    <comment ref="H244" authorId="0" shapeId="0" xr:uid="{00000000-0006-0000-0000-0000EB000000}">
      <text>
        <r>
          <rPr>
            <sz val="11"/>
            <rFont val="Carlito"/>
          </rPr>
          <t>修正: web 轮推荐值 11.3T 系把 Table I 的 ARIES-I[1] 列值误绑到 R=7.64 设计上; 与 xlsx ARIES-I′(R 7.64/a 1.7/Ip 10.9) 唯一咬合的第五列 Bφ0=10.6T; 同表无 κ/δ 行(I′ 的 δ 真无值); 11.3T 降为并存值(口径=原版 ARIES-I) | CSV 并录值: 21 / 10.6 / 11.3〔OSTI 148666《Evolution of the ARIES-I Design in the ARIES and PULSAR Projects》Table I (pdf2md OCR)〕</t>
        </r>
      </text>
    </comment>
    <comment ref="H245" authorId="0" shapeId="0" xr:uid="{00000000-0006-0000-0000-0000EC000000}">
      <text>
        <r>
          <rPr>
            <sz val="11"/>
            <rFont val="Carlito"/>
          </rPr>
          <t>S156 对比语境下明确归属 ARIES-RS (B0=8T)〔S156〕</t>
        </r>
      </text>
    </comment>
    <comment ref="H246" authorId="0" shapeId="0" xr:uid="{00000000-0006-0000-0000-0000ED000000}">
      <text>
        <r>
          <rPr>
            <sz val="11"/>
            <rFont val="Carlito"/>
          </rPr>
          <t>文中语句〔S133〕</t>
        </r>
      </text>
    </comment>
    <comment ref="H247" authorId="0" shapeId="0" xr:uid="{00000000-0006-0000-0000-0000EE000000}">
      <text>
        <r>
          <rPr>
            <sz val="11"/>
            <rFont val="Carlito"/>
          </rPr>
          <t>文中语句〔S133〕</t>
        </r>
      </text>
    </comment>
    <comment ref="H248" authorId="0" shapeId="0" xr:uid="{00000000-0006-0000-0000-0000EF000000}">
      <text>
        <r>
          <rPr>
            <sz val="11"/>
            <rFont val="Carlito"/>
          </rPr>
          <t>表格 TF | CSV 并录值: 2 / 4.7 / 2.0–5.0〔S003 Balshaw 2012 表格〕</t>
        </r>
      </text>
    </comment>
    <comment ref="H249" authorId="0" shapeId="0" xr:uid="{00000000-0006-0000-0000-0000F0000000}">
      <text>
        <r>
          <rPr>
            <sz val="11"/>
            <rFont val="Carlito"/>
          </rPr>
          <t>口径: 设计值(10.6 MA 版本 8.1 T); 与 9 T/11.8 MA 为不同设计阶段取值 | CSV 并录值: 9 / 8.1〔OSTI 5831026 — Confinement projections for the Burning Plasma Experiment〕</t>
        </r>
      </text>
    </comment>
    <comment ref="H250" authorId="0" shapeId="0" xr:uid="{00000000-0006-0000-0000-0000F1000000}">
      <text>
        <r>
          <rPr>
            <sz val="11"/>
            <rFont val="Carlito"/>
          </rPr>
          <t>表格 TF〔S003 Balshaw 2012 表格〕</t>
        </r>
      </text>
    </comment>
    <comment ref="H251" authorId="0" shapeId="0" xr:uid="{00000000-0006-0000-0000-0000F2000000}">
      <text>
        <r>
          <rPr>
            <sz val="11"/>
            <rFont val="Carlito"/>
          </rPr>
          <t>2 kG = 0.2 T。Majeski, Nucl. Fusion 45 (2005) 亦写 "B_toroidal = 2 kG"；Ono et al. (Phys. Plasmas 2015 综述) 给 "BT0 ≤ 2.1 kG"（≤0.21 T）。PPPL 球形环，LTX 前身，勿与 LTX/LTX-β 混用。〔Majeski et al., Fusion Eng. Des. (2003) — Plasma performance improvements with liquid lithium limiters in CDX-U (免费PDF: pst.pppl.gov/ltx/pdf/Majeski_FED_2003.pdf)〕</t>
        </r>
      </text>
    </comment>
    <comment ref="H252" authorId="0" shapeId="0" xr:uid="{00000000-0006-0000-0000-0000F3000000}">
      <text>
        <r>
          <rPr>
            <sz val="11"/>
            <rFont val="Carlito"/>
          </rPr>
          <t>口径: 设计值(轴上 B_T = 10 T)〔INIS — Compact Ignition Tokamak (CIT) 设计参数〕</t>
        </r>
      </text>
    </comment>
    <comment ref="H253" authorId="0" shapeId="0" xr:uid="{00000000-0006-0000-0000-0000F4000000}">
      <text>
        <r>
          <rPr>
            <sz val="11"/>
            <rFont val="Carlito"/>
          </rPr>
          <t>设计/标称 Bo | CSV 并录值: 2.0 / 2.1 / 2.2 / 1.51 / 2.17 / 0.6–2.2〔S001 IAEA World Survey 2022 表格〕</t>
        </r>
      </text>
    </comment>
    <comment ref="H254" authorId="0" shapeId="0" xr:uid="{00000000-0006-0000-0000-0000F5000000}">
      <text>
        <r>
          <rPr>
            <sz val="11"/>
            <rFont val="Carlito"/>
          </rPr>
          <t>表格 TF〔S003 Balshaw 2012 表格〕</t>
        </r>
      </text>
    </comment>
    <comment ref="H255" authorId="0" shapeId="0" xr:uid="{00000000-0006-0000-0000-0000F6000000}">
      <text>
        <r>
          <rPr>
            <sz val="11"/>
            <rFont val="Carlito"/>
          </rPr>
          <t>表格 TF〔S003 Balshaw 2012 表格〕</t>
        </r>
      </text>
    </comment>
    <comment ref="H256" authorId="0" shapeId="0" xr:uid="{00000000-0006-0000-0000-0000F7000000}">
      <text>
        <r>
          <rPr>
            <sz val="11"/>
            <rFont val="Carlito"/>
          </rPr>
          <t>表格 TF〔S003 Balshaw 2012 表格; Wesson2011_Tokamak_edition4〕</t>
        </r>
      </text>
    </comment>
    <comment ref="H257" authorId="0" shapeId="0" xr:uid="{00000000-0006-0000-0000-0000F8000000}">
      <text>
        <r>
          <rPr>
            <sz val="11"/>
            <rFont val="Carlito"/>
          </rPr>
          <t>Balshaw 表 TF 列为 0.25(1.0) T：0.25 T 运行/可达值，括号 1.0 T 为设计值。R=5.0 m, a=1.0 m（大半径极大的装置），Ip=0.045 MA；约 2005 年停运。AIP Conf. Proc. 论文另述运行范围 "toroidal field of 0.08 to 0.25 T"。UCLA（美国），非 ET(European Torus)。〔N.N. Balshaw, "Table of Tokamaks" (April 2012)〕</t>
        </r>
      </text>
    </comment>
    <comment ref="H258" authorId="0" shapeId="0" xr:uid="{00000000-0006-0000-0000-0000F9000000}">
      <text>
        <r>
          <rPr>
            <sz val="11"/>
            <rFont val="Carlito"/>
          </rPr>
          <t>表格 TF〔S003 Balshaw 2012 表格〕</t>
        </r>
      </text>
    </comment>
    <comment ref="H259" authorId="0" shapeId="0" xr:uid="{00000000-0006-0000-0000-0000FA000000}">
      <text>
        <r>
          <rPr>
            <sz val="11"/>
            <rFont val="Carlito"/>
          </rPr>
          <t>口径: 设计值(名义 10 T) | CSV 并录值: 10 / 12〔Fusion Engineering and Design 58 (2001) — FIRE TF 线圈(BeCu 内腿)〕</t>
        </r>
      </text>
    </comment>
    <comment ref="H260" authorId="0" shapeId="0" xr:uid="{00000000-0006-0000-0000-0000FB000000}">
      <text>
        <r>
          <rPr>
            <sz val="11"/>
            <rFont val="Carlito"/>
          </rPr>
          <t>文中语句〔S148〕</t>
        </r>
      </text>
    </comment>
    <comment ref="H261" authorId="0" shapeId="0" xr:uid="{00000000-0006-0000-0000-0000FC000000}">
      <text>
        <r>
          <rPr>
            <sz val="11"/>
            <rFont val="Carlito"/>
          </rPr>
          <t>设计/标称 Bo〔S001 IAEA World Survey 2022 表格; S003 Balshaw 2012 表格〕</t>
        </r>
      </text>
    </comment>
    <comment ref="H262" authorId="0" shapeId="0" xr:uid="{00000000-0006-0000-0000-0000FD000000}">
      <text>
        <r>
          <rPr>
            <sz val="11"/>
            <rFont val="Carlito"/>
          </rPr>
          <t>Table C.2 中独立行 'HIT-I(Shutdown)'（=Washington 大学 Helicity Injected Torus 原型），按表头 B_t(T)[Bp(T)] 列 → 0.5 T；同表 HIT-II 行(0.5 T)未转记，二者分别列出〔Committee1999_Opportunities_In_The_Fusion_Energy_Sciences_Program〕</t>
        </r>
      </text>
    </comment>
    <comment ref="H263" authorId="0" shapeId="0" xr:uid="{00000000-0006-0000-0000-0000FE000000}">
      <text>
        <r>
          <rPr>
            <sz val="11"/>
            <rFont val="Carlito"/>
          </rPr>
          <t>实验论文口径 up to 0.5 T（APS-DPP 2000 摘要同给 B0=0.5 T）；另有报告称 HIT-II 升级后运行范围 0.15–0.6 T。两口径（0.5/0.67 T）并存，引用需注明来源。 | CSV 并录值: 0.5 / 0.67〔Raman et al., Phys. Plasmas 9, 2006 (2002) — Current drive experiments in the helicity injected torus (HIT-II)〕</t>
        </r>
      </text>
    </comment>
    <comment ref="H264" authorId="0" shapeId="0" xr:uid="{00000000-0006-0000-0000-0000FF000000}">
      <text>
        <r>
          <rPr>
            <sz val="11"/>
            <rFont val="Carlito"/>
          </rPr>
          <t>参数表值(Wesson Table 11.23 “Tokamak parameters”, Toroidal field 列)〔Wesson2011_Tokamak_edition4〕</t>
        </r>
      </text>
    </comment>
    <comment ref="H265" authorId="0" shapeId="0" xr:uid="{00000000-0006-0000-0000-000000010000}">
      <text>
        <r>
          <rPr>
            <sz val="11"/>
            <rFont val="Carlito"/>
          </rPr>
          <t>参数表值(Wesson Table 11.23 “Tokamak parameters”, Toroidal field 列)〔Wesson2011_Tokamak_edition4〕</t>
        </r>
      </text>
    </comment>
    <comment ref="H266" authorId="0" shapeId="0" xr:uid="{00000000-0006-0000-0000-000001010000}">
      <text>
        <r>
          <rPr>
            <sz val="11"/>
            <rFont val="Carlito"/>
          </rPr>
          <t>设计/标称 Bo〔S001 IAEA World Survey 2022 表格〕</t>
        </r>
      </text>
    </comment>
    <comment ref="H267" authorId="0" shapeId="0" xr:uid="{00000000-0006-0000-0000-000002010000}">
      <text>
        <r>
          <rPr>
            <sz val="11"/>
            <rFont val="Carlito"/>
          </rPr>
          <t>3.4 kG = 0.34 T（升级后设计/安装值，约为 LTX 的 2 倍）。交叉印证：IOP Nucl. Fusion (2024, DOI 10.1088/1741-4326/ad2ca7) 写 "toroidal field of 3 kG on the axis"（0.3 T 轴上运行值）。冲突提示：Wikipedia 称升级"提高约 2/3"，与"约翻倍"矛盾；NASEM 报告的 0.17 T 实为 LTX 原始值（1.7 kG），疑被误标为 LTX-β。勿与 LTX (0.17 T) 混用。〔Majeski et al., APS DPP 2017 (UP11.102) — LTX-β 装置概述〕</t>
        </r>
      </text>
    </comment>
    <comment ref="H268" authorId="0" shapeId="0" xr:uid="{00000000-0006-0000-0000-000003010000}">
      <text>
        <r>
          <rPr>
            <sz val="11"/>
            <rFont val="Carlito"/>
          </rPr>
          <t>表格 TF | CSV 并录值: 0.3 / 0.4〔S003 Balshaw 2012 表格〕</t>
        </r>
      </text>
    </comment>
    <comment ref="H269" authorId="0" shapeId="0" xr:uid="{00000000-0006-0000-0000-000004010000}">
      <text>
        <r>
          <rPr>
            <sz val="11"/>
            <rFont val="Carlito"/>
          </rPr>
          <t>设计值：B0 = 11 T（Table 1；偏滤器对比表列 B_T = 11.1 T）。R0 = 4.55 m, a = 1.2 m, Ip = 10 MA, Pfus = 450 MW，18 个非绝缘 REBCO TF 线圈 @47.2 kA（20 K, LH2 冷却），负三角形度 δ=-0.5，ARC-class FPP 概念（MIT/Columbia/GA 课程设计研究，DOI 10.1088/1361-6587/ad6708）。注意：arXiv 2501.14682 的"3 T on-axis、16 个可拆卸铜 TF 线圈"是另一台 NT 实验装置，不是 MANTA。〔Rutherford et al. (MANTA Collaboration), "MANTA: A Negative-Triangularity NASEM-Compliant Fusion Pilot Plant", PPCF 66, 105006 (2024) / arXiv:2405.20243, Table 1〕</t>
        </r>
      </text>
    </comment>
    <comment ref="H270" authorId="0" shapeId="0" xr:uid="{00000000-0006-0000-0000-000005010000}">
      <text>
        <r>
          <rPr>
            <sz val="11"/>
            <rFont val="Carlito"/>
          </rPr>
          <t>BT = 0.2–0.45 T（运行范围，脉冲 1–2 ms）。MEDUSA 为威斯康星大学 PEGASUS 的前身（1994–1999）；勿与哥斯达黎加 MEDUSA-CR 混用。〔UW-Madison PEGASUS 官网 — About Pegasus（历史装置）〕</t>
        </r>
      </text>
    </comment>
    <comment ref="H271" authorId="0" shapeId="0" xr:uid="{00000000-0006-0000-0000-000006010000}">
      <text>
        <r>
          <rPr>
            <sz val="11"/>
            <rFont val="Carlito"/>
          </rPr>
          <t>表格 TF | CSV 并录值: 2 / 2.5〔S003 Balshaw 2012 表格〕</t>
        </r>
      </text>
    </comment>
    <comment ref="H272" authorId="0" shapeId="0" xr:uid="{00000000-0006-0000-0000-000007010000}">
      <text>
        <r>
          <rPr>
            <sz val="11"/>
            <rFont val="Carlito"/>
          </rPr>
          <t>低置信推断：MTX=LLNL 微波托卡马克实验，硬件即 MIT 转让的 Alcator C（Bitter 线圈，OSTI 5637584）。13 T 为捐出前 Alcator C 的设计最高场，非 MTX 运行值；MTX 自身运行 Bt 未查到（3 个查询变体均无）。〔Table of Tokamaks (GOLEM wiki) / OSTI 5637584 / nuclear-fusion.com.cn Alcator C〕</t>
        </r>
      </text>
    </comment>
    <comment ref="H273" authorId="0" shapeId="0" xr:uid="{00000000-0006-0000-0000-000008010000}">
      <text>
        <r>
          <rPr>
            <sz val="11"/>
            <rFont val="Carlito"/>
          </rPr>
          <t>文中语句 | CSV 并录值: 0.3 / 0.45 / 0.55 / ≤0.6〔S176〕</t>
        </r>
      </text>
    </comment>
    <comment ref="H274" authorId="0" shapeId="0" xr:uid="{00000000-0006-0000-0000-000009010000}">
      <text>
        <r>
          <rPr>
            <sz val="11"/>
            <rFont val="Carlito"/>
          </rPr>
          <t>设计/标称 Bo〔S001 IAEA World Survey 2022 表格〕</t>
        </r>
      </text>
    </comment>
    <comment ref="H275" authorId="0" shapeId="0" xr:uid="{00000000-0006-0000-0000-00000A010000}">
      <text>
        <r>
          <rPr>
            <sz val="11"/>
            <rFont val="Carlito"/>
          </rPr>
          <t>表格 TF | CSV 并录值: 1.8 / 2.5〔S003 Balshaw 2012 表格〕</t>
        </r>
      </text>
    </comment>
    <comment ref="H276" authorId="0" shapeId="0" xr:uid="{00000000-0006-0000-0000-00000B010000}">
      <text>
        <r>
          <rPr>
            <sz val="11"/>
            <rFont val="Carlito"/>
          </rPr>
          <t>S003 表格原文人工直读(原解析漏值); 列序 R a B Ip; 下一行 PBX-M 为 2T 勿混〔S003 Balshaw 2012 表格(人工直读补漏)〕</t>
        </r>
      </text>
    </comment>
    <comment ref="H277" authorId="0" shapeId="0" xr:uid="{00000000-0006-0000-0000-00000C010000}">
      <text>
        <r>
          <rPr>
            <sz val="11"/>
            <rFont val="Carlito"/>
          </rPr>
          <t>表格 TF | CSV 并录值: 2 / 1.5 / 1.06〔S003 Balshaw 2012 表格〕</t>
        </r>
      </text>
    </comment>
    <comment ref="H278" authorId="0" shapeId="0" xr:uid="{00000000-0006-0000-0000-00000D010000}">
      <text>
        <r>
          <rPr>
            <sz val="11"/>
            <rFont val="Carlito"/>
          </rPr>
          <t>表格 TF〔S003 Balshaw 2012 表格; Wesson2011_Tokamak_edition4〕</t>
        </r>
      </text>
    </comment>
    <comment ref="H279" authorId="0" shapeId="0" xr:uid="{00000000-0006-0000-0000-00000E010000}">
      <text>
        <r>
          <rPr>
            <sz val="11"/>
            <rFont val="Carlito"/>
          </rPr>
          <t>0.17 T 为原 PEGASUS（UW-Madison）运行口径；勿与 PEGASUS-III（0.2 T 设计）混用。〔NASEM "Bringing Fusion to the U.S. Grid" (2021) — 装置附录 Pegasus 条目〕</t>
        </r>
      </text>
    </comment>
    <comment ref="H280" authorId="0" shapeId="0" xr:uid="{00000000-0006-0000-0000-00000F010000}">
      <text>
        <r>
          <rPr>
            <sz val="11"/>
            <rFont val="Carlito"/>
          </rPr>
          <t>设计/标称 Bo〔S001 IAEA World Survey 2022 表格〕</t>
        </r>
      </text>
    </comment>
    <comment ref="H281" authorId="0" shapeId="0" xr:uid="{00000000-0006-0000-0000-000010010000}">
      <text>
        <r>
          <rPr>
            <sz val="11"/>
            <rFont val="Carlito"/>
          </rPr>
          <t>表格 TF〔S003 Balshaw 2012 表格〕</t>
        </r>
      </text>
    </comment>
    <comment ref="H282" authorId="0" shapeId="0" xr:uid="{00000000-0006-0000-0000-000011010000}">
      <text>
        <r>
          <rPr>
            <sz val="11"/>
            <rFont val="Carlito"/>
          </rPr>
          <t>表格 TF〔S003 Balshaw 2012 表格〕</t>
        </r>
      </text>
    </comment>
    <comment ref="H283" authorId="0" shapeId="0" xr:uid="{00000000-0006-0000-0000-000012010000}">
      <text>
        <r>
          <rPr>
            <sz val="11"/>
            <rFont val="Carlito"/>
          </rPr>
          <t>表格 TF | CSV 并录值: 4 / 3.5〔S003 Balshaw 2012 表格〕</t>
        </r>
      </text>
    </comment>
    <comment ref="H285" authorId="0" shapeId="0" xr:uid="{00000000-0006-0000-0000-000013010000}">
      <text>
        <r>
          <rPr>
            <sz val="11"/>
            <rFont val="Carlito"/>
          </rPr>
          <t>设计/标称 Bo | CSV 并录值: 12 / 12.2 / 12.2 / 8.0〔S001 IAEA World Survey 2022 表格; S202〕</t>
        </r>
      </text>
    </comment>
    <comment ref="H286" authorId="0" shapeId="0" xr:uid="{00000000-0006-0000-0000-000014010000}">
      <text>
        <r>
          <rPr>
            <sz val="11"/>
            <rFont val="Carlito"/>
          </rPr>
          <t>11T 为 TF 线圈导体峰值(非轴上)〔S157〕</t>
        </r>
      </text>
    </comment>
    <comment ref="H287" authorId="0" shapeId="0" xr:uid="{00000000-0006-0000-0000-000015010000}">
      <text>
        <r>
          <rPr>
            <sz val="11"/>
            <rFont val="Carlito"/>
          </rPr>
          <t>表格 TF | CSV 并录值: 1 / 0.8〔S003 Balshaw 2012 表格; S151〕</t>
        </r>
      </text>
    </comment>
    <comment ref="H288" authorId="0" shapeId="0" xr:uid="{00000000-0006-0000-0000-000016010000}">
      <text>
        <r>
          <rPr>
            <sz val="11"/>
            <rFont val="Carlito"/>
          </rPr>
          <t>口径: 双源冲突并录——Wesson Table 11.23 参数表 4.4 T vs Balshaw 2012 表 5 T(R=1.09/a=0.13/Ip=0.13 与调研行指纹逐位吻合)+Taylor 1987 表Ⅰ 50 kG=5 T 双印证; PPPL Princeton, Model C 改造, 1970-1974</t>
        </r>
      </text>
    </comment>
    <comment ref="H289" authorId="0" shapeId="0" xr:uid="{00000000-0006-0000-0000-000017010000}">
      <text>
        <r>
          <rPr>
            <sz val="11"/>
            <rFont val="Carlito"/>
          </rPr>
          <t>Balshaw 名 TTT/Texas Turbulent Torus; TF 由 16 个 Bitter 线圈产生〔S003 Balshaw 2012 表格(人工直读补漏)〕</t>
        </r>
      </text>
    </comment>
    <comment ref="H290" authorId="0" shapeId="0" xr:uid="{00000000-0006-0000-0000-000018010000}">
      <text>
        <r>
          <rPr>
            <sz val="11"/>
            <rFont val="Carlito"/>
          </rPr>
          <t>表格 TF | CSV 并录值: 2.8 / 0.25〔S003 Balshaw 2012 表格; Wesson2011_Tokamak_edition4〕</t>
        </r>
      </text>
    </comment>
    <comment ref="H291" authorId="0" shapeId="0" xr:uid="{00000000-0006-0000-0000-000019010000}">
      <text>
        <r>
          <rPr>
            <sz val="11"/>
            <rFont val="Carlito"/>
          </rPr>
          <t>运行值(on-axis) | CSV 并录值: 4.8 / 5.0 / 4.75〔Snyder1999_thesis_Gyrofluid Theory and Simulation of Electromagnetic Turbulence annd Transport in Tokamak Plasmas〕</t>
        </r>
      </text>
    </comment>
    <comment ref="H292" authorId="0" shapeId="0" xr:uid="{00000000-0006-0000-0000-00001A010000}">
      <text>
        <r>
          <rPr>
            <sz val="11"/>
            <rFont val="Carlito"/>
          </rPr>
          <t>运行值(on-axis) | CSV 并录值: 4.8 / 5.0 / 4.75〔Snyder1999_thesis_Gyrofluid Theory and Simulation of Electromagnetic Turbulence annd Transport in Tokamak Plasmas〕</t>
        </r>
      </text>
    </comment>
    <comment ref="H293" authorId="0" shapeId="0" xr:uid="{00000000-0006-0000-0000-00001B010000}">
      <text>
        <r>
          <rPr>
            <sz val="11"/>
            <rFont val="Carlito"/>
          </rPr>
          <t>R=0.50 a=0.10 Ip=0.025MA; 极向偏滤器构型(八极场线圈) | CSV 并录值: 0.1 / 0.5 / 0.45〔S003 Balshaw 2012 表格(人工直读补漏)〕</t>
        </r>
      </text>
    </comment>
    <comment ref="H294" authorId="0" shapeId="0" xr:uid="{00000000-0006-0000-0000-00001C010000}">
      <text>
        <r>
          <rPr>
            <sz val="11"/>
            <rFont val="Carlito"/>
          </rPr>
          <t>口径: 设计值(轴上 4 T)〔The design of the Tokamak Physics Experiment (TPX)〕</t>
        </r>
      </text>
    </comment>
    <comment ref="H295" authorId="0" shapeId="0" xr:uid="{00000000-0006-0000-0000-00001D010000}">
      <text>
        <r>
          <rPr>
            <sz val="11"/>
            <rFont val="Carlito"/>
          </rPr>
          <t>表格 TF | CSV 并录值: 1 / 1.5〔S003 Balshaw 2012 表格〕</t>
        </r>
      </text>
    </comment>
    <comment ref="H296" authorId="0" shapeId="0" xr:uid="{00000000-0006-0000-0000-00001E010000}">
      <text>
        <r>
          <rPr>
            <sz val="11"/>
            <rFont val="Carlito"/>
          </rPr>
          <t>文中语句 | CSV 并录值: 7 / 7.0〔S156; S176〕</t>
        </r>
      </text>
    </comment>
    <comment ref="H297" authorId="0" shapeId="0" xr:uid="{00000000-0006-0000-0000-00001F010000}">
      <text>
        <r>
          <rPr>
            <sz val="11"/>
            <rFont val="Carlito"/>
          </rPr>
          <t>表格 TF | CSV 并录值: 1 / 0.8〔S003 Balshaw 2012 表格; S151〕</t>
        </r>
      </text>
    </comment>
    <comment ref="H298" authorId="0" shapeId="0" xr:uid="{00000000-0006-0000-0000-000020010000}">
      <text>
        <r>
          <rPr>
            <sz val="11"/>
            <rFont val="Carlito"/>
          </rPr>
          <t>表格 TF | CSV 并录值: 1 / 0.7〔S003 Balshaw 2012 表格〕</t>
        </r>
      </text>
    </comment>
    <comment ref="H299" authorId="0" shapeId="0" xr:uid="{00000000-0006-0000-0000-000021010000}">
      <text>
        <r>
          <rPr>
            <sz val="11"/>
            <rFont val="Carlito"/>
          </rPr>
          <t>表格 TF | CSV 并录值: 1.7 / 2.1〔S003 Balshaw 2012 表格〕</t>
        </r>
      </text>
    </comment>
    <comment ref="H300" authorId="0" shapeId="0" xr:uid="{00000000-0006-0000-0000-000022010000}">
      <text>
        <r>
          <rPr>
            <sz val="11"/>
            <rFont val="Carlito"/>
          </rPr>
          <t>表格 TF | CSV 并录值: 0.5 / 0.47〔S003 Balshaw 2012 表格〕</t>
        </r>
      </text>
    </comment>
    <comment ref="H301" authorId="0" shapeId="0" xr:uid="{00000000-0006-0000-0000-000023010000}">
      <text>
        <r>
          <rPr>
            <sz val="11"/>
            <rFont val="Carlito"/>
          </rPr>
          <t>口径: 设计值未建成; INIS 2010 'Mexican Design of a Tokamak Experimental Facility'; 引句同句 R=41cm/a=18.5cm/Ip=277kA/toroidal field 1.3T; conf 0.6</t>
        </r>
      </text>
    </comment>
    <comment ref="H302" authorId="0" shapeId="0" xr:uid="{00000000-0006-0000-0000-000024010000}">
      <text>
        <r>
          <rPr>
            <sz val="11"/>
            <rFont val="Carlito"/>
          </rPr>
          <t>口径: 升级型 TPM-1U 设计值(环心最大 0.5 T, ≥2ms; 墨西哥 ININ设计/IPN组装); TPM-1 原始运行值未定位; Nieto-Perez JPCS 370 (2012); conf 0.5</t>
        </r>
      </text>
    </comment>
    <comment ref="H303" authorId="0" shapeId="0" xr:uid="{00000000-0006-0000-0000-000025010000}">
      <text>
        <r>
          <rPr>
            <sz val="11"/>
            <rFont val="Carlito"/>
          </rPr>
          <t>口径: 设计值范围(中心磁场 0.5-1.0 T); INIS b4vy7-4kj61 称 'expected magnetic field in the ...'〔Rev. Mex. Fis. 70(2) — prototype coil with demountable contacts for TPM-1U (CICATA Queretaro)〕</t>
        </r>
      </text>
    </comment>
    <comment ref="H304" authorId="0" shapeId="0" xr:uid="{00000000-0006-0000-0000-000026010000}">
      <text>
        <r>
          <rPr>
            <sz val="11"/>
            <rFont val="Carlito"/>
          </rPr>
          <t>设计/标称 Bo〔S001 IAEA World Survey 2022 表格〕</t>
        </r>
      </text>
    </comment>
    <comment ref="H305" authorId="0" shapeId="0" xr:uid="{00000000-0006-0000-0000-000027010000}">
      <text>
        <r>
          <rPr>
            <sz val="11"/>
            <rFont val="Carlito"/>
          </rPr>
          <t>设计/标称 Bo〔S001 IAEA World Survey 2022 表格〕</t>
        </r>
      </text>
    </comment>
    <comment ref="H306" authorId="0" shapeId="0" xr:uid="{00000000-0006-0000-0000-000028010000}">
      <text>
        <r>
          <rPr>
            <sz val="11"/>
            <rFont val="Carlito"/>
          </rPr>
          <t>表格 TF〔S003 Balshaw 2012 表格〕</t>
        </r>
      </text>
    </comment>
    <comment ref="H307" authorId="0" shapeId="0" xr:uid="{00000000-0006-0000-0000-000029010000}">
      <text>
        <r>
          <rPr>
            <sz val="11"/>
            <rFont val="Carlito"/>
          </rPr>
          <t>设计/标称 Bo | CSV 并录值: 1.1 / 1.07〔S001 IAEA World Survey 2022 表格〕</t>
        </r>
      </text>
    </comment>
    <comment ref="H308" authorId="0" shapeId="0" xr:uid="{00000000-0006-0000-0000-00002A010000}">
      <text>
        <r>
          <rPr>
            <sz val="11"/>
            <rFont val="Carlito"/>
          </rPr>
          <t>设计/标称 Bo〔S001 IAEA World Survey 2022 表格〕</t>
        </r>
      </text>
    </comment>
    <comment ref="H309" authorId="0" shapeId="0" xr:uid="{00000000-0006-0000-0000-00002B010000}">
      <text>
        <r>
          <rPr>
            <sz val="11"/>
            <rFont val="Carlito"/>
          </rPr>
          <t>设计/标称 Bo〔S001 IAEA World Survey 2022 表格; S002 Gryaznevich 2005 ST综述 表格; S003 Balshaw 2012 表格〕</t>
        </r>
      </text>
    </comment>
    <comment ref="H310" authorId="0" shapeId="0" xr:uid="{00000000-0006-0000-0000-00002C010000}">
      <text>
        <r>
          <rPr>
            <sz val="11"/>
            <rFont val="Carlito"/>
          </rPr>
          <t>设计/标称 Bo〔S001 IAEA World Survey 2022 表格; S002 Gryaznevich 2005 ST综述 表格; S003 Balshaw 2012 表格〕</t>
        </r>
      </text>
    </comment>
    <comment ref="H311" authorId="0" shapeId="0" xr:uid="{00000000-0006-0000-0000-00002D010000}">
      <text>
        <r>
          <rPr>
            <sz val="11"/>
            <rFont val="Carlito"/>
          </rPr>
          <t>表格 TF〔S003 Balshaw 2012 表格〕</t>
        </r>
      </text>
    </comment>
    <comment ref="H312" authorId="0" shapeId="0" xr:uid="{00000000-0006-0000-0000-00002E010000}">
      <text>
        <r>
          <rPr>
            <sz val="11"/>
            <rFont val="Carlito"/>
          </rPr>
          <t>表格 Bt〔S002 Gryaznevich 2005 ST综述 表格〕</t>
        </r>
      </text>
    </comment>
    <comment ref="H313" authorId="0" shapeId="0" xr:uid="{00000000-0006-0000-0000-00002F010000}">
      <text>
        <r>
          <rPr>
            <sz val="11"/>
            <rFont val="Carlito"/>
          </rPr>
          <t>表格 TF〔S003 Balshaw 2012 表格〕</t>
        </r>
      </text>
    </comment>
    <comment ref="H314" authorId="0" shapeId="0" xr:uid="{00000000-0006-0000-0000-000030010000}">
      <text>
        <r>
          <rPr>
            <sz val="11"/>
            <rFont val="Carlito"/>
          </rPr>
          <t>表格 TF | CSV 并录值: 2.1 / 3.0〔S003 Balshaw 2012 表格〕</t>
        </r>
      </text>
    </comment>
    <comment ref="H315" authorId="0" shapeId="0" xr:uid="{00000000-0006-0000-0000-000031010000}">
      <text>
        <r>
          <rPr>
            <sz val="11"/>
            <rFont val="Carlito"/>
          </rPr>
          <t>表格 TF〔S003 Balshaw 2012 表格〕</t>
        </r>
      </text>
    </comment>
  </commentList>
</comments>
</file>

<file path=xl/sharedStrings.xml><?xml version="1.0" encoding="utf-8"?>
<sst xmlns="http://schemas.openxmlformats.org/spreadsheetml/2006/main" count="29797" uniqueCount="4524">
  <si>
    <t>全球托卡马克 · 装置参数总览</t>
  </si>
  <si>
    <t>检索截止 2026-09-09  |  310 条装置／版本／工况记录  |  空白表示未查到；数值性质见“参数口径”；2026-09-14 第二轮新增 B_t（环向场）列</t>
  </si>
  <si>
    <t>橙底及†：几何推算值，非实测；推算字段见T列，公式和证据见第二张表。空白为未查到，行数不等于独立装置数。</t>
  </si>
  <si>
    <t>国家／地区</t>
  </si>
  <si>
    <t>装置／版本</t>
  </si>
  <si>
    <t>R (m)</t>
  </si>
  <si>
    <t>a (m)</t>
  </si>
  <si>
    <t>κ</t>
  </si>
  <si>
    <t>δ</t>
  </si>
  <si>
    <t>Ip (MA)</t>
  </si>
  <si>
    <t>B_t (T)</t>
  </si>
  <si>
    <t>参数口径</t>
  </si>
  <si>
    <t>状态</t>
  </si>
  <si>
    <t>状态证据年</t>
  </si>
  <si>
    <t>类别</t>
  </si>
  <si>
    <t>已填项数</t>
  </si>
  <si>
    <t>来源编号</t>
  </si>
  <si>
    <t>记录ID</t>
  </si>
  <si>
    <t>证据层级</t>
  </si>
  <si>
    <t>缺失字段</t>
  </si>
  <si>
    <t>机构</t>
  </si>
  <si>
    <t>版本／迁移关系</t>
  </si>
  <si>
    <t>范围分类</t>
  </si>
  <si>
    <t>几何推算字段</t>
  </si>
  <si>
    <t>文献直接报告项数</t>
  </si>
  <si>
    <t>几何推算说明</t>
  </si>
  <si>
    <t>中国</t>
  </si>
  <si>
    <t>BEST</t>
  </si>
  <si>
    <t>6.15</t>
  </si>
  <si>
    <t>设计参数</t>
  </si>
  <si>
    <t>在建</t>
  </si>
  <si>
    <t>2026-05-01</t>
  </si>
  <si>
    <t>常规</t>
  </si>
  <si>
    <t>S015; S016</t>
  </si>
  <si>
    <t>AS_best</t>
  </si>
  <si>
    <t>仅检索摘要</t>
  </si>
  <si>
    <t>ASIPP，合肥</t>
  </si>
  <si>
    <t>常规／球形托卡马克</t>
  </si>
  <si>
    <t>CFETR（2021混合运行情景）</t>
  </si>
  <si>
    <t>5</t>
  </si>
  <si>
    <t>设计参数（R7.2m、1GW hybrid scenario）</t>
  </si>
  <si>
    <t>设计</t>
  </si>
  <si>
    <t>2022</t>
  </si>
  <si>
    <t>S001; S061</t>
  </si>
  <si>
    <t>AS_cfetr</t>
  </si>
  <si>
    <t>全文核验</t>
  </si>
  <si>
    <t>中国联合体</t>
  </si>
  <si>
    <t>CT-6</t>
  </si>
  <si>
    <t>2</t>
  </si>
  <si>
    <t>无参数</t>
  </si>
  <si>
    <t>历史装置，现状未核实</t>
  </si>
  <si>
    <t>2018</t>
  </si>
  <si>
    <t>S027</t>
  </si>
  <si>
    <t>AS_ct6</t>
  </si>
  <si>
    <t>仅名录</t>
  </si>
  <si>
    <t>大半径 R；小半径 a；拉长比 κ；三角度 δ；总等离子体电流 Ip</t>
  </si>
  <si>
    <t>中国科学院物理研究所，北京</t>
  </si>
  <si>
    <t>CT-6B前身，确切版本关系待核</t>
  </si>
  <si>
    <t>CT-6B</t>
  </si>
  <si>
    <t>0.75</t>
  </si>
  <si>
    <t>文献汇总值，含理想圆形边界几何推算</t>
  </si>
  <si>
    <t>已停运</t>
  </si>
  <si>
    <t>2002</t>
  </si>
  <si>
    <t>S002; S003</t>
  </si>
  <si>
    <t>AS_ct6b</t>
  </si>
  <si>
    <t>三角度 δ</t>
  </si>
  <si>
    <t>delta: AS_S03已读取历史汇编将本装置明确归为圆形限制器/偏滤器配置；采用圆形等离子体理想边界：δ=0。是名义几何推算，不是逐炮平衡实测；原始装置论文尚待独立复核。</t>
  </si>
  <si>
    <t>EAST</t>
  </si>
  <si>
    <t>1.5–2.0</t>
  </si>
  <si>
    <t>0.3–0.6</t>
  </si>
  <si>
    <t>3.5</t>
  </si>
  <si>
    <t>装置额定参数</t>
  </si>
  <si>
    <t>现状待核实</t>
  </si>
  <si>
    <t>S001; S004</t>
  </si>
  <si>
    <t>AS_east</t>
  </si>
  <si>
    <t>EHL-2（2025平衡V43）</t>
  </si>
  <si>
    <t>3</t>
  </si>
  <si>
    <t>设计参数（V43平衡工况）</t>
  </si>
  <si>
    <t>2026-09-09</t>
  </si>
  <si>
    <t>球形</t>
  </si>
  <si>
    <t>S033; S066</t>
  </si>
  <si>
    <t>AS_ehl2</t>
  </si>
  <si>
    <t>ENN, Langfang</t>
  </si>
  <si>
    <t>EXL-50</t>
  </si>
  <si>
    <t>1.8–2.2</t>
  </si>
  <si>
    <t>0.1–0.4</t>
  </si>
  <si>
    <t>0.45</t>
  </si>
  <si>
    <t>S001; S005; S038</t>
  </si>
  <si>
    <t>AS_exl50</t>
  </si>
  <si>
    <t>ENN，新奥，廊坊</t>
  </si>
  <si>
    <t>EXL-50U</t>
  </si>
  <si>
    <t>0.60–0.80</t>
  </si>
  <si>
    <t>0.5–1</t>
  </si>
  <si>
    <t>0.6-0.8</t>
  </si>
  <si>
    <t>运行</t>
  </si>
  <si>
    <t>2025-04</t>
  </si>
  <si>
    <t>S013</t>
  </si>
  <si>
    <t>AS_exl50u</t>
  </si>
  <si>
    <t>小半径 a；三角度 δ</t>
  </si>
  <si>
    <t>EXL-50升级</t>
  </si>
  <si>
    <t>FDS-III</t>
  </si>
  <si>
    <t>2005</t>
  </si>
  <si>
    <t>S030; S047</t>
  </si>
  <si>
    <t>AS_fdsiii</t>
  </si>
  <si>
    <t>ASIPP / FDS Team</t>
  </si>
  <si>
    <t>FDS系列</t>
  </si>
  <si>
    <t>FDS-II（2005设计）</t>
  </si>
  <si>
    <t>5.9</t>
  </si>
  <si>
    <t>S030</t>
  </si>
  <si>
    <t>AS_fdsii</t>
  </si>
  <si>
    <t>FDS-I（2005设计）</t>
  </si>
  <si>
    <t>6.1</t>
  </si>
  <si>
    <t>AS_fdsi</t>
  </si>
  <si>
    <t>FDS-ST（2005设计）</t>
  </si>
  <si>
    <t>2.5</t>
  </si>
  <si>
    <t>AS_fdsst</t>
  </si>
  <si>
    <t>FY-1</t>
  </si>
  <si>
    <t>1</t>
  </si>
  <si>
    <t>文献汇总值，含几何推算</t>
  </si>
  <si>
    <t>2012汇编</t>
  </si>
  <si>
    <t>S003</t>
  </si>
  <si>
    <t>AS_fy1</t>
  </si>
  <si>
    <t>历史汇编待原文复核</t>
  </si>
  <si>
    <t>机构待核实</t>
  </si>
  <si>
    <t>拉长比 κ</t>
  </si>
  <si>
    <t>kappa: S003 FY-1明确非圆等离子体a=10 cm、b=25 cm；κ=b/a=25/10=2.5，几何换算，非逐炮实测；δ不由非圆推定。</t>
  </si>
  <si>
    <t>HH170</t>
  </si>
  <si>
    <t>21.7</t>
  </si>
  <si>
    <t>S034</t>
  </si>
  <si>
    <t>AS_hh170</t>
  </si>
  <si>
    <t>官方页面核验</t>
  </si>
  <si>
    <t>小半径 a；拉长比 κ；三角度 δ；总等离子体电流 Ip</t>
  </si>
  <si>
    <t>Energy Singularity, Shanghai</t>
  </si>
  <si>
    <t>HH70后续装置</t>
  </si>
  <si>
    <t>HH70</t>
  </si>
  <si>
    <t>0.70–0.75</t>
  </si>
  <si>
    <t>0.25–0.31</t>
  </si>
  <si>
    <t>0.6</t>
  </si>
  <si>
    <t>2024-06</t>
  </si>
  <si>
    <t>S014</t>
  </si>
  <si>
    <t>AS_hh70</t>
  </si>
  <si>
    <t>拉长比 κ；三角度 δ；总等离子体电流 Ip</t>
  </si>
  <si>
    <t>能量奇点，上海</t>
  </si>
  <si>
    <t>HL-1</t>
  </si>
  <si>
    <t>AS_hl1</t>
  </si>
  <si>
    <t>SWIP</t>
  </si>
  <si>
    <t>后改为HL-1M</t>
  </si>
  <si>
    <t>拉长比 κ；三角度 δ</t>
  </si>
  <si>
    <t>kappa: AS_S03已读取历史汇编将本装置明确归为圆形限制器/偏滤器配置；采用圆形等离子体理想边界：κ=b/a=1。是名义几何推算，不是逐炮平衡实测；原始装置论文尚待独立复核。
delta: AS_S03已读取历史汇编将本装置明确归为圆形限制器/偏滤器配置；采用圆形等离子体理想边界：δ=0。是名义几何推算，不是逐炮平衡实测；原始装置论文尚待独立复核。</t>
  </si>
  <si>
    <t>HL-1M</t>
  </si>
  <si>
    <t>文献汇总值，含理想边界几何推算</t>
  </si>
  <si>
    <t>2001</t>
  </si>
  <si>
    <t>S002; S060</t>
  </si>
  <si>
    <t>AS_hl1m</t>
  </si>
  <si>
    <t>SWIP，成都</t>
  </si>
  <si>
    <t>delta: S060 原文明示圆形等离子体截面；按理想圆边界delta=0推算，非逐炮平衡实测。</t>
  </si>
  <si>
    <t>HL-2A</t>
  </si>
  <si>
    <t>2.8</t>
  </si>
  <si>
    <t>设计参数（2000基准配置）</t>
  </si>
  <si>
    <t>S001; S050</t>
  </si>
  <si>
    <t>AS_hl2a</t>
  </si>
  <si>
    <t>利用德国ASDEX原磁体和真空室部件</t>
  </si>
  <si>
    <t>HL-2M / HL-3（2012设计参数）</t>
  </si>
  <si>
    <t>≥0.5</t>
  </si>
  <si>
    <t>2026-04-08</t>
  </si>
  <si>
    <t>S001; S041; S042; S046</t>
  </si>
  <si>
    <t>AS_hl2m</t>
  </si>
  <si>
    <t>HL-2M后来改称HL-3，非独立再计机器。</t>
  </si>
  <si>
    <t>HT-6B</t>
  </si>
  <si>
    <t>AS_ht6b</t>
  </si>
  <si>
    <t>后移交伊朗成为IR-T1</t>
  </si>
  <si>
    <t>HT-6M</t>
  </si>
  <si>
    <t>1.5</t>
  </si>
  <si>
    <t>S002; S018; S003</t>
  </si>
  <si>
    <t>AS_ht6m</t>
  </si>
  <si>
    <t>后重建为泰国Thailand Tokamak-1（AS_S18），同一迁移谱系。</t>
  </si>
  <si>
    <t>HT-7</t>
  </si>
  <si>
    <t>AS_ht7</t>
  </si>
  <si>
    <t>J-TEXT</t>
  </si>
  <si>
    <t>0.25–0.29</t>
  </si>
  <si>
    <t>文献汇总值</t>
  </si>
  <si>
    <t>S001</t>
  </si>
  <si>
    <t>AS_jtext</t>
  </si>
  <si>
    <t>华中科技大学，武汉</t>
  </si>
  <si>
    <t>原美国TEXT/TEXT-U迁入</t>
  </si>
  <si>
    <t>KT-5</t>
  </si>
  <si>
    <t>&gt;0.005</t>
  </si>
  <si>
    <t>实验工况（1987第一阶段）</t>
  </si>
  <si>
    <t>S027; S062</t>
  </si>
  <si>
    <t>AS_kt5</t>
  </si>
  <si>
    <t>摘要核验</t>
  </si>
  <si>
    <t>中国科学技术大学，合肥</t>
  </si>
  <si>
    <t>KT-5C前身，确切版本关系待核</t>
  </si>
  <si>
    <t>KT-5C</t>
  </si>
  <si>
    <t>0.7</t>
  </si>
  <si>
    <t>AS_kt5c</t>
  </si>
  <si>
    <t>NTST</t>
  </si>
  <si>
    <t>−0.8–0.6</t>
  </si>
  <si>
    <t>1.0</t>
  </si>
  <si>
    <t>2025</t>
  </si>
  <si>
    <t>S017</t>
  </si>
  <si>
    <t>AS_ntst</t>
  </si>
  <si>
    <t>Startorus Fusion，西安；清华大学</t>
  </si>
  <si>
    <t>负三角度球形装置</t>
  </si>
  <si>
    <t>SUNIST-1</t>
  </si>
  <si>
    <t>0.15</t>
  </si>
  <si>
    <t>S002</t>
  </si>
  <si>
    <t>AS_sunist</t>
  </si>
  <si>
    <t>清华大学，北京</t>
  </si>
  <si>
    <t>SUNIST-2</t>
  </si>
  <si>
    <t>−0.6–0.6</t>
  </si>
  <si>
    <t>0.72</t>
  </si>
  <si>
    <t>2023-07</t>
  </si>
  <si>
    <t>S011; S012; S044</t>
  </si>
  <si>
    <t>AS_sunist2</t>
  </si>
  <si>
    <t>清华大学 / ASIPP / Startorus</t>
  </si>
  <si>
    <t>SUNIST后继</t>
  </si>
  <si>
    <t>中国台湾</t>
  </si>
  <si>
    <t>FIRST</t>
  </si>
  <si>
    <t>0.8</t>
  </si>
  <si>
    <t>S019</t>
  </si>
  <si>
    <t>AS_first</t>
  </si>
  <si>
    <t>总等离子体电流 Ip</t>
  </si>
  <si>
    <t>成功大学</t>
  </si>
  <si>
    <t>日本</t>
  </si>
  <si>
    <t>A-SSTR2</t>
  </si>
  <si>
    <t>11</t>
  </si>
  <si>
    <t>2013</t>
  </si>
  <si>
    <t>S037</t>
  </si>
  <si>
    <t>AS_asstr2</t>
  </si>
  <si>
    <t>JAERI / Japanese design team</t>
  </si>
  <si>
    <t>日本历史概念</t>
  </si>
  <si>
    <t>C-TOKASTAR</t>
  </si>
  <si>
    <t>约0.02</t>
  </si>
  <si>
    <t>0.01</t>
  </si>
  <si>
    <t>实验装置尺寸（2009版本）</t>
  </si>
  <si>
    <t>混合配置</t>
  </si>
  <si>
    <t>S001; S056</t>
  </si>
  <si>
    <t>AS_ctokastar</t>
  </si>
  <si>
    <t>名古屋大学</t>
  </si>
  <si>
    <t>TOKASTAR-2前序；托卡马克模式运行证据待核</t>
  </si>
  <si>
    <t>候选：托卡马克模式待核</t>
  </si>
  <si>
    <t>CPD（Compact PWI experimental Device）</t>
  </si>
  <si>
    <t>0.3</t>
  </si>
  <si>
    <t>2007</t>
  </si>
  <si>
    <t>S029</t>
  </si>
  <si>
    <t>AS_cpd_jp</t>
  </si>
  <si>
    <t>RIAM, Kyushu University</t>
  </si>
  <si>
    <t>CREST</t>
  </si>
  <si>
    <t>5.4</t>
  </si>
  <si>
    <t>设计参数，含几何推算</t>
  </si>
  <si>
    <t>S037; S049</t>
  </si>
  <si>
    <t>AS_crest</t>
  </si>
  <si>
    <t>CRIEPI / Japanese design team</t>
  </si>
  <si>
    <t>小半径 a</t>
  </si>
  <si>
    <t>a_m: S049 slide 7：R=5.4 m，A=3.4；a=R/A=1.5882352941 m，几何换算，非实测。</t>
  </si>
  <si>
    <t>CSTN-AC</t>
  </si>
  <si>
    <t>0.12</t>
  </si>
  <si>
    <t>AS_cstnac</t>
  </si>
  <si>
    <t>后升级CSTN-IV</t>
  </si>
  <si>
    <t>CSTN-I</t>
  </si>
  <si>
    <t>0.2</t>
  </si>
  <si>
    <t>AS_cstn1</t>
  </si>
  <si>
    <t>CSTN-II</t>
  </si>
  <si>
    <t>0.875</t>
  </si>
  <si>
    <t>AS_cstn2</t>
  </si>
  <si>
    <t>CSTN-I后继</t>
  </si>
  <si>
    <t>CSTN-III</t>
  </si>
  <si>
    <t>AS_cstn3</t>
  </si>
  <si>
    <t>CSTN-II后继</t>
  </si>
  <si>
    <t>CSTN-IV</t>
  </si>
  <si>
    <t>AS_cstn4</t>
  </si>
  <si>
    <t>FAST（发电演示工况，官网2026）</t>
  </si>
  <si>
    <t>8.5</t>
  </si>
  <si>
    <t>S020</t>
  </si>
  <si>
    <t>AS_fastpower</t>
  </si>
  <si>
    <t>Starlight Engine / Kyoto Fusioneering</t>
  </si>
  <si>
    <t>同FAST基本工况</t>
  </si>
  <si>
    <t>FAST（基本工况，官网2026）</t>
  </si>
  <si>
    <t>AS_fastbase</t>
  </si>
  <si>
    <t>GNOME</t>
  </si>
  <si>
    <t>2012</t>
  </si>
  <si>
    <t>S039</t>
  </si>
  <si>
    <t>AS_gnome</t>
  </si>
  <si>
    <t>Kyoto University</t>
  </si>
  <si>
    <t>HIST</t>
  </si>
  <si>
    <t>AS_hist</t>
  </si>
  <si>
    <t>兵库县立大学，Himeji</t>
  </si>
  <si>
    <t>HT-2</t>
  </si>
  <si>
    <t>AS_ht2</t>
  </si>
  <si>
    <t>Hitachi Research Laboratory</t>
  </si>
  <si>
    <t>HYBTOK-II</t>
  </si>
  <si>
    <t>约0.10</t>
  </si>
  <si>
    <t>0.5</t>
  </si>
  <si>
    <t>实验工况（2012垂直稳定性实验），含几何推算</t>
  </si>
  <si>
    <t>S001; S055</t>
  </si>
  <si>
    <t>AS_hybtok2</t>
  </si>
  <si>
    <t>kappa: S055 p.1明确circular cross-section tokamak；实验理想圆边界κ1，非逐炮平衡实测。
delta: S055 p.1明确circular cross-section tokamak；实验理想圆边界δ0，非逐炮平衡实测。</t>
  </si>
  <si>
    <t>JA-DEMO</t>
  </si>
  <si>
    <t>6.8</t>
  </si>
  <si>
    <t>S001; S045</t>
  </si>
  <si>
    <t>AS_jademo</t>
  </si>
  <si>
    <t>日本联合体 / QST</t>
  </si>
  <si>
    <t>JFT-2</t>
  </si>
  <si>
    <t>1.8</t>
  </si>
  <si>
    <t>AS_jft2</t>
  </si>
  <si>
    <t>JAERI，Tokai</t>
  </si>
  <si>
    <t>后改为JFT-2M</t>
  </si>
  <si>
    <t>JFT-2a / DIVA</t>
  </si>
  <si>
    <t>2.0</t>
  </si>
  <si>
    <t>历史装置参数（1975原始论文及汇编）</t>
  </si>
  <si>
    <t>S003; S065</t>
  </si>
  <si>
    <t>AS_jft2a</t>
  </si>
  <si>
    <t>JFT-2M</t>
  </si>
  <si>
    <t>约1.4</t>
  </si>
  <si>
    <t>约0.4</t>
  </si>
  <si>
    <t>实验工况</t>
  </si>
  <si>
    <t>2004</t>
  </si>
  <si>
    <t>S023; S024</t>
  </si>
  <si>
    <t>AS_jft2m</t>
  </si>
  <si>
    <t>JAERI/QST，Tokai</t>
  </si>
  <si>
    <t>JFT-2改造</t>
  </si>
  <si>
    <t>JIPP T-II</t>
  </si>
  <si>
    <t>2.6</t>
  </si>
  <si>
    <t>AS_jippt2</t>
  </si>
  <si>
    <t>后改为JIPP T-IIU；混合配置</t>
  </si>
  <si>
    <t>扩展：仅托卡马克运行模式</t>
  </si>
  <si>
    <t>JIPP T-IIU</t>
  </si>
  <si>
    <t>实验R/a/Ip（1990快波实验），含名义圆形几何推算</t>
  </si>
  <si>
    <t>来源未标日期</t>
  </si>
  <si>
    <t>S026; S003; S064</t>
  </si>
  <si>
    <t>AS_jippt2u</t>
  </si>
  <si>
    <t>名古屋大学等离子体研究所 / NIFS</t>
  </si>
  <si>
    <t>JIPP T-II升级</t>
  </si>
  <si>
    <t>JT-60SA</t>
  </si>
  <si>
    <t>2.25</t>
  </si>
  <si>
    <t>调试</t>
  </si>
  <si>
    <t>2026-08-06</t>
  </si>
  <si>
    <t>S001; S008; S009; S010</t>
  </si>
  <si>
    <t>AS_jt60sa</t>
  </si>
  <si>
    <t>QST，Naka；日本—欧盟合作</t>
  </si>
  <si>
    <t>JT-60U后继</t>
  </si>
  <si>
    <t>JT-60U</t>
  </si>
  <si>
    <t>4.2</t>
  </si>
  <si>
    <t>实验工况（弱剪切放电E36715）</t>
  </si>
  <si>
    <t>已退役</t>
  </si>
  <si>
    <t>S024; S008; S054</t>
  </si>
  <si>
    <t>AS_jt60u</t>
  </si>
  <si>
    <t>JAERI/QST，Naka</t>
  </si>
  <si>
    <t>JT-60升级，后拆解为JT-60SA建设</t>
  </si>
  <si>
    <t>JT-60（原始装置）</t>
  </si>
  <si>
    <t>4.5</t>
  </si>
  <si>
    <t>1989</t>
  </si>
  <si>
    <t>S025</t>
  </si>
  <si>
    <t>AS_jt60</t>
  </si>
  <si>
    <t>JAERI，Naka</t>
  </si>
  <si>
    <t>升级为JT-60U</t>
  </si>
  <si>
    <t>LATE</t>
  </si>
  <si>
    <t>AS_late</t>
  </si>
  <si>
    <t>京都大学</t>
  </si>
  <si>
    <t>NOVA-II</t>
  </si>
  <si>
    <t>AS_novaii</t>
  </si>
  <si>
    <t>迁至巴西后为NOVA-FURG；不将迁移后参数默认给原机</t>
  </si>
  <si>
    <t>NUCTE-ST</t>
  </si>
  <si>
    <t>AS_nuctest</t>
  </si>
  <si>
    <t>日本大学</t>
  </si>
  <si>
    <t>PHiX</t>
  </si>
  <si>
    <t>S001; S058</t>
  </si>
  <si>
    <t>AS_phix</t>
  </si>
  <si>
    <t>东京工业大学</t>
  </si>
  <si>
    <t>kappa: S058 原文明示近似圆形等离子体截面；按理想圆边界kappa=约1推算，非逐炮平衡实测。
delta: S058 原文明示近似圆形等离子体截面；按理想圆边界delta=约0推算，非逐炮平衡实测。</t>
  </si>
  <si>
    <t>PLATO</t>
  </si>
  <si>
    <t>AS_plato</t>
  </si>
  <si>
    <t>九州大学</t>
  </si>
  <si>
    <t>QUEST</t>
  </si>
  <si>
    <t>0.25</t>
  </si>
  <si>
    <t>设计参数（2006高拉长双零位形）</t>
  </si>
  <si>
    <t>S001; S063</t>
  </si>
  <si>
    <t>AS_quest</t>
  </si>
  <si>
    <t>SlimCS（2008设计）</t>
  </si>
  <si>
    <t>16.4</t>
  </si>
  <si>
    <t>2008</t>
  </si>
  <si>
    <t>S031</t>
  </si>
  <si>
    <t>AS_slimcs</t>
  </si>
  <si>
    <t>JAEA, Naka</t>
  </si>
  <si>
    <t>日本DEMO历史概念</t>
  </si>
  <si>
    <t>SSTR</t>
  </si>
  <si>
    <t>16.5</t>
  </si>
  <si>
    <t>S037; S053</t>
  </si>
  <si>
    <t>AS_sstr</t>
  </si>
  <si>
    <t>TNT</t>
  </si>
  <si>
    <t>≤1.4</t>
  </si>
  <si>
    <t>4.4</t>
  </si>
  <si>
    <t>AS_tnt</t>
  </si>
  <si>
    <t>东京大学</t>
  </si>
  <si>
    <t>后升级TNT-A</t>
  </si>
  <si>
    <t>TNT-A</t>
  </si>
  <si>
    <t>AS_tnta</t>
  </si>
  <si>
    <t>TNT增加铁芯</t>
  </si>
  <si>
    <t>TODOROKI-I</t>
  </si>
  <si>
    <t>0.9</t>
  </si>
  <si>
    <t>AS_todoroki1</t>
  </si>
  <si>
    <t>TODOROKI-II前身</t>
  </si>
  <si>
    <t>TODOROKI-II</t>
  </si>
  <si>
    <t>1.55</t>
  </si>
  <si>
    <t>AS_todoroki2</t>
  </si>
  <si>
    <t>TOKASTAR</t>
  </si>
  <si>
    <t>约2.0</t>
  </si>
  <si>
    <t>0.1</t>
  </si>
  <si>
    <t>理论磁面配置（2009 N=2 TOKASTAR）</t>
  </si>
  <si>
    <t>AS_tokastar</t>
  </si>
  <si>
    <t>大半径 R；小半径 a；三角度 δ；总等离子体电流 Ip</t>
  </si>
  <si>
    <t>TOKASTAR-2</t>
  </si>
  <si>
    <t>设计参数（2010 TOSCA平衡输入）</t>
  </si>
  <si>
    <t>S001; S057</t>
  </si>
  <si>
    <t>AS_tokastar2</t>
  </si>
  <si>
    <t>TOKASTAR、C-TOKASTAR后继</t>
  </si>
  <si>
    <t>TORIUT-3</t>
  </si>
  <si>
    <t>AS_toriut3</t>
  </si>
  <si>
    <t>小半径 a；总等离子体电流 Ip</t>
  </si>
  <si>
    <t>TORIUT-4</t>
  </si>
  <si>
    <t>AS_toriut4</t>
  </si>
  <si>
    <t>TORIUT-5</t>
  </si>
  <si>
    <t>AS_toriut5</t>
  </si>
  <si>
    <t>托卡马克/反场箍缩对比实验</t>
  </si>
  <si>
    <t>TRIAM</t>
  </si>
  <si>
    <t>4</t>
  </si>
  <si>
    <t>AS_triam</t>
  </si>
  <si>
    <t>TRIAM-1M开发前序</t>
  </si>
  <si>
    <t>TRIAM-1M</t>
  </si>
  <si>
    <t>8</t>
  </si>
  <si>
    <t>AS_triam1m</t>
  </si>
  <si>
    <t>TS-3</t>
  </si>
  <si>
    <t>0.03-0.08</t>
  </si>
  <si>
    <t>AS_ts3</t>
  </si>
  <si>
    <t>TS-4</t>
  </si>
  <si>
    <t>0.3-0.5</t>
  </si>
  <si>
    <t>AS_ts4</t>
  </si>
  <si>
    <t>TST-2</t>
  </si>
  <si>
    <t>AS_tst2</t>
  </si>
  <si>
    <t>TST-M升级</t>
  </si>
  <si>
    <t>TST-M</t>
  </si>
  <si>
    <t>约0.38</t>
  </si>
  <si>
    <t>约0.28</t>
  </si>
  <si>
    <t>1.0–1.5</t>
  </si>
  <si>
    <t>&lt;0.06</t>
  </si>
  <si>
    <t>1999前后旧网页</t>
  </si>
  <si>
    <t>S028</t>
  </si>
  <si>
    <t>AS_tstm</t>
  </si>
  <si>
    <t>TST-2前身</t>
  </si>
  <si>
    <t>UTST</t>
  </si>
  <si>
    <t>AS_utst</t>
  </si>
  <si>
    <t>WT-1</t>
  </si>
  <si>
    <t>AS_wt1</t>
  </si>
  <si>
    <t>WT-2</t>
  </si>
  <si>
    <t>1.3</t>
  </si>
  <si>
    <t>AS_wt2</t>
  </si>
  <si>
    <t>WT-1后继</t>
  </si>
  <si>
    <t>WT-3</t>
  </si>
  <si>
    <t>1.75</t>
  </si>
  <si>
    <t>2000</t>
  </si>
  <si>
    <t>AS_wt3</t>
  </si>
  <si>
    <t>韩国</t>
  </si>
  <si>
    <t>CPD（常规托卡马克备选草案）</t>
  </si>
  <si>
    <t>约3.5</t>
  </si>
  <si>
    <t>约1.1</t>
  </si>
  <si>
    <t>约2</t>
  </si>
  <si>
    <t>约7.7</t>
  </si>
  <si>
    <t>S036</t>
  </si>
  <si>
    <t>AS_cpd_krct</t>
  </si>
  <si>
    <t>KFE</t>
  </si>
  <si>
    <t>CPD计划，与球形备选同组</t>
  </si>
  <si>
    <t>CPD（球形托卡马克备选草案）</t>
  </si>
  <si>
    <t>约1.2</t>
  </si>
  <si>
    <t>约9</t>
  </si>
  <si>
    <t>AS_cpd_krst</t>
  </si>
  <si>
    <t>CPD计划，与常规备选同组</t>
  </si>
  <si>
    <t>K-DEMO</t>
  </si>
  <si>
    <t>&gt;12</t>
  </si>
  <si>
    <t>&gt;7 (峰体 16)</t>
  </si>
  <si>
    <t>S001; S043</t>
  </si>
  <si>
    <t>AS_kdemo</t>
  </si>
  <si>
    <t>K-DEMO（2025设计）</t>
  </si>
  <si>
    <t>约6.8</t>
  </si>
  <si>
    <t>约2.2</t>
  </si>
  <si>
    <t>约0.6</t>
  </si>
  <si>
    <t>约13</t>
  </si>
  <si>
    <t>2025-10-18</t>
  </si>
  <si>
    <t>S022</t>
  </si>
  <si>
    <t>AS_kdemo2025</t>
  </si>
  <si>
    <t>K-DEMO后续设计修订</t>
  </si>
  <si>
    <t>KAIST-TOKAMAK</t>
  </si>
  <si>
    <t>AS_kaist</t>
  </si>
  <si>
    <t>KAIST，Daejeon</t>
  </si>
  <si>
    <t>KSTAR</t>
  </si>
  <si>
    <t>S001; S006</t>
  </si>
  <si>
    <t>AS_kstar</t>
  </si>
  <si>
    <t>KFE，Daejeon</t>
  </si>
  <si>
    <t>KT-1</t>
  </si>
  <si>
    <t>AS_kt1</t>
  </si>
  <si>
    <t>KAERI，Daejeon</t>
  </si>
  <si>
    <t>KT-2（5 MW baseline, SOH）</t>
  </si>
  <si>
    <t>1996</t>
  </si>
  <si>
    <t>S035</t>
  </si>
  <si>
    <t>AS_kt2</t>
  </si>
  <si>
    <t>KAERI</t>
  </si>
  <si>
    <t>KSTAR之前韩国设计方案</t>
  </si>
  <si>
    <t>VEST</t>
  </si>
  <si>
    <t>AS_vest</t>
  </si>
  <si>
    <t>首尔国立大学</t>
  </si>
  <si>
    <t>印度</t>
  </si>
  <si>
    <t>ADITYA</t>
  </si>
  <si>
    <t>S002; S052</t>
  </si>
  <si>
    <t>AS_aditya</t>
  </si>
  <si>
    <t>IPR，Gandhinagar</t>
  </si>
  <si>
    <t>delta: S052 slide 3明确Plasma Cross-section Circular；理想圆边界δ=0，几何推算，非逐炮实测。</t>
  </si>
  <si>
    <t>ADITYA-U</t>
  </si>
  <si>
    <t>约0.08–0.10</t>
  </si>
  <si>
    <t>实验工况，含理想圆形边界几何推算</t>
  </si>
  <si>
    <t>S001; S051</t>
  </si>
  <si>
    <t>AS_adityau</t>
  </si>
  <si>
    <t>ADITYA升级</t>
  </si>
  <si>
    <t>kappa: S051 §2明确该组为circular Ohmic discharges，理想圆边界κ=b/a=1，非逐炮平衡拟合值。
delta: S051 §2明确该组为circular Ohmic discharges，理想圆边界δ=0，非逐炮平衡拟合值。</t>
  </si>
  <si>
    <t>PRAGYA</t>
  </si>
  <si>
    <t>&gt;0.18</t>
  </si>
  <si>
    <t>≤0.025</t>
  </si>
  <si>
    <t>2026</t>
  </si>
  <si>
    <t>S032</t>
  </si>
  <si>
    <t>AS_pragya</t>
  </si>
  <si>
    <t>Pranos Fusion Energy, Bengaluru</t>
  </si>
  <si>
    <t>Pranos首台低环径比实验装置</t>
  </si>
  <si>
    <t>SINP Tokamak</t>
  </si>
  <si>
    <t>AS_sinp</t>
  </si>
  <si>
    <t>Saha Institute of Nuclear Physics，Kolkata</t>
  </si>
  <si>
    <t>SSST</t>
  </si>
  <si>
    <t>2026-08-26</t>
  </si>
  <si>
    <t>S001; S040</t>
  </si>
  <si>
    <t>AS_ssst</t>
  </si>
  <si>
    <t>SST-1</t>
  </si>
  <si>
    <t>AS_sst1</t>
  </si>
  <si>
    <t>kappa: S001 Table26明确Circular limiter；按理想圆形等离子体边界κ1，非逐炮实测。
delta: S001 Table26明确Circular limiter；按理想圆形等离子体边界δ0，非逐炮实测。</t>
  </si>
  <si>
    <t>SST-1（D形长脉冲设计）</t>
  </si>
  <si>
    <t>1.7–1.9</t>
  </si>
  <si>
    <t>0.4–0.7</t>
  </si>
  <si>
    <t>2017</t>
  </si>
  <si>
    <t>S007</t>
  </si>
  <si>
    <t>AS_sst1_design</t>
  </si>
  <si>
    <t>与SST-1同一装置的设计工况</t>
  </si>
  <si>
    <t>SST-2</t>
  </si>
  <si>
    <t>5.42</t>
  </si>
  <si>
    <t>2016</t>
  </si>
  <si>
    <t>S021; S048</t>
  </si>
  <si>
    <t>AS_sst2</t>
  </si>
  <si>
    <t>IPR</t>
  </si>
  <si>
    <t>SST-1后续概念堆</t>
  </si>
  <si>
    <t>a_m: S048 Table 1明确A=R/a=3.00，R=4.42 m；a=4.42/3=1.4733333333 m，几何换算，非实测；原汇总四舍五入1.47 m。</t>
  </si>
  <si>
    <t>泰国</t>
  </si>
  <si>
    <t>Thailand Tokamak-1</t>
  </si>
  <si>
    <t>实验工况，含理想边界几何推算</t>
  </si>
  <si>
    <t>2023</t>
  </si>
  <si>
    <t>S018; S059</t>
  </si>
  <si>
    <t>AS_tt1</t>
  </si>
  <si>
    <t>TINT，Ongkharak</t>
  </si>
  <si>
    <t>基于中国HT-6M重建</t>
  </si>
  <si>
    <t>kappa: S059 原文明示圆形等离子体截面；按理想圆边界kappa=1推算，非逐炮平衡实测。
delta: S059 原文明示圆形等离子体截面；按理想圆边界delta=0推算，非逐炮平衡实测。</t>
  </si>
  <si>
    <t>巴基斯坦</t>
  </si>
  <si>
    <t>GLAST-I</t>
  </si>
  <si>
    <t>0.1-0.4</t>
  </si>
  <si>
    <t>2019原始海报：腔体几何；等离子体LCFS半径未报告</t>
  </si>
  <si>
    <t>S001; S232</t>
  </si>
  <si>
    <t>RW_GLASTI</t>
  </si>
  <si>
    <t>National Tokamak Fusion Programme</t>
  </si>
  <si>
    <t>GLAST-II</t>
  </si>
  <si>
    <t>2018实验工况</t>
  </si>
  <si>
    <t>S221</t>
  </si>
  <si>
    <t>RW_GLASTII</t>
  </si>
  <si>
    <t>摘要及引言核验</t>
  </si>
  <si>
    <t>GLAST-III</t>
  </si>
  <si>
    <t>0.0875</t>
  </si>
  <si>
    <t>2022官方目录运行参数</t>
  </si>
  <si>
    <t>运行（截至2022资料）</t>
  </si>
  <si>
    <t>RW_GLASTIII</t>
  </si>
  <si>
    <t>Pakistan Atomic Energy Commission</t>
  </si>
  <si>
    <t>GLAST-I/II后续升级</t>
  </si>
  <si>
    <t>MT-I</t>
  </si>
  <si>
    <t>2025装置尺寸与实验电流</t>
  </si>
  <si>
    <t>S220</t>
  </si>
  <si>
    <t>RW_MTI</t>
  </si>
  <si>
    <t>Pakistan Tokamak Plasma Research Institute</t>
  </si>
  <si>
    <t>MT-II（2023物理设计）</t>
  </si>
  <si>
    <t>2023物理设计／标度计算；Ip=54kA为设计计算</t>
  </si>
  <si>
    <t>在建（截至所引论文）</t>
  </si>
  <si>
    <t>S222; S231</t>
  </si>
  <si>
    <t>RW_MTII</t>
  </si>
  <si>
    <t>PST</t>
  </si>
  <si>
    <t>官方目录设计组；κ来自2021原始设计海报</t>
  </si>
  <si>
    <t>S001; S223</t>
  </si>
  <si>
    <t>RW_PST</t>
  </si>
  <si>
    <t>目录全文／形状仅检索摘要</t>
  </si>
  <si>
    <t>伊朗</t>
  </si>
  <si>
    <t>ALVAND-IIC</t>
  </si>
  <si>
    <t>2005原始调查参数；含名义截面几何推算</t>
  </si>
  <si>
    <t>S002; S237</t>
  </si>
  <si>
    <t>RW_ALVANDIIC</t>
  </si>
  <si>
    <t>Plasma Physics Laboratory, Tehran</t>
  </si>
  <si>
    <t>ALVAND系列，后有ALVAND-U</t>
  </si>
  <si>
    <t>delta: S237 §2：明确1980年ALVAND-IIC为圆截面配置；采用理想圆形边界，δ=(Rgeo−Rtop)/a=0。名义几何推算，非逐炮平衡实测。</t>
  </si>
  <si>
    <t>ALVAND（2022目录）</t>
  </si>
  <si>
    <t>2022目录报告参数；含名义截面几何推算</t>
  </si>
  <si>
    <t>RW_ALVAND</t>
  </si>
  <si>
    <t>Iran Atomic Energy Organization</t>
  </si>
  <si>
    <t>ALVAND系列，非另计全新物理装置</t>
  </si>
  <si>
    <t>kappa: S001 p40 §2.22.3/Table28：明确圆形等离子体截面；采用理想圆形边界，κ=b/a=1。名义几何推算，非逐炮平衡实测。
delta: S001 p40 §2.22.3/Table28：明确圆形等离子体截面；采用理想圆形边界，δ=(Rgeo−Rtop)/a=0。名义几何推算，非逐炮平衡实测。</t>
  </si>
  <si>
    <t>Damavand</t>
  </si>
  <si>
    <t>2005原始调查运行参数</t>
  </si>
  <si>
    <t>2005；2022目录列运行</t>
  </si>
  <si>
    <t>S002; S001; S240; S241</t>
  </si>
  <si>
    <t>RW_DAMAVAND</t>
  </si>
  <si>
    <t>Atomic Energy Organization of Iran, Tehran</t>
  </si>
  <si>
    <t>由俄罗斯TVD改建</t>
  </si>
  <si>
    <t>IR-T1</t>
  </si>
  <si>
    <t>S002; S001</t>
  </si>
  <si>
    <t>RW_IRT1</t>
  </si>
  <si>
    <t>Islamic Azad University, Tehran</t>
  </si>
  <si>
    <t>由中国HT-6B迁移改建</t>
  </si>
  <si>
    <t>delta: S001 p42 §2.24.3：明确圆截面托卡马克及极向限制器；采用理想圆形边界，δ=(Rgeo−Rtop)/a=0。名义几何推算，非逐炮平衡实测。</t>
  </si>
  <si>
    <t>哈萨克斯坦</t>
  </si>
  <si>
    <t>KTM</t>
  </si>
  <si>
    <t>0.3–0.5</t>
  </si>
  <si>
    <t>2008设计参数</t>
  </si>
  <si>
    <t>2008；2022目录列运行</t>
  </si>
  <si>
    <t>S212; S001</t>
  </si>
  <si>
    <t>RW_KTM</t>
  </si>
  <si>
    <t>参数全文核验；状态见对应来源</t>
  </si>
  <si>
    <t>National Nuclear Center, Kurchatov</t>
  </si>
  <si>
    <t>吉尔吉斯斯坦</t>
  </si>
  <si>
    <t>TF-2</t>
  </si>
  <si>
    <t>RW_TF2</t>
  </si>
  <si>
    <t>IHT RAS, Bishkek</t>
  </si>
  <si>
    <t>delta: S003 历史汇编p9该装置行/截面类型列：历史汇编明示名义圆截面；尚缺同版本原始平衡测量；采用理想圆形边界，δ=(Rgeo−Rtop)/a=0。名义几何推算，非逐炮平衡实测。</t>
  </si>
  <si>
    <t>俄罗斯</t>
  </si>
  <si>
    <t>DEMO-FNS（2016 DT模拟工况）</t>
  </si>
  <si>
    <t>2016设计的1000s DT模拟工况</t>
  </si>
  <si>
    <t>S219</t>
  </si>
  <si>
    <t>RW_DEMOFNS</t>
  </si>
  <si>
    <t>NRC Kurchatov Institute</t>
  </si>
  <si>
    <t>2015 R2.75m设计已调整；不同于DEMO-RF</t>
  </si>
  <si>
    <t>DEMO-RF / DEMO-S（2002设计）</t>
  </si>
  <si>
    <t>7.72</t>
  </si>
  <si>
    <t>2002具体设计组；官方原报告检索文本，全文待取</t>
  </si>
  <si>
    <t>S001; S239</t>
  </si>
  <si>
    <t>RW_DEMORF</t>
  </si>
  <si>
    <t>Russian Consortium</t>
  </si>
  <si>
    <t>不等同DEMO-FNS</t>
  </si>
  <si>
    <t>FNS-ST（Kurchatov 2011概念）</t>
  </si>
  <si>
    <t>2011设计；2018联合研究团队参数表</t>
  </si>
  <si>
    <t>未建概念；后续状态待核</t>
  </si>
  <si>
    <t>S236</t>
  </si>
  <si>
    <t>RW_FNSST</t>
  </si>
  <si>
    <t>Kurchatov Institute</t>
  </si>
  <si>
    <t>与DEMO-FNS及Globus-3分列</t>
  </si>
  <si>
    <t>FT-1</t>
  </si>
  <si>
    <t>1.2</t>
  </si>
  <si>
    <t>历史汇编值（待原始文献复核）；含名义截面几何推算</t>
  </si>
  <si>
    <t>2010历史回顾</t>
  </si>
  <si>
    <t>S209; S003</t>
  </si>
  <si>
    <t>RW_FT1</t>
  </si>
  <si>
    <t>Ioffe Institute</t>
  </si>
  <si>
    <t>kappa: S003 历史汇编p3该装置行/截面类型列：历史汇编明示名义圆截面；尚缺同版本原始平衡测量；采用理想圆形边界，κ=b/a=1。名义几何推算，非逐炮平衡实测。
delta: S003 历史汇编p3该装置行/截面类型列：历史汇编明示名义圆截面；尚缺同版本原始平衡测量；采用理想圆形边界，δ=(Rgeo−Rtop)/a=0。名义几何推算，非逐炮平衡实测。</t>
  </si>
  <si>
    <t>FT-2</t>
  </si>
  <si>
    <t>2.3</t>
  </si>
  <si>
    <t>2005原始调查运行参数；含名义截面几何推算</t>
  </si>
  <si>
    <t>S002; S001; S234</t>
  </si>
  <si>
    <t>RW_FT2</t>
  </si>
  <si>
    <t>Ioffe Institute, St Petersburg</t>
  </si>
  <si>
    <t>delta: S234 §2：原文说明近圆平衡，并使用同心圆等离子体模型；采用理想圆形边界，δ=(Rgeo−Rtop)/a=0。名义几何推算，非逐炮平衡实测。</t>
  </si>
  <si>
    <t>Globus-3 / Compact Hybrid FNS（2018概念）</t>
  </si>
  <si>
    <t>2018紧凑混合堆中子源概念</t>
  </si>
  <si>
    <t>RW_GLOBUS3_2018</t>
  </si>
  <si>
    <t>与2022/2025 R≈.76–.775m、Ip.8MA实验设施概念不同，不互补参数</t>
  </si>
  <si>
    <t>Globus-3（2022温铜线圈概念）</t>
  </si>
  <si>
    <t>预概念设计</t>
  </si>
  <si>
    <t>S217</t>
  </si>
  <si>
    <t>RW_GLOBUS3</t>
  </si>
  <si>
    <t>Globus-M2</t>
  </si>
  <si>
    <t>≤0.5</t>
  </si>
  <si>
    <t>2021 H模实验工况</t>
  </si>
  <si>
    <t>2021实验；2022目录列运行</t>
  </si>
  <si>
    <t>S213; S001</t>
  </si>
  <si>
    <t>RW_GLOBUSM2</t>
  </si>
  <si>
    <t>Globus-M升级</t>
  </si>
  <si>
    <t>Globus-M（2014基本参数）</t>
  </si>
  <si>
    <t>0.5/0.62</t>
  </si>
  <si>
    <t>2014基本参数；κ95、δ95</t>
  </si>
  <si>
    <t>已升级</t>
  </si>
  <si>
    <t>2022目录确认已升级</t>
  </si>
  <si>
    <t>S002; S001; S230</t>
  </si>
  <si>
    <t>RW_GLOBUSM</t>
  </si>
  <si>
    <t>后升级为Globus-M2</t>
  </si>
  <si>
    <t>GUTTA（2007控制参考平衡）</t>
  </si>
  <si>
    <t>2007 DIALEQT-C规定的参考平衡；数值模型输入</t>
  </si>
  <si>
    <t>S002; S001; S229</t>
  </si>
  <si>
    <t>RW_GUTTA</t>
  </si>
  <si>
    <t>St Petersburg State University</t>
  </si>
  <si>
    <t>IGNITOR（俄罗斯场址方案）</t>
  </si>
  <si>
    <t>13</t>
  </si>
  <si>
    <t>2021设计参数</t>
  </si>
  <si>
    <t>2021</t>
  </si>
  <si>
    <t>S214</t>
  </si>
  <si>
    <t>RW_IGNITOR</t>
  </si>
  <si>
    <t>TRINITI, Troitsk；意大利合作</t>
  </si>
  <si>
    <t>意大利起源，俄罗斯为本文拟建场址</t>
  </si>
  <si>
    <t>JUST（俄罗斯1996概念）</t>
  </si>
  <si>
    <t>1.34</t>
  </si>
  <si>
    <t>1996概念，1997文集Table2；κ95，advanced概念参数</t>
  </si>
  <si>
    <t>1997</t>
  </si>
  <si>
    <t>S060</t>
  </si>
  <si>
    <t>RW_JUST1996</t>
  </si>
  <si>
    <t>TRINITI / Kurchatov等</t>
  </si>
  <si>
    <t>Joint Upgraded Spherical Tokamak；与日本JUST(2012)不同项目</t>
  </si>
  <si>
    <t>T-1</t>
  </si>
  <si>
    <t>历史综述图示参数；含名义截面几何推算</t>
  </si>
  <si>
    <t>RW_T1</t>
  </si>
  <si>
    <t>kappa: S003 历史汇编p8该装置行/截面类型列：历史汇编明示名义圆截面；尚缺同版本原始平衡测量；采用理想圆形边界，κ=b/a=1。名义几何推算，非逐炮平衡实测。
delta: S003 历史汇编p8该装置行/截面类型列：历史汇编明示名义圆截面；尚缺同版本原始平衡测量；采用理想圆形边界，δ=(Rgeo−Rtop)/a=0。名义几何推算，非逐炮平衡实测。</t>
  </si>
  <si>
    <t>T-10</t>
  </si>
  <si>
    <t>2005原始调查运行参数；δ95采用2014名义基本参数；δ95采用2014名义基本参数</t>
  </si>
  <si>
    <t>S002; S230</t>
  </si>
  <si>
    <t>RW_T10</t>
  </si>
  <si>
    <t>Kurchatov Institute, Moscow</t>
  </si>
  <si>
    <t>T-11</t>
  </si>
  <si>
    <t>RW_T11</t>
  </si>
  <si>
    <t>T-11M</t>
  </si>
  <si>
    <t>S002; S001; S235</t>
  </si>
  <si>
    <t>RW_T11M</t>
  </si>
  <si>
    <t>TRINITI, Troitsk</t>
  </si>
  <si>
    <t>T-11升级</t>
  </si>
  <si>
    <t>delta: S235 p1473 §1：原团队将T-11M明确称为圆截面托卡马克；采用理想圆形边界，δ=(Rgeo−Rtop)/a=0。名义几何推算，非逐炮平衡实测。</t>
  </si>
  <si>
    <t>T-12</t>
  </si>
  <si>
    <t>历史汇编值（待原始文献复核）</t>
  </si>
  <si>
    <t>RW_T12</t>
  </si>
  <si>
    <t>T-13</t>
  </si>
  <si>
    <t>RW_T13</t>
  </si>
  <si>
    <t>原苏联</t>
  </si>
  <si>
    <t>T-12改造</t>
  </si>
  <si>
    <t>T-14 / TSP（Stage 1设计）</t>
  </si>
  <si>
    <t>12</t>
  </si>
  <si>
    <t>1990第一阶段OH/NBI/ICH设计</t>
  </si>
  <si>
    <t>历史设计（未建成该方案）</t>
  </si>
  <si>
    <t>1990</t>
  </si>
  <si>
    <t>S227</t>
  </si>
  <si>
    <t>RW_T14_1</t>
  </si>
  <si>
    <t>原苏联 Kurchatov Institute</t>
  </si>
  <si>
    <t>T-14/TSP同一项目的不同阶段</t>
  </si>
  <si>
    <t>T-14 / TSP（Stage 3压缩设计）</t>
  </si>
  <si>
    <t>1990第三阶段压缩设计</t>
  </si>
  <si>
    <t>RW_T14_3</t>
  </si>
  <si>
    <t>T-15MD</t>
  </si>
  <si>
    <t>0.3–0.4</t>
  </si>
  <si>
    <t>S211; S210</t>
  </si>
  <si>
    <t>RW_T15MD</t>
  </si>
  <si>
    <t>T-15重大改建，铜磁体系统</t>
  </si>
  <si>
    <t>T-15（原超导装置）</t>
  </si>
  <si>
    <t>3.6</t>
  </si>
  <si>
    <t>历史综述图示尺寸与已达到电流；含名义截面几何推算</t>
  </si>
  <si>
    <t>2010</t>
  </si>
  <si>
    <t>S209; S233</t>
  </si>
  <si>
    <t>RW_T15</t>
  </si>
  <si>
    <t>后重大改建为T-15MD</t>
  </si>
  <si>
    <t>kappa: S233 pp39–40 引言：研究团队综述明确将该装置归入圆截面托卡马克；采用理想圆形边界，κ=b/a=1。名义几何推算，非逐炮平衡实测。
delta: S233 pp39–40 引言：研究团队综述明确将该装置归入圆截面托卡马克；采用理想圆形边界，δ=(Rgeo−Rtop)/a=0。名义几何推算，非逐炮平衡实测。</t>
  </si>
  <si>
    <t>T-2</t>
  </si>
  <si>
    <t>历史报告参数；含名义截面几何推算</t>
  </si>
  <si>
    <t>RW_T2</t>
  </si>
  <si>
    <t>器件迁至Ioffe用于FT-1</t>
  </si>
  <si>
    <t>T-20（1975初步设计）</t>
  </si>
  <si>
    <t>1975初步设计；含名义截面几何推算</t>
  </si>
  <si>
    <t>1975</t>
  </si>
  <si>
    <t>S228; S238</t>
  </si>
  <si>
    <t>RW_T20</t>
  </si>
  <si>
    <t>参数全文核验；形状仅检索摘要</t>
  </si>
  <si>
    <t>kappa: S238 p1 §0（官方报告检索文本）：明确1975 T-20为名义圆截面设计；采用理想圆形边界，κ=b/a=1。名义几何推算，非逐炮平衡实测。
delta: S238 p1 §0（官方报告检索文本）：明确1975 T-20为名义圆截面设计；采用理想圆形边界，δ=(Rgeo−Rtop)/a=0。名义几何推算，非逐炮平衡实测。</t>
  </si>
  <si>
    <t>T-3</t>
  </si>
  <si>
    <t>RW_T3</t>
  </si>
  <si>
    <t>T-3a</t>
  </si>
  <si>
    <t>1971实验工况（1972英文发表）；含名义截面几何推算</t>
  </si>
  <si>
    <t>S209; S215; S003</t>
  </si>
  <si>
    <t>RW_T3A</t>
  </si>
  <si>
    <t>T-4</t>
  </si>
  <si>
    <t>1974设计参数；含名义截面几何推算</t>
  </si>
  <si>
    <t>1974</t>
  </si>
  <si>
    <t>S142; S233</t>
  </si>
  <si>
    <t>RW_T4</t>
  </si>
  <si>
    <t>苏联实验机构</t>
  </si>
  <si>
    <t>T-5</t>
  </si>
  <si>
    <t>RW_T5</t>
  </si>
  <si>
    <t>T-6</t>
  </si>
  <si>
    <t>S142; S003</t>
  </si>
  <si>
    <t>RW_T6</t>
  </si>
  <si>
    <t>T-7</t>
  </si>
  <si>
    <t>1976建造设计参数；含名义截面几何推算</t>
  </si>
  <si>
    <t>S209; S216; S233</t>
  </si>
  <si>
    <t>RW_T7</t>
  </si>
  <si>
    <t>T-8</t>
  </si>
  <si>
    <t>历史综述图示参数</t>
  </si>
  <si>
    <t>S209</t>
  </si>
  <si>
    <t>RW_T8</t>
  </si>
  <si>
    <t>T-9 / Finger-Ring（历史运行汇编）</t>
  </si>
  <si>
    <t>≤2</t>
  </si>
  <si>
    <t>历史运行汇编；拉长比稳定性实验上限</t>
  </si>
  <si>
    <t>RW_FINGER</t>
  </si>
  <si>
    <t>Finger-Ring是T-9别名；后改造为T-12</t>
  </si>
  <si>
    <t>TM-1</t>
  </si>
  <si>
    <t>&lt;1.5</t>
  </si>
  <si>
    <t>RW_TM1</t>
  </si>
  <si>
    <t>kappa: S003 历史汇编p10该装置行/截面类型列：历史汇编明示名义圆截面；尚缺同版本原始平衡测量；采用理想圆形边界，κ=b/a=1。名义几何推算，非逐炮平衡实测。
delta: S003 历史汇编p10该装置行/截面类型列：历史汇编明示名义圆截面；尚缺同版本原始平衡测量；采用理想圆形边界，δ=(Rgeo−Rtop)/a=0。名义几何推算，非逐炮平衡实测。</t>
  </si>
  <si>
    <t>TM-1-VCh</t>
  </si>
  <si>
    <t>1.4</t>
  </si>
  <si>
    <t>RW_TM1VCH</t>
  </si>
  <si>
    <t>TM-2</t>
  </si>
  <si>
    <t>RW_TM2</t>
  </si>
  <si>
    <t>TM-3</t>
  </si>
  <si>
    <t>RW_TM3</t>
  </si>
  <si>
    <t>TM-4</t>
  </si>
  <si>
    <t>RW_TM4</t>
  </si>
  <si>
    <t>后迁往Sukhumi成为TMR</t>
  </si>
  <si>
    <t>TMG</t>
  </si>
  <si>
    <t>RW_TMG</t>
  </si>
  <si>
    <t>TO-1</t>
  </si>
  <si>
    <t>RW_TO1</t>
  </si>
  <si>
    <t>TO-2</t>
  </si>
  <si>
    <t>1.6</t>
  </si>
  <si>
    <t>RW_TO2</t>
  </si>
  <si>
    <t>TO系列</t>
  </si>
  <si>
    <t>TRT（2025设计）</t>
  </si>
  <si>
    <t>S218</t>
  </si>
  <si>
    <t>RW_TRT</t>
  </si>
  <si>
    <t>NIIEFA / NRC Kurchatov Institute</t>
  </si>
  <si>
    <t>TUMAN-1</t>
  </si>
  <si>
    <t>RW_TUMAN1</t>
  </si>
  <si>
    <t>TUMAN-2a</t>
  </si>
  <si>
    <t>RW_TUMAN2A</t>
  </si>
  <si>
    <t>kappa: S003 历史汇编p11该装置行/截面类型列：历史汇编明示名义圆截面；尚缺同版本原始平衡测量；采用理想圆形边界，κ=b/a=1。名义几何推算，非逐炮平衡实测。
delta: S003 历史汇编p11该装置行/截面类型列：历史汇编明示名义圆截面；尚缺同版本原始平衡测量；采用理想圆形边界，δ=(Rgeo−Rtop)/a=0。名义几何推算，非逐炮平衡实测。</t>
  </si>
  <si>
    <t>TUMAN-2（历史汇编运行参数）</t>
  </si>
  <si>
    <t>历史汇编运行／近似最优值；含名义截面几何推算</t>
  </si>
  <si>
    <t>RW_TUMAN2</t>
  </si>
  <si>
    <t>kappa: S003 p11 TUMAN-2行/截面类型列：历史汇编明确圆形限制器；采用理想圆形边界，κ=b/a=1。名义几何推算，非逐炮平衡实测。
delta: S003 p11 TUMAN-2行/截面类型列：历史汇编明确圆形限制器；采用理想圆形边界，δ=(Rgeo−Rtop)/a=0。名义几何推算，非逐炮平衡实测。</t>
  </si>
  <si>
    <t>TUMAN-3</t>
  </si>
  <si>
    <t>0.13–0.18</t>
  </si>
  <si>
    <t>S209; S060</t>
  </si>
  <si>
    <t>RW_TUMAN3</t>
  </si>
  <si>
    <t>后改为TUMAN-3M</t>
  </si>
  <si>
    <t>kappa: S060 TUMAN-3M原文pp7–8 §§1–2：明确圆形限制器配置／圆截面等离子体；采用理想圆形边界，κ=b/a=1。名义几何推算，非逐炮平衡实测。
delta: S060 TUMAN-3M原文pp7–8 §§1–2：明确圆形限制器配置／圆截面等离子体；采用理想圆形边界，δ=(Rgeo−Rtop)/a=0。名义几何推算，非逐炮平衡实测。</t>
  </si>
  <si>
    <t>TUMAN-3M</t>
  </si>
  <si>
    <t>S002; S001; S060</t>
  </si>
  <si>
    <t>RW_TUMAN3M</t>
  </si>
  <si>
    <t>TUMAN-3升级</t>
  </si>
  <si>
    <t>delta: S060 TUMAN-3M原文pp7–8 §§1–2：明确圆形限制器配置／圆截面等离子体；采用理想圆形边界，δ=(Rgeo−Rtop)/a=0。名义几何推算，非逐炮平衡实测。</t>
  </si>
  <si>
    <t>TV-1（TF-2前身）</t>
  </si>
  <si>
    <t>历史汇编参数；前身版本；含名义截面几何推算</t>
  </si>
  <si>
    <t>历史装置；迁移为TF-2</t>
  </si>
  <si>
    <t>2012历史汇编</t>
  </si>
  <si>
    <t>RW_TV1</t>
  </si>
  <si>
    <t>IVTAN, Moscow</t>
  </si>
  <si>
    <t>后迁移至Bishkek成为TF-2；此行不是新增独立物理装置</t>
  </si>
  <si>
    <t>kappa: S003 p11 TV-1行/截面类型列：历史汇编明确圆形限制器；采用理想圆形边界，κ=b/a=1。名义几何推算，非逐炮平衡实测。
delta: S003 p11 TV-1行/截面类型列：历史汇编明确圆形限制器；采用理想圆形边界，δ=(Rgeo−Rtop)/a=0。名义几何推算，非逐炮平衡实测。</t>
  </si>
  <si>
    <t>TVD</t>
  </si>
  <si>
    <t>历史汇编R/Ip；IAEA追述TVD原等离子体拉长比4，版本未完全统一</t>
  </si>
  <si>
    <t>S209; S003; S001</t>
  </si>
  <si>
    <t>RW_TVD</t>
  </si>
  <si>
    <t>历史汇编／官方追述</t>
  </si>
  <si>
    <t>格鲁吉亚（苏呼米／阿布哈兹）</t>
  </si>
  <si>
    <t>TMR</t>
  </si>
  <si>
    <t>已停运（历史汇编）</t>
  </si>
  <si>
    <t>RW_TMR</t>
  </si>
  <si>
    <t>TM-4迁移改造</t>
  </si>
  <si>
    <t>英国</t>
  </si>
  <si>
    <t>CLEO</t>
  </si>
  <si>
    <t>文献汇总值；含名义圆形几何推算</t>
  </si>
  <si>
    <t>S003; S117</t>
  </si>
  <si>
    <t>EU_cleo</t>
  </si>
  <si>
    <t>UKAEA Culham</t>
  </si>
  <si>
    <t>1972–1987；具有tokamak/stellarator配置历史</t>
  </si>
  <si>
    <t>kappa: 原文明确CLEO等离子体横截面为圆形；理想名义模型κ=b/a=1，非逐炮平衡测量。
delta: 原文明确CLEO等离子体横截面为圆形；理想名义模型δ=(Rgeo-Rtop)/a=0，非逐炮平衡测量。</t>
  </si>
  <si>
    <t>COMPASS-D（2002欧姆加料实验参数组）</t>
  </si>
  <si>
    <t>2.1</t>
  </si>
  <si>
    <t>原始实验论文同组：单零偏滤器、氘欧姆加热、Figure2加料扫描；非装置上限</t>
  </si>
  <si>
    <t>S003; S119</t>
  </si>
  <si>
    <t>EU_compass_d</t>
  </si>
  <si>
    <t>1989–2001；原圆形COMPASS改D形；2007迁捷克</t>
  </si>
  <si>
    <t>DITE</t>
  </si>
  <si>
    <t>2.7</t>
  </si>
  <si>
    <t>EU_dite</t>
  </si>
  <si>
    <t>1974–1989</t>
  </si>
  <si>
    <t>kappa: 历史装置汇编Config.列明确Circular的名义等离子体构型，非从真空室或线圈形状推断；理想名义模型κ=b/a=1，非逐炮平衡测量。
delta: 历史装置汇编Config.列明确Circular的名义等离子体构型，非从真空室或线圈形状推断；理想名义模型δ=(Rgeo-Rtop)/a=0，非逐炮平衡测量。</t>
  </si>
  <si>
    <t>JET（#19649参考放电）</t>
  </si>
  <si>
    <t>3.4</t>
  </si>
  <si>
    <t>实验工况：#19649，平衡/0d时刻t=48.7 s</t>
  </si>
  <si>
    <t>2023-12</t>
  </si>
  <si>
    <t>S001; S075; S111; S109</t>
  </si>
  <si>
    <t>EU_jet</t>
  </si>
  <si>
    <t>UKAEA Culham；EUROfusion国际项目</t>
  </si>
  <si>
    <t>MAST</t>
  </si>
  <si>
    <t>0.51</t>
  </si>
  <si>
    <t>2022回顾2000–2013</t>
  </si>
  <si>
    <t>S073; S001</t>
  </si>
  <si>
    <t>EU_mast</t>
  </si>
  <si>
    <t>UKAEA, Culham</t>
  </si>
  <si>
    <t>2000–2013；后改MAST Upgrade</t>
  </si>
  <si>
    <t>MAST Upgrade</t>
  </si>
  <si>
    <t>≤0.6</t>
  </si>
  <si>
    <t>0.52</t>
  </si>
  <si>
    <t>2025-09（2026–27计划）</t>
  </si>
  <si>
    <t>S067</t>
  </si>
  <si>
    <t>EU_mast_u</t>
  </si>
  <si>
    <t>MAST→MAST Upgrade，2020首等离子体</t>
  </si>
  <si>
    <t>MAST Upgrade（2022设计能力）</t>
  </si>
  <si>
    <t>S073; S067</t>
  </si>
  <si>
    <t>EU_mast_u_design</t>
  </si>
  <si>
    <t>同EU_mast_u</t>
  </si>
  <si>
    <t>ST-E1 / ST425（2025设计点）</t>
  </si>
  <si>
    <t>4.25</t>
  </si>
  <si>
    <t>设计参数；含几何推算</t>
  </si>
  <si>
    <t>2025-12</t>
  </si>
  <si>
    <t>S093</t>
  </si>
  <si>
    <t>EU_ste1_425</t>
  </si>
  <si>
    <t>Tokamak Energy；UK-US合作</t>
  </si>
  <si>
    <t>ST-E1两个设计点之一</t>
  </si>
  <si>
    <t>a_m: S093 Table1同一设计点R=4.25m、A=2.15；a=R/A≈1.98m；输入已舍入，换算非实测。</t>
  </si>
  <si>
    <t>ST-E1 / ST500（2025设计点）</t>
  </si>
  <si>
    <t>5.25</t>
  </si>
  <si>
    <t>EU_ste1_500</t>
  </si>
  <si>
    <t>a_m: S093 Table1同一设计点R=5m、A=2.3；a=R/A≈2.17m；输入已舍入，换算非实测。</t>
  </si>
  <si>
    <t>ST25</t>
  </si>
  <si>
    <t>0.010–0.020</t>
  </si>
  <si>
    <t>S086; S121</t>
  </si>
  <si>
    <t>EU_st25</t>
  </si>
  <si>
    <t>Tokamak Solutions / Tokamak Energy, Oxfordshire</t>
  </si>
  <si>
    <t>后继ST25(HTS)</t>
  </si>
  <si>
    <t>ST25(HTS)</t>
  </si>
  <si>
    <t>2018原始技术论文名义主半径</t>
  </si>
  <si>
    <t>2023回顾2015运行</t>
  </si>
  <si>
    <t>S086; S087; S122; S121</t>
  </si>
  <si>
    <t>EU_st25hts</t>
  </si>
  <si>
    <t>Tokamak Energy, Oxfordshire</t>
  </si>
  <si>
    <t>ST25后继HTS版本</t>
  </si>
  <si>
    <t>ST40（2022综述设计能力）</t>
  </si>
  <si>
    <t>2026-09访问：LEAPS升级</t>
  </si>
  <si>
    <t>S001; S073; S088</t>
  </si>
  <si>
    <t>EU_st40</t>
  </si>
  <si>
    <t>ST80-HTS / ST-X(80)</t>
  </si>
  <si>
    <t>S096; S087</t>
  </si>
  <si>
    <t>EU_st80</t>
  </si>
  <si>
    <t>Tokamak Energy；计划Culham</t>
  </si>
  <si>
    <t>ST40后的HTS原型方案；后续是否与STX同一版本待核</t>
  </si>
  <si>
    <t>START</t>
  </si>
  <si>
    <t>0.31</t>
  </si>
  <si>
    <t>2024回顾1991–1998</t>
  </si>
  <si>
    <t>S073; S092</t>
  </si>
  <si>
    <t>EU_start</t>
  </si>
  <si>
    <t>1991–1998；真空室转用于意大利PROTO-SPHERA</t>
  </si>
  <si>
    <t>STEP Prototype Powerplant（2024概念）</t>
  </si>
  <si>
    <t>20–25</t>
  </si>
  <si>
    <t>3.2</t>
  </si>
  <si>
    <t>2024</t>
  </si>
  <si>
    <t>S083; S084; S075</t>
  </si>
  <si>
    <t>EU_step</t>
  </si>
  <si>
    <t>UKAEA；拟建West Burton, Nottinghamshire</t>
  </si>
  <si>
    <t>STEP SPP概念，尚非施工完成参数</t>
  </si>
  <si>
    <t>TOSCA（1977椭圆截面实验组）</t>
  </si>
  <si>
    <t>≲0.10</t>
  </si>
  <si>
    <t>0.75–1.5</t>
  </si>
  <si>
    <t>≈0.015</t>
  </si>
  <si>
    <t>1977原始实验典型参数与有反馈稳定范围；含名义椭圆δ推算</t>
  </si>
  <si>
    <t>S003; S120</t>
  </si>
  <si>
    <t>EU_tosca</t>
  </si>
  <si>
    <t>全文及原图核验</t>
  </si>
  <si>
    <t>1974–1987</t>
  </si>
  <si>
    <t>delta: 原文明确椭圆等离子体截面；理想椭圆Rtop=Rgeo，δ=(Rgeo-Rtop)/a=0，非逐炮重建精确δ。</t>
  </si>
  <si>
    <t>法国</t>
  </si>
  <si>
    <t>ITER（1998 EDA设计）</t>
  </si>
  <si>
    <t>5.3</t>
  </si>
  <si>
    <t>1998-05-14（历史未建方案）</t>
  </si>
  <si>
    <t>S104</t>
  </si>
  <si>
    <t>EU_iter_eda1998</t>
  </si>
  <si>
    <t>ITER国际设计团队</t>
  </si>
  <si>
    <t>同一ITER项目的早期EDA大尺寸设计；后缩减为ITER-FEAT。按ITER项目最终所在地归法国，本行并不表示1998年已确定法国场址或该方案正在建设。</t>
  </si>
  <si>
    <t>ITER（ITER-FEAT基线）</t>
  </si>
  <si>
    <t>S071; S001</t>
  </si>
  <si>
    <t>EU_iter</t>
  </si>
  <si>
    <t>ITER Organization, Cadarache；国际项目</t>
  </si>
  <si>
    <t>ITER-FEAT版本；国际合作项目</t>
  </si>
  <si>
    <t>PETULA</t>
  </si>
  <si>
    <t>EU_petula</t>
  </si>
  <si>
    <t>Grenoble</t>
  </si>
  <si>
    <t>1974–1976；后升级PETULA-B</t>
  </si>
  <si>
    <t>PETULA-B</t>
  </si>
  <si>
    <t>EU_petula_b</t>
  </si>
  <si>
    <t>1976–1986；后迁荷兰成为RTP</t>
  </si>
  <si>
    <t>TFR 400</t>
  </si>
  <si>
    <t>6</t>
  </si>
  <si>
    <t>EU_tfr400</t>
  </si>
  <si>
    <t>CEA Fontenay-aux-Roses</t>
  </si>
  <si>
    <t>1973–1978；后升级TFR 600</t>
  </si>
  <si>
    <t>TFR 600</t>
  </si>
  <si>
    <t>EU_tfr600</t>
  </si>
  <si>
    <t>1978–1984；表内与TFR400值相同，需原始实验文献复核</t>
  </si>
  <si>
    <t>Tore Supra（#14234参考放电）</t>
  </si>
  <si>
    <t>实验工况：#14234，平衡/0d时刻t=6.015 s</t>
  </si>
  <si>
    <t>S003; S100; S113; S109</t>
  </si>
  <si>
    <t>EU_tore_supra</t>
  </si>
  <si>
    <t>CEA Cadarache</t>
  </si>
  <si>
    <t>1988起；后改造WEST</t>
  </si>
  <si>
    <t>WEGA（Grenoble托卡马克阶段）</t>
  </si>
  <si>
    <t>&lt;0.5</t>
  </si>
  <si>
    <t>EU_wega</t>
  </si>
  <si>
    <t>Grenoble；法国-德国合作</t>
  </si>
  <si>
    <t>1975起；约1977改仿星器；后迁德国及美国HIDRA</t>
  </si>
  <si>
    <t>WEST</t>
  </si>
  <si>
    <t>3.7</t>
  </si>
  <si>
    <t>EU_west</t>
  </si>
  <si>
    <t>CEA, Cadarache</t>
  </si>
  <si>
    <t>Tore Supra改造为WEST，2016首等离子体</t>
  </si>
  <si>
    <t>德国</t>
  </si>
  <si>
    <t>ASDEX</t>
  </si>
  <si>
    <t>装置额定参数；含名义圆形几何推算</t>
  </si>
  <si>
    <t>2012回顾1980–1990</t>
  </si>
  <si>
    <t>S095; S003; S117</t>
  </si>
  <si>
    <t>EU_asdex</t>
  </si>
  <si>
    <t>IPP, Garching</t>
  </si>
  <si>
    <t>1980–1990；部件后用于中国HL-2A</t>
  </si>
  <si>
    <t>kappa: 原文明确ASDEX等离子体横截面为圆形；理想名义模型κ=b/a=1，非逐炮平衡测量。
delta: 原文明确ASDEX等离子体横截面为圆形；理想名义模型δ=(Rgeo-Rtop)/a=0，非逐炮平衡测量。</t>
  </si>
  <si>
    <t>ASDEX Upgrade</t>
  </si>
  <si>
    <t>-0.35–0.6</t>
  </si>
  <si>
    <t>S067; S072</t>
  </si>
  <si>
    <t>EU_aug</t>
  </si>
  <si>
    <t>Max Planck IPP, Garching</t>
  </si>
  <si>
    <t>ASDEX后的新建装置</t>
  </si>
  <si>
    <t>Pulsator</t>
  </si>
  <si>
    <t>EU_pulsator</t>
  </si>
  <si>
    <t>IPP Garching</t>
  </si>
  <si>
    <t>1973–1979</t>
  </si>
  <si>
    <t>TEE</t>
  </si>
  <si>
    <t>2012回顾1972–1977</t>
  </si>
  <si>
    <t>EU_tee</t>
  </si>
  <si>
    <t>Jülich</t>
  </si>
  <si>
    <t>1972–1977；为TEXTOR建设让位</t>
  </si>
  <si>
    <t>TEXTOR（#44566参考放电）</t>
  </si>
  <si>
    <t>实验工况：#44566，平衡/0d时刻t=1.65 s</t>
  </si>
  <si>
    <t>2026-03-05</t>
  </si>
  <si>
    <t>S069; S114; S109</t>
  </si>
  <si>
    <t>EU_textor</t>
  </si>
  <si>
    <t>Forschungszentrum Jülich</t>
  </si>
  <si>
    <t>UNITOR</t>
  </si>
  <si>
    <t>EU_unitor</t>
  </si>
  <si>
    <t>Heinrich-Heine Universität Düsseldorf</t>
  </si>
  <si>
    <t>1982–1990年代</t>
  </si>
  <si>
    <t>意大利</t>
  </si>
  <si>
    <t>DTT（2019 Interim Design）</t>
  </si>
  <si>
    <t>2019</t>
  </si>
  <si>
    <t>S080</t>
  </si>
  <si>
    <t>EU_dtt_2019</t>
  </si>
  <si>
    <t>ENEA, Frascati</t>
  </si>
  <si>
    <t>后续DTT设计修订；同一项目旧版本</t>
  </si>
  <si>
    <t>DTT（2024参考单零设计）</t>
  </si>
  <si>
    <t>≈1.7</t>
  </si>
  <si>
    <t>≈0.48</t>
  </si>
  <si>
    <t>2026-09访问</t>
  </si>
  <si>
    <t>S079; S107</t>
  </si>
  <si>
    <t>EU_dtt</t>
  </si>
  <si>
    <t>DTT S.c. a r.l./ENEA, Frascati</t>
  </si>
  <si>
    <t>同DTT项目现行尺寸</t>
  </si>
  <si>
    <t>FAST（Fusion Advanced Studies Torus）</t>
  </si>
  <si>
    <t>S078</t>
  </si>
  <si>
    <t>EU_fast</t>
  </si>
  <si>
    <t>EURATOM-ENEA, Frascati</t>
  </si>
  <si>
    <t>与日本Fusion by Advanced Superconducting Tokamak的同名FAST不同</t>
  </si>
  <si>
    <t>FT3（2004设计）</t>
  </si>
  <si>
    <t>S077</t>
  </si>
  <si>
    <t>EU_ft3</t>
  </si>
  <si>
    <t>FTU后继概念；2007曾修订设计</t>
  </si>
  <si>
    <t>FTU（#12658参考放电）</t>
  </si>
  <si>
    <t>实验工况：#12658，平衡/0d时刻t=0.09 s；含来源内名义几何模型</t>
  </si>
  <si>
    <t>2021（回顾2019年底）</t>
  </si>
  <si>
    <t>S068; S076; S077; S110; S109</t>
  </si>
  <si>
    <t>EU_ftu</t>
  </si>
  <si>
    <t>FT后继装置</t>
  </si>
  <si>
    <t>delta: 原数据提供方依据近圆截面将δ固定为0（com文件）；来源内的模型假设，非本轮独立实测或逐炮反演。</t>
  </si>
  <si>
    <t>FT（Frascati Tokamak）</t>
  </si>
  <si>
    <t>10.0</t>
  </si>
  <si>
    <t>EU_ft</t>
  </si>
  <si>
    <t>Frascati</t>
  </si>
  <si>
    <t>1975–1989；后继FTU</t>
  </si>
  <si>
    <t>PROTO-SPHERA（2001平衡设计）</t>
  </si>
  <si>
    <t>2001；2024实验项目文献</t>
  </si>
  <si>
    <t>S091; S092</t>
  </si>
  <si>
    <t>EU_protosphera</t>
  </si>
  <si>
    <t>使用START真空室</t>
  </si>
  <si>
    <t>扩展：特殊球形环配置</t>
  </si>
  <si>
    <t>RFX-mod2（Tokamak模式设计）</t>
  </si>
  <si>
    <t>&gt;1.5</t>
  </si>
  <si>
    <t>&gt;0.3</t>
  </si>
  <si>
    <t>0.55</t>
  </si>
  <si>
    <t>S090</t>
  </si>
  <si>
    <t>EU_rfxmod2</t>
  </si>
  <si>
    <t>大半径 R；小半径 a；总等离子体电流 Ip</t>
  </si>
  <si>
    <t>Consorzio RFX, Padova</t>
  </si>
  <si>
    <t>RFX-mod升级</t>
  </si>
  <si>
    <t>RFX-mod（圆截面Tokamak工况范围）</t>
  </si>
  <si>
    <t>0.42–0.45</t>
  </si>
  <si>
    <t>0.060–0.095</t>
  </si>
  <si>
    <t>2020原始文献总结旧机圆截面Tokamak实验范围；R为装置名义主半径，含圆形几何推算</t>
  </si>
  <si>
    <t>S089; S123</t>
  </si>
  <si>
    <t>EU_rfxmod</t>
  </si>
  <si>
    <t>原始论文首页预览及资料交叉</t>
  </si>
  <si>
    <t>RFX升级；后续RFX-mod2</t>
  </si>
  <si>
    <t>kappa: 原文所列旧机圆截面tokamak工况，理想名义κ=1，非逐炮平衡。
delta: 原文所列旧机圆截面tokamak工况，理想名义δ=0，非逐炮平衡。</t>
  </si>
  <si>
    <t>THOR</t>
  </si>
  <si>
    <t>1.1</t>
  </si>
  <si>
    <t>EU_thor</t>
  </si>
  <si>
    <t>Milan</t>
  </si>
  <si>
    <t>1978–1989</t>
  </si>
  <si>
    <t>TTF / Torello</t>
  </si>
  <si>
    <t>EU_ttf</t>
  </si>
  <si>
    <t>1973；原表0.05 MA需原始来源复核</t>
  </si>
  <si>
    <t>瑞士</t>
  </si>
  <si>
    <t>TCA</t>
  </si>
  <si>
    <t>EU_tca</t>
  </si>
  <si>
    <t>EPFL Lausanne</t>
  </si>
  <si>
    <t>1980–约1990；后迁巴西为TCABR</t>
  </si>
  <si>
    <t>TCV</t>
  </si>
  <si>
    <t>-0.8–0.9</t>
  </si>
  <si>
    <t>1.54</t>
  </si>
  <si>
    <t>S067; S070</t>
  </si>
  <si>
    <t>EU_tcv</t>
  </si>
  <si>
    <t>EPFL Swiss Plasma Center, Lausanne</t>
  </si>
  <si>
    <t>捷克</t>
  </si>
  <si>
    <t>CASTOR</t>
  </si>
  <si>
    <t>官方历史页面（2026-09-09读取）</t>
  </si>
  <si>
    <t>S003; S074; S118</t>
  </si>
  <si>
    <t>EU_castor</t>
  </si>
  <si>
    <t>IPP Prague</t>
  </si>
  <si>
    <t>TM-1由苏联移交捷克；1977–1984名TM-1-MH，后名CASTOR，运行1977–2006；后迁CTU为GOLEM。</t>
  </si>
  <si>
    <t>kappa: 官方明确CASTOR为圆形等离子体横截面；理想名义模型κ=b/a=1，非逐炮平衡测量。
delta: 官方明确CASTOR为圆形等离子体横截面；理想名义模型δ=(Rgeo-Rtop)/a=0，非逐炮平衡测量。</t>
  </si>
  <si>
    <t>COMPASS</t>
  </si>
  <si>
    <t>2025-12（回顾2008–2021）</t>
  </si>
  <si>
    <t>S003; S074</t>
  </si>
  <si>
    <t>EU_compass</t>
  </si>
  <si>
    <t>2008首等离子体；英国COMPASS-D迁入；现状另核</t>
  </si>
  <si>
    <t>COMPASS Upgrade（2025设计）</t>
  </si>
  <si>
    <t>S074</t>
  </si>
  <si>
    <t>EU_compass_u</t>
  </si>
  <si>
    <t>IPP CAS, Prague</t>
  </si>
  <si>
    <t>COMPASS后继；2019/2022 R=.894在2025报告圆整为.9</t>
  </si>
  <si>
    <t>GOLEM</t>
  </si>
  <si>
    <t>&lt;0.008</t>
  </si>
  <si>
    <t>装置额定参数；含几何推算</t>
  </si>
  <si>
    <t>官方现行页面，访问2026-09-09；页面未注明更新时间</t>
  </si>
  <si>
    <t>S001; S097</t>
  </si>
  <si>
    <t>EU_golem</t>
  </si>
  <si>
    <t>Czech Technical University, Prague</t>
  </si>
  <si>
    <t>TM-1→TM1-VCh/TM-1MH→CASTOR→GOLEM</t>
  </si>
  <si>
    <t>kappa: 原文明确等离子体为圆截面；理想边界模型κ=b/a=1。名义几何推算，非逐炮平衡测量。
delta: 原文明确等离子体为圆截面；理想圆形边界最高点Rtop=Rgeo，δ=(Rgeo-Rtop)/a=0。非逐炮实测。</t>
  </si>
  <si>
    <t>西班牙</t>
  </si>
  <si>
    <t>SMART（2023设计）</t>
  </si>
  <si>
    <t>≤3</t>
  </si>
  <si>
    <t>-0.6–0.6</t>
  </si>
  <si>
    <t>0.1 / 0.3 / 1</t>
  </si>
  <si>
    <t>2025-05-05</t>
  </si>
  <si>
    <t>S081; S082</t>
  </si>
  <si>
    <t>EU_smart</t>
  </si>
  <si>
    <t>University of Seville</t>
  </si>
  <si>
    <t>TJ-1</t>
  </si>
  <si>
    <t>1.9</t>
  </si>
  <si>
    <t>S003; S106</t>
  </si>
  <si>
    <t>EU_tj1</t>
  </si>
  <si>
    <t>Madrid</t>
  </si>
  <si>
    <t>1983–1994；其多数辅助系统及设备被后续TJ-IU torsatron沿用，不能据upgrade名称断言同一主体装置改型；TJ-IU后迁德国成为TJ-K。后继仿星器不另列为托卡马克。</t>
  </si>
  <si>
    <t>葡萄牙</t>
  </si>
  <si>
    <t>ISTTOK</t>
  </si>
  <si>
    <t>实验工况；含几何推算</t>
  </si>
  <si>
    <t>S001; S099</t>
  </si>
  <si>
    <t>EU_isttok</t>
  </si>
  <si>
    <t>Instituto Superior Técnico, Lisbon</t>
  </si>
  <si>
    <t>由荷兰TORTUR迁移改造</t>
  </si>
  <si>
    <t>荷兰</t>
  </si>
  <si>
    <t>RTP（#96040237参考放电）</t>
  </si>
  <si>
    <t>实验工况：#96040237，平衡/0d时刻t=0.19 s；含来源内名义几何模型</t>
  </si>
  <si>
    <t>S003; S112; S109</t>
  </si>
  <si>
    <t>EU_rtp</t>
  </si>
  <si>
    <t>FOM Rijnhuizen</t>
  </si>
  <si>
    <t>1989–1998；前身PETULA-B</t>
  </si>
  <si>
    <t>kappa: 提供方假设圆形，com文件说明测量在约5%内支持该近似；κ=1为来源模型固定值。
delta: 提供方圆形边界模型固定δ=0，com文件说明约5%几何近似。</t>
  </si>
  <si>
    <t>TORTUR（1989报告参数）</t>
  </si>
  <si>
    <t>≤0.055</t>
  </si>
  <si>
    <t>2.9</t>
  </si>
  <si>
    <t>1989原始TORTUR报告能力值；含名义圆形几何推算</t>
  </si>
  <si>
    <t>S003; S116</t>
  </si>
  <si>
    <t>EU_tortur</t>
  </si>
  <si>
    <t>TORTUR IV实验期1987年6月–1988年10月；后改造为ISTTOK。</t>
  </si>
  <si>
    <t>比利时</t>
  </si>
  <si>
    <t>Erasmus</t>
  </si>
  <si>
    <t>0.38</t>
  </si>
  <si>
    <t>EU_erasmus</t>
  </si>
  <si>
    <t>Bruxelles</t>
  </si>
  <si>
    <t>1976–1983；美国建造后运比利时</t>
  </si>
  <si>
    <t>丹麦</t>
  </si>
  <si>
    <t>DANTE（历史装置）</t>
  </si>
  <si>
    <t>0.625</t>
  </si>
  <si>
    <t>2012历史名录记录运行期1977–1986</t>
  </si>
  <si>
    <t>S003; S102</t>
  </si>
  <si>
    <t>EU_dante</t>
  </si>
  <si>
    <t>Risø National Laboratory, Roskilde</t>
  </si>
  <si>
    <t>1976在建；与2025年DANTE Fusion商业中子源概念同名，但为不同项目。</t>
  </si>
  <si>
    <t>NORTH</t>
  </si>
  <si>
    <t>S001; S098; S108</t>
  </si>
  <si>
    <t>EU_north</t>
  </si>
  <si>
    <t>Technical University of Denmark</t>
  </si>
  <si>
    <t>Tokamak Energy建造，DTU于2019运行</t>
  </si>
  <si>
    <t>匈牙利</t>
  </si>
  <si>
    <t>MT-1</t>
  </si>
  <si>
    <t>EU_mt1_hu</t>
  </si>
  <si>
    <t>Budapest</t>
  </si>
  <si>
    <t>1978–1992；后升级MT-1M，勿与巴基斯坦同名机混淆</t>
  </si>
  <si>
    <t>MT-1M</t>
  </si>
  <si>
    <t>EU_mt1m</t>
  </si>
  <si>
    <t>1993–1998；MT-1升级</t>
  </si>
  <si>
    <t>卢森堡／美国（合作设计）</t>
  </si>
  <si>
    <t>NSF NTT（Negative Triangularity Tokamak）</t>
  </si>
  <si>
    <t>2025-01</t>
  </si>
  <si>
    <t>S094</t>
  </si>
  <si>
    <t>EU_nsf_ntt</t>
  </si>
  <si>
    <t>Next Step Fusion/Columbia University</t>
  </si>
  <si>
    <t>卢森堡Next Step Fusion与美国Columbia University合作；拟建场址未核实。</t>
  </si>
  <si>
    <t>欧洲（国际设计）</t>
  </si>
  <si>
    <t>EU-DEMO（Physics Baseline 2018）</t>
  </si>
  <si>
    <t>2022发表；2018基线</t>
  </si>
  <si>
    <t>S085</t>
  </si>
  <si>
    <t>EU_eu_demo</t>
  </si>
  <si>
    <t>EUROfusion</t>
  </si>
  <si>
    <t>NET-DT（1985/1986参考设计）</t>
  </si>
  <si>
    <t>5.0</t>
  </si>
  <si>
    <t>1985/1986 NET-DT参考设计（1988 KfK4433完整同组）</t>
  </si>
  <si>
    <t>1988报告记录1985/1986参考设计，非2026在研认定</t>
  </si>
  <si>
    <t>S100; S115</t>
  </si>
  <si>
    <t>EU_net</t>
  </si>
  <si>
    <t>NET Team / Euratom</t>
  </si>
  <si>
    <t>欧洲下一代托卡马克的历史概念；与ITER研究存在关联，未作为独立建成装置计数。</t>
  </si>
  <si>
    <t>PPCS Model A（2005概念）</t>
  </si>
  <si>
    <t>7.0</t>
  </si>
  <si>
    <t>2005（历史概念研究）</t>
  </si>
  <si>
    <t>S103</t>
  </si>
  <si>
    <t>EU_ppcs_a</t>
  </si>
  <si>
    <t>EFDA / European PPCS team</t>
  </si>
  <si>
    <t>同一PPCS研究的四个比较模型之一，不代表独立建成设备。</t>
  </si>
  <si>
    <t>a_m: 同一EU_S39 Table1给R=9.55m、A=3.0；a=R/A≈3.18m。由已舍入设计参数换算，保留3位有效数字，不代表额外测量精度。</t>
  </si>
  <si>
    <t>PPCS Model B（2005概念）</t>
  </si>
  <si>
    <t>6.9</t>
  </si>
  <si>
    <t>EU_ppcs_b</t>
  </si>
  <si>
    <t>a_m: 同一EU_S39 Table1给R=8.6m、A=3.0；a=R/A≈2.87m。由已舍入设计参数换算，保留3位有效数字，不代表额外测量精度。</t>
  </si>
  <si>
    <t>PPCS Model C（2005概念）</t>
  </si>
  <si>
    <t>6.0</t>
  </si>
  <si>
    <t>EU_ppcs_c</t>
  </si>
  <si>
    <t>a_m: 同一EU_S39 Table1给R=7.5m、A=3.0；a=R/A≈2.5m。由已舍入设计参数换算，保留3位有效数字，不代表额外测量精度。</t>
  </si>
  <si>
    <t>PPCS Model D（2005概念）</t>
  </si>
  <si>
    <t>5.6</t>
  </si>
  <si>
    <t>EU_ppcs_d</t>
  </si>
  <si>
    <t>a_m: 同一EU_S39 Table1给R=6.1m、A=3.0；a=R/A≈2.03m。由已舍入设计参数换算，保留3位有效数字，不代表额外测量精度。</t>
  </si>
  <si>
    <t>土耳其</t>
  </si>
  <si>
    <t>STPC-EX</t>
  </si>
  <si>
    <t>2005原始调查参数</t>
  </si>
  <si>
    <t>球形/特殊自组织配置</t>
  </si>
  <si>
    <t>RW_STPCEX</t>
  </si>
  <si>
    <t>TAEA, Ankara</t>
  </si>
  <si>
    <t>美国</t>
  </si>
  <si>
    <t>Alcator A</t>
  </si>
  <si>
    <t>10</t>
  </si>
  <si>
    <t>文献汇总值；含几何推算</t>
  </si>
  <si>
    <t>2011历史讲义；日期待查</t>
  </si>
  <si>
    <t>S127; S198</t>
  </si>
  <si>
    <t>AM_ALCATORA</t>
  </si>
  <si>
    <t>MIT PSFC</t>
  </si>
  <si>
    <t>Alcator系列首台</t>
  </si>
  <si>
    <t>kappa: S198 Chapter 3 p.37 明示圆形等离子体截面；理想模型κ=b/a=1，非逐炮平衡实测。
delta: S198 Chapter 3 p.37 明示圆形等离子体截面；理想模型δ=(Rgeo-Rtop)/a=0，非逐炮平衡实测。</t>
  </si>
  <si>
    <t>Alcator C</t>
  </si>
  <si>
    <t>AM_ALCATORC</t>
  </si>
  <si>
    <t>其后迁至LLNL成为MTX</t>
  </si>
  <si>
    <t>Alcator C-Mod</t>
  </si>
  <si>
    <t>0.9–1.8</t>
  </si>
  <si>
    <t>0.1–0.85</t>
  </si>
  <si>
    <t>0.4–2.0</t>
  </si>
  <si>
    <t>2016-09（2018官方回顾）</t>
  </si>
  <si>
    <t>S126; S186</t>
  </si>
  <si>
    <t>AM_CMOD</t>
  </si>
  <si>
    <t>非Alcator C改装</t>
  </si>
  <si>
    <t>ARC V3A（CFS商业电站，2026设计）</t>
  </si>
  <si>
    <t>11.4</t>
  </si>
  <si>
    <t>设计参数（2026-06-04公开的V3A同表完整组）</t>
  </si>
  <si>
    <t>2026-06-04</t>
  </si>
  <si>
    <t>S168; S202</t>
  </si>
  <si>
    <t>AM_ARC2025</t>
  </si>
  <si>
    <t>CFS / Chesterfield County, Virginia</t>
  </si>
  <si>
    <t>2025年宣布Chesterfield项目；2026年V3A公开完整设计，区别于MIT2015 ARC V0。</t>
  </si>
  <si>
    <t>ARC（MIT 2015概念设计）</t>
  </si>
  <si>
    <t>9.2</t>
  </si>
  <si>
    <t>2015</t>
  </si>
  <si>
    <t>S129</t>
  </si>
  <si>
    <t>AM_ARC2015</t>
  </si>
  <si>
    <t>Vulcan后的概念设计</t>
  </si>
  <si>
    <t>ARIES-ACT1</t>
  </si>
  <si>
    <t>16</t>
  </si>
  <si>
    <t>S155; S181</t>
  </si>
  <si>
    <t>AM_ACT1REACTOR</t>
  </si>
  <si>
    <t>ARIES national team</t>
  </si>
  <si>
    <t>ARIES-ACT2</t>
  </si>
  <si>
    <t>8.75</t>
  </si>
  <si>
    <t>2014</t>
  </si>
  <si>
    <t>S180</t>
  </si>
  <si>
    <t>AM_ARIESACT2</t>
  </si>
  <si>
    <t>ARIES national team / PPPL</t>
  </si>
  <si>
    <t>ARIES-AT（2000设计点）</t>
  </si>
  <si>
    <t>2001-01-04</t>
  </si>
  <si>
    <t>S130</t>
  </si>
  <si>
    <t>AM_ARIESAT2000</t>
  </si>
  <si>
    <t>ARIES-AT（后期基准）</t>
  </si>
  <si>
    <t>2015回顾的AT设计</t>
  </si>
  <si>
    <t>S181</t>
  </si>
  <si>
    <t>AM_ARIESATFINAL</t>
  </si>
  <si>
    <t>不同于2000 strawman版本</t>
  </si>
  <si>
    <t>ARIES-I</t>
  </si>
  <si>
    <t>11.33</t>
  </si>
  <si>
    <t>设计参数（原团队回顾的ARIES-I完整设计点）</t>
  </si>
  <si>
    <t>1991</t>
  </si>
  <si>
    <t>S159; S201</t>
  </si>
  <si>
    <t>AM_ARIESI</t>
  </si>
  <si>
    <t>ARIES-II</t>
  </si>
  <si>
    <t>8.1</t>
  </si>
  <si>
    <t>1990年代设计报告</t>
  </si>
  <si>
    <t>S173</t>
  </si>
  <si>
    <t>AM_ARIESII</t>
  </si>
  <si>
    <t>ARIES-III（1992参考设计）</t>
  </si>
  <si>
    <t>7.5</t>
  </si>
  <si>
    <t>设计参数（1992同一报告完整参数组）</t>
  </si>
  <si>
    <t>1993</t>
  </si>
  <si>
    <t>S160; S174; S190</t>
  </si>
  <si>
    <t>AM_ARIESIII</t>
  </si>
  <si>
    <t>ARIES-IV</t>
  </si>
  <si>
    <t>7.7</t>
  </si>
  <si>
    <t>S174</t>
  </si>
  <si>
    <t>AM_ARIESIV</t>
  </si>
  <si>
    <t>ARIES-I′（1993修订）</t>
  </si>
  <si>
    <t>10.6</t>
  </si>
  <si>
    <t>AM_ARIESIPRIME</t>
  </si>
  <si>
    <t>ARIES-I修订版本</t>
  </si>
  <si>
    <t>ARIES-RS（1997最终设计点）</t>
  </si>
  <si>
    <t>设计参数（1997最终设计组）</t>
  </si>
  <si>
    <t>S132; S204; S205</t>
  </si>
  <si>
    <t>AM_ARIESRS1996</t>
  </si>
  <si>
    <t>ARIES-ST（1998 strawman M）</t>
  </si>
  <si>
    <t>1998-12-17</t>
  </si>
  <si>
    <t>S131</t>
  </si>
  <si>
    <t>AM_ARIESST1998</t>
  </si>
  <si>
    <t>ARIES-ST（2003论文版本）</t>
  </si>
  <si>
    <t>设计参数（同一参考参数表）</t>
  </si>
  <si>
    <t>2003</t>
  </si>
  <si>
    <t>S133</t>
  </si>
  <si>
    <t>AM_ARIESST2003</t>
  </si>
  <si>
    <t>ARIES-ST后续版本</t>
  </si>
  <si>
    <t>ATC</t>
  </si>
  <si>
    <t>0.36–0.90</t>
  </si>
  <si>
    <t>0.11–0.17</t>
  </si>
  <si>
    <t>0.11–0.25</t>
  </si>
  <si>
    <t>1974设计资料</t>
  </si>
  <si>
    <t>S142</t>
  </si>
  <si>
    <t>AM_ATC</t>
  </si>
  <si>
    <t>PPPL</t>
  </si>
  <si>
    <t>BPX</t>
  </si>
  <si>
    <t>1992设计；2020综述回顾</t>
  </si>
  <si>
    <t>S145</t>
  </si>
  <si>
    <t>AM_BPX</t>
  </si>
  <si>
    <t>PPPL national design team</t>
  </si>
  <si>
    <t>CCT</t>
  </si>
  <si>
    <t>2013回顾</t>
  </si>
  <si>
    <t>S161; S167</t>
  </si>
  <si>
    <t>AM_CCT</t>
  </si>
  <si>
    <t>UCLA</t>
  </si>
  <si>
    <t>CDX-U</t>
  </si>
  <si>
    <t>≤1.6</t>
  </si>
  <si>
    <t>&gt;0.2</t>
  </si>
  <si>
    <t>≤0.09</t>
  </si>
  <si>
    <t>装置参数（2004锂限制器实验阶段）</t>
  </si>
  <si>
    <t>历史证据，2026现状未核</t>
  </si>
  <si>
    <t>S002; S203</t>
  </si>
  <si>
    <t>AM_CDXU</t>
  </si>
  <si>
    <t>CDX升级；后续改建为LTX</t>
  </si>
  <si>
    <t>CIT（后期代表设计）</t>
  </si>
  <si>
    <t>2020综述回顾</t>
  </si>
  <si>
    <t>AM_CIT</t>
  </si>
  <si>
    <t>PPPL/MIT/ORNL national team</t>
  </si>
  <si>
    <t>DIII-D</t>
  </si>
  <si>
    <t>≤2.0</t>
  </si>
  <si>
    <t>≤0.8；也能负三角度</t>
  </si>
  <si>
    <t>0.4–2</t>
  </si>
  <si>
    <t>2.17</t>
  </si>
  <si>
    <t>2021能力资料（2026现状未单独核验）</t>
  </si>
  <si>
    <t>S128</t>
  </si>
  <si>
    <t>AM_D3D</t>
  </si>
  <si>
    <t>General Atomics, San Diego</t>
  </si>
  <si>
    <t>Doublet III改建</t>
  </si>
  <si>
    <t>Doublet II</t>
  </si>
  <si>
    <t>0.95</t>
  </si>
  <si>
    <t>AM_DII</t>
  </si>
  <si>
    <t>小半径 a；拉长比 κ；三角度 δ</t>
  </si>
  <si>
    <t>General Atomics</t>
  </si>
  <si>
    <t>Doublet II-A</t>
  </si>
  <si>
    <t>S172</t>
  </si>
  <si>
    <t>AM_DIIA</t>
  </si>
  <si>
    <t>General Atomic, San Diego</t>
  </si>
  <si>
    <t>Doublet II升级</t>
  </si>
  <si>
    <t>Doublet III（doublet工况）</t>
  </si>
  <si>
    <t>S166</t>
  </si>
  <si>
    <t>AM_D3DOUBLET</t>
  </si>
  <si>
    <t>后改建DIII-D</t>
  </si>
  <si>
    <t>Electric Tokamak (ET)</t>
  </si>
  <si>
    <t>2006（2013结项报告追述）</t>
  </si>
  <si>
    <t>S002; S161</t>
  </si>
  <si>
    <t>AM_ET</t>
  </si>
  <si>
    <t>ENCORE / Caltech Tokamak</t>
  </si>
  <si>
    <t>0.35</t>
  </si>
  <si>
    <t>S170</t>
  </si>
  <si>
    <t>AM_ENCORE</t>
  </si>
  <si>
    <t>Caltech</t>
  </si>
  <si>
    <t>FIRE</t>
  </si>
  <si>
    <t>S144</t>
  </si>
  <si>
    <t>AM_FIRE</t>
  </si>
  <si>
    <t>US national design team / PPPL</t>
  </si>
  <si>
    <t>FSX</t>
  </si>
  <si>
    <t>1997-06</t>
  </si>
  <si>
    <t>S148</t>
  </si>
  <si>
    <t>AM_FSX</t>
  </si>
  <si>
    <t>拟由PBX-M改建</t>
  </si>
  <si>
    <t>HBT-EP</t>
  </si>
  <si>
    <t>≤0.03</t>
  </si>
  <si>
    <t>页面未注明日期；访问2026-09-09</t>
  </si>
  <si>
    <t>S125; S002; S194</t>
  </si>
  <si>
    <t>AM_HBTEP</t>
  </si>
  <si>
    <t>Columbia University, New York</t>
  </si>
  <si>
    <t>delta: AM_S75明示limited circular plasma；δ=(Rgeo-Rtop)/a=0，仅名义限制器几何，非逐炮重建。</t>
  </si>
  <si>
    <t>HIT</t>
  </si>
  <si>
    <t>S162</t>
  </si>
  <si>
    <t>AM_HIT</t>
  </si>
  <si>
    <t>University of Washington</t>
  </si>
  <si>
    <t>升级为HIT-II</t>
  </si>
  <si>
    <t>HIT-II</t>
  </si>
  <si>
    <t>S163</t>
  </si>
  <si>
    <t>AM_HITII</t>
  </si>
  <si>
    <t>HIT升级</t>
  </si>
  <si>
    <t>ISX-A</t>
  </si>
  <si>
    <t>文献装置参数表；含几何推算</t>
  </si>
  <si>
    <t>1978</t>
  </si>
  <si>
    <t>S149; S150</t>
  </si>
  <si>
    <t>AM_ISXA</t>
  </si>
  <si>
    <t>ORNL / General Atomics</t>
  </si>
  <si>
    <t>后升级ISX-B</t>
  </si>
  <si>
    <t>kappa: S150 Table1.1 a=b=.26m，κ=b/a=1；名义几何非逐炮重建
delta: S150 Table1.1 明示plasma cross section circular，理想δ=0，非逐炮重建</t>
  </si>
  <si>
    <t>ISX-B</t>
  </si>
  <si>
    <t>1980</t>
  </si>
  <si>
    <t>S150</t>
  </si>
  <si>
    <t>AM_ISXB</t>
  </si>
  <si>
    <t>ORNL</t>
  </si>
  <si>
    <t>ISX-A升级</t>
  </si>
  <si>
    <t>kappa: S150 Table1.1 明示horizontal semiminor a=.27m、vertical semimajor b=.495m；κ=b/a=1.833333，非逐炮重建
delta: S150 Table1.1 明示plasma cross section elliptical；理想椭圆δ=0，非逐炮重建</t>
  </si>
  <si>
    <t>LTX</t>
  </si>
  <si>
    <t>&lt;0.2</t>
  </si>
  <si>
    <t>&lt;0.4</t>
  </si>
  <si>
    <t>设计参数（2010设计目标）</t>
  </si>
  <si>
    <t>升级前2013记录；日期待核</t>
  </si>
  <si>
    <t>S138; S192</t>
  </si>
  <si>
    <t>AM_LTX</t>
  </si>
  <si>
    <t>CDX-U后续；升级为LTX-β</t>
  </si>
  <si>
    <t>LTX-β</t>
  </si>
  <si>
    <t>0.2–0.4</t>
  </si>
  <si>
    <t>0.34</t>
  </si>
  <si>
    <t>S153</t>
  </si>
  <si>
    <t>AM_LTXB</t>
  </si>
  <si>
    <t>LTX升级</t>
  </si>
  <si>
    <t>Macrotor（1980实验版本）</t>
  </si>
  <si>
    <t>0.02–0.10</t>
  </si>
  <si>
    <t>实验装置参数范围（1980原团队论文）</t>
  </si>
  <si>
    <t>S161; S187; S003; S199</t>
  </si>
  <si>
    <t>AM_MACROTOR</t>
  </si>
  <si>
    <t>MANTA</t>
  </si>
  <si>
    <t>S179</t>
  </si>
  <si>
    <t>AM_MANTA</t>
  </si>
  <si>
    <t>MIT / Columbia / MANTA Collaboration</t>
  </si>
  <si>
    <t>MEDUSA</t>
  </si>
  <si>
    <t>&lt;0.14</t>
  </si>
  <si>
    <t>&lt;0.10</t>
  </si>
  <si>
    <t>&lt;0.04</t>
  </si>
  <si>
    <t>0.2-0.45</t>
  </si>
  <si>
    <t>移交哥斯达黎加，年份待核</t>
  </si>
  <si>
    <t>S139</t>
  </si>
  <si>
    <t>AM_MEDUSA</t>
  </si>
  <si>
    <t>University of Wisconsin–Madison</t>
  </si>
  <si>
    <t>迁至哥斯达黎加成为MEDUSA-CR</t>
  </si>
  <si>
    <t>Microtor（1980实验版本）</t>
  </si>
  <si>
    <t>0.02–0.12</t>
  </si>
  <si>
    <t>S161; S199</t>
  </si>
  <si>
    <t>AM_MICROTOR</t>
  </si>
  <si>
    <t>MTX</t>
  </si>
  <si>
    <t>.25–.50</t>
  </si>
  <si>
    <t>1987设计报告</t>
  </si>
  <si>
    <t>S164</t>
  </si>
  <si>
    <t>AM_MTX</t>
  </si>
  <si>
    <t>LLNL</t>
  </si>
  <si>
    <t>由MIT Alcator C迁移改建</t>
  </si>
  <si>
    <t>NSTX</t>
  </si>
  <si>
    <t>1.6–3.0</t>
  </si>
  <si>
    <t>0.3–0.8</t>
  </si>
  <si>
    <t>≤1.5</t>
  </si>
  <si>
    <t>2022目录所述NSTX-U升级（2011停机日期未单独核定）</t>
  </si>
  <si>
    <t>S137; S001</t>
  </si>
  <si>
    <t>AM_NSTX</t>
  </si>
  <si>
    <t>升级为NSTX-U</t>
  </si>
  <si>
    <t>NSTX-U</t>
  </si>
  <si>
    <t>文献汇总值（升级设计额定值）</t>
  </si>
  <si>
    <t>2026-06-08</t>
  </si>
  <si>
    <t>S001; S136; S073</t>
  </si>
  <si>
    <t>AM_NSTXU</t>
  </si>
  <si>
    <t>NSTX升级</t>
  </si>
  <si>
    <t>ORMAK</t>
  </si>
  <si>
    <t>AM_ORMAK</t>
  </si>
  <si>
    <t>PBX</t>
  </si>
  <si>
    <t>2.4</t>
  </si>
  <si>
    <t>S169</t>
  </si>
  <si>
    <t>AM_PBX</t>
  </si>
  <si>
    <t>PDX改建，后升级PBX-M</t>
  </si>
  <si>
    <t>PBX-M（260678号H模放电）</t>
  </si>
  <si>
    <t>实验工况（260678号H模放电）</t>
  </si>
  <si>
    <t>S169; S148</t>
  </si>
  <si>
    <t>AM_PBXM</t>
  </si>
  <si>
    <t>PBX升级</t>
  </si>
  <si>
    <t>PDX</t>
  </si>
  <si>
    <t>装置参数与名义圆形工况；含几何推算</t>
  </si>
  <si>
    <t>S172; S207</t>
  </si>
  <si>
    <t>AM_PDX</t>
  </si>
  <si>
    <t>后改建PBX</t>
  </si>
  <si>
    <t>kappa: S207 明示initial PDX circular plasma；理想κ=b/a=1，非逐炮实测
delta: S207 明示initial PDX circular plasma；理想δ=0，非逐炮实测</t>
  </si>
  <si>
    <t>Pegasus</t>
  </si>
  <si>
    <t>0.17</t>
  </si>
  <si>
    <t>2025（已升级为Pegasus-III）</t>
  </si>
  <si>
    <t>S073; S154</t>
  </si>
  <si>
    <t>AM_PEGASUS</t>
  </si>
  <si>
    <t>后续改建为Pegasus-III</t>
  </si>
  <si>
    <t>Pegasus-III</t>
  </si>
  <si>
    <t>&lt;0.3</t>
  </si>
  <si>
    <t>0.58</t>
  </si>
  <si>
    <t>S154</t>
  </si>
  <si>
    <t>AM_PEGASUSIII</t>
  </si>
  <si>
    <t>Pegasus升级去除中心螺线管</t>
  </si>
  <si>
    <t>Phaedrus-T</t>
  </si>
  <si>
    <t>S175</t>
  </si>
  <si>
    <t>AM_PHAEDRUST</t>
  </si>
  <si>
    <t>PRETEXT</t>
  </si>
  <si>
    <t>实验工况与固定几何；含几何推算</t>
  </si>
  <si>
    <t>1981-05</t>
  </si>
  <si>
    <t>S171</t>
  </si>
  <si>
    <t>AM_PRETEXT</t>
  </si>
  <si>
    <t>University of Texas at Austin</t>
  </si>
  <si>
    <t>后迁韩国重建为KAIST Tokamak</t>
  </si>
  <si>
    <t>kappa: S171 PDFp63 annular limiter radius15cm；理想圆形限制器κ=b/a=1，非逐炮重建
delta: S171 PDFp63 annular limiter radius15cm；理想圆形限制器δ=0，非逐炮重建</t>
  </si>
  <si>
    <t>Princeton Large Torus (PLT)</t>
  </si>
  <si>
    <t>AM_PLT</t>
  </si>
  <si>
    <t>Rector</t>
  </si>
  <si>
    <t>官方设施参数（1980）</t>
  </si>
  <si>
    <t>S161; S200</t>
  </si>
  <si>
    <t>AM_RECTOR</t>
  </si>
  <si>
    <t>MIT</t>
  </si>
  <si>
    <t>SPARC（V2设计）</t>
  </si>
  <si>
    <t>12.2</t>
  </si>
  <si>
    <t>2026-05-14</t>
  </si>
  <si>
    <t>S134; S135; S145</t>
  </si>
  <si>
    <t>AM_SPARC</t>
  </si>
  <si>
    <t>CFS/MIT, Devens Massachusetts</t>
  </si>
  <si>
    <t>STARFIRE（后续工程参考参数）</t>
  </si>
  <si>
    <t>设计参数（1984报告所引STARFIRE参考组）；含几何推算</t>
  </si>
  <si>
    <t>S157; S208</t>
  </si>
  <si>
    <t>AM_STARFIRE</t>
  </si>
  <si>
    <t>Argonne National Laboratory / national team</t>
  </si>
  <si>
    <t>a_m: S208 TableII.C-IA R=7m、A=3.6；a=R/A=1.944444m，换算非实测；表中2.38m为average minor radius不同定义</t>
  </si>
  <si>
    <t>STOR-1M（美国借用阶段）</t>
  </si>
  <si>
    <t>2011改为非托卡马克微波实验</t>
  </si>
  <si>
    <t>S183; S184</t>
  </si>
  <si>
    <t>AM_STOR1MUS</t>
  </si>
  <si>
    <t>Utah State University, Logan</t>
  </si>
  <si>
    <t>加拿大STOR-1M借用；同一硬件迁移阶段不应计为独立装置</t>
  </si>
  <si>
    <t>Symmetric Tokamak (ST)</t>
  </si>
  <si>
    <t>4.4 / 5</t>
  </si>
  <si>
    <t>1974（2026官方历史页）</t>
  </si>
  <si>
    <t>S142; S185</t>
  </si>
  <si>
    <t>AM_ST</t>
  </si>
  <si>
    <t>Texas Turbulent Tokamak (TTT)</t>
  </si>
  <si>
    <t>AM_TTT</t>
  </si>
  <si>
    <t>University of Texas, Austin</t>
  </si>
  <si>
    <t>TEXT-U</t>
  </si>
  <si>
    <t>S167</t>
  </si>
  <si>
    <t>AM_TEXTU</t>
  </si>
  <si>
    <t>TEXT升级；后迁中国成为J-TEXT</t>
  </si>
  <si>
    <t>TFTR（80539号DT放电）</t>
  </si>
  <si>
    <t>4.75</t>
  </si>
  <si>
    <t>实验工况（同一放电同一时刻、磁平衡数据库）</t>
  </si>
  <si>
    <t>1997-04</t>
  </si>
  <si>
    <t>S147; S188; S189</t>
  </si>
  <si>
    <t>AM_TFTR80539</t>
  </si>
  <si>
    <t>TFTR特定工况</t>
  </si>
  <si>
    <t>TFTR（工程参数）</t>
  </si>
  <si>
    <t>S146; S193</t>
  </si>
  <si>
    <t>AM_TFTR</t>
  </si>
  <si>
    <t>delta: AM_S74明确TFTR等离子体截面为圆形；理想模型δ=(Rgeo-Rtop)/a=0，非磁平衡实测。</t>
  </si>
  <si>
    <t>TOKAPOLE II</t>
  </si>
  <si>
    <t>.06–.10</t>
  </si>
  <si>
    <t>S165</t>
  </si>
  <si>
    <t>AM_TOKAPOLEII</t>
  </si>
  <si>
    <t>TPX</t>
  </si>
  <si>
    <t>1995；取消状态待独立证据</t>
  </si>
  <si>
    <t>S143</t>
  </si>
  <si>
    <t>AM_TPX</t>
  </si>
  <si>
    <t>PPPL-led national team</t>
  </si>
  <si>
    <t>Versator II</t>
  </si>
  <si>
    <t>.025–.05</t>
  </si>
  <si>
    <t>原始报告年份待核</t>
  </si>
  <si>
    <t>S158</t>
  </si>
  <si>
    <t>AM_VERSATORII</t>
  </si>
  <si>
    <t>Vulcan</t>
  </si>
  <si>
    <t>7</t>
  </si>
  <si>
    <t>设计参数（同一Vulcan项目参数表）</t>
  </si>
  <si>
    <t>2011</t>
  </si>
  <si>
    <t>S156; S191</t>
  </si>
  <si>
    <t>AM_VULCAN</t>
  </si>
  <si>
    <t>加拿大</t>
  </si>
  <si>
    <t>STOR-1M</t>
  </si>
  <si>
    <t>1986</t>
  </si>
  <si>
    <t>S151</t>
  </si>
  <si>
    <t>AM_STOR1M</t>
  </si>
  <si>
    <t>University of Saskatchewan</t>
  </si>
  <si>
    <t>后有文献称借给Utah State，迁移待核</t>
  </si>
  <si>
    <t>STOR-M</t>
  </si>
  <si>
    <t>0.03–0.06</t>
  </si>
  <si>
    <t>S124; S002; S195</t>
  </si>
  <si>
    <t>AM_STORM</t>
  </si>
  <si>
    <t>delta: S195 Introduction 明示圆形等离子体截面；理想模型δ=(Rgeo-Rtop)/a=0，非逐炮平衡实测。</t>
  </si>
  <si>
    <t>Tokamak de Varennes (TdeV)</t>
  </si>
  <si>
    <t>S152; S124</t>
  </si>
  <si>
    <t>AM_TDEV</t>
  </si>
  <si>
    <t>IREQ / INRS, Varennes</t>
  </si>
  <si>
    <t>墨西哥</t>
  </si>
  <si>
    <t>Novillo</t>
  </si>
  <si>
    <t>0.001–0.012</t>
  </si>
  <si>
    <t>S140; S002; S197</t>
  </si>
  <si>
    <t>AM_NOVILLO</t>
  </si>
  <si>
    <t>ININ, Mexico</t>
  </si>
  <si>
    <t>delta: S197 Results 明示圆形等离子体截面；理想模型δ=(Rgeo-Rtop)/a=0，非逐炮平衡实测。</t>
  </si>
  <si>
    <t>Tokamak T（UANL）</t>
  </si>
  <si>
    <t>S178</t>
  </si>
  <si>
    <t>AM_UANLT</t>
  </si>
  <si>
    <t>Universidad Autónoma de Nuevo León</t>
  </si>
  <si>
    <t>TPM-1</t>
  </si>
  <si>
    <t>2019论文追述</t>
  </si>
  <si>
    <t>S177</t>
  </si>
  <si>
    <t>AM_TPM1</t>
  </si>
  <si>
    <t>ININ设计、IPN组装（历史）</t>
  </si>
  <si>
    <t>旧基础设施拟改建TPM-1U</t>
  </si>
  <si>
    <t>TPM-1U</t>
  </si>
  <si>
    <t>.025–.050</t>
  </si>
  <si>
    <t>0.5-1.0</t>
  </si>
  <si>
    <t>2024论文</t>
  </si>
  <si>
    <t>S176</t>
  </si>
  <si>
    <t>AM_TPM1U</t>
  </si>
  <si>
    <t>CICATA-IPN Querétaro / UNAM合作</t>
  </si>
  <si>
    <t>TPM-1改建</t>
  </si>
  <si>
    <t>巴西</t>
  </si>
  <si>
    <t>ETE（早期设计基准）</t>
  </si>
  <si>
    <t>1.6–1.8</t>
  </si>
  <si>
    <t>0.4</t>
  </si>
  <si>
    <t>设计参数（早期项目基准）；含几何推算</t>
  </si>
  <si>
    <t>2022；2026现状待核</t>
  </si>
  <si>
    <t>S001; S206</t>
  </si>
  <si>
    <t>AM_ETE</t>
  </si>
  <si>
    <t>INPE, São José dos Campos</t>
  </si>
  <si>
    <t>a_m: S206 同一表R=.30m、A=1.5；a=R/A=.20m，换算非实测</t>
  </si>
  <si>
    <t>NOVA-FURG</t>
  </si>
  <si>
    <t>S001; S002; S182</t>
  </si>
  <si>
    <t>AM_NOVA</t>
  </si>
  <si>
    <t>Federal University of Espírito Santo（按IAEA）</t>
  </si>
  <si>
    <t>NOVA系列：UNICAMP→2016捐FURG，2017-10演示；IAEA2022归UFES，迁移日期待核</t>
  </si>
  <si>
    <t>delta: S001 Table7 明示 magnetic field configuration=circular limiter；理想限制器边界δ=0，非逐炮重建</t>
  </si>
  <si>
    <t>TBR-1</t>
  </si>
  <si>
    <t>1995</t>
  </si>
  <si>
    <t>S141</t>
  </si>
  <si>
    <t>AM_TBR1</t>
  </si>
  <si>
    <t>Universidade de São Paulo</t>
  </si>
  <si>
    <t>TCABR</t>
  </si>
  <si>
    <t>1.07</t>
  </si>
  <si>
    <t>S001; S002; S196</t>
  </si>
  <si>
    <t>AM_TCABR</t>
  </si>
  <si>
    <t>瑞士TCA迁移</t>
  </si>
  <si>
    <t>delta: S196 Section II 明示圆形等离子体截面；理想模型δ=(Rgeo-Rtop)/a=0，非逐炮平衡实测。</t>
  </si>
  <si>
    <t>哥斯达黎加</t>
  </si>
  <si>
    <t>MEDUSA-CR</t>
  </si>
  <si>
    <t>项目页面未注明年份</t>
  </si>
  <si>
    <t>AM_MEDUSACR</t>
  </si>
  <si>
    <t>Instituto Tecnológico de Costa Rica, Cartago</t>
  </si>
  <si>
    <t>美国UW-Madison MEDUSA迁至TEC</t>
  </si>
  <si>
    <t>埃及</t>
  </si>
  <si>
    <t>EGYPTOR</t>
  </si>
  <si>
    <t>RW_EGYPTOR</t>
  </si>
  <si>
    <t>NRC, Egyptian Atomic Energy Authority</t>
  </si>
  <si>
    <t>原德国Düsseldorf UNITOR；1995在埃及AEA重建。见IAEA-TECDOC969埃及章节。</t>
  </si>
  <si>
    <t>利比亚</t>
  </si>
  <si>
    <t>LIBTOR</t>
  </si>
  <si>
    <t>RW_LIBTOR</t>
  </si>
  <si>
    <t>Tajoura Nuclear Research Center</t>
  </si>
  <si>
    <t>与TM-4A相关；历史资料对复制/迁移说法不一致，不能直接合并TM-4</t>
  </si>
  <si>
    <t>delta: S003 历史汇编p6该装置行/截面类型列：历史汇编明示名义圆截面；尚缺同版本原始平衡测量；采用理想圆形边界，δ=(Rgeo−Rtop)/a=0。名义几何推算，非逐炮平衡实测。</t>
  </si>
  <si>
    <t>南非</t>
  </si>
  <si>
    <t>Tokoloshe</t>
  </si>
  <si>
    <t>博士论文参考实验工况；含名义截面几何推算</t>
  </si>
  <si>
    <t>S224</t>
  </si>
  <si>
    <t>RW_TOKOLOSHE</t>
  </si>
  <si>
    <t>AEC Pelindaba</t>
  </si>
  <si>
    <t>kappa: S224 p21 §3.1：实际限制器由两个180°半环构成完整极向圆孔，限定名义等离子体截面；采用理想圆形边界，κ=b/a=1。名义几何推算，非逐炮平衡实测。
delta: S224 p21 §3.1：实际限制器由两个180°半环构成完整极向圆孔，限定名义等离子体截面；采用理想圆形边界，δ=(Rgeo−Rtop)/a=0。名义几何推算，非逐炮平衡实测。</t>
  </si>
  <si>
    <t>澳大利亚</t>
  </si>
  <si>
    <t>Flinders Tokamak</t>
  </si>
  <si>
    <t>0.024</t>
  </si>
  <si>
    <t>RW_FLINDERS</t>
  </si>
  <si>
    <t>Flinders University, Adelaide</t>
  </si>
  <si>
    <t>LT-3</t>
  </si>
  <si>
    <t>1975实验工况；含名义截面几何推算</t>
  </si>
  <si>
    <t>S225; S003</t>
  </si>
  <si>
    <t>RW_LT3</t>
  </si>
  <si>
    <t>Australian National University</t>
  </si>
  <si>
    <t>kappa: S003 历史汇编p6该装置行/截面类型列：历史汇编明示名义圆截面；尚缺同版本原始平衡测量；采用理想圆形边界，κ=b/a=1。名义几何推算，非逐炮平衡实测。
delta: S003 历史汇编p6该装置行/截面类型列：历史汇编明示名义圆截面；尚缺同版本原始平衡测量；采用理想圆形边界，δ=(Rgeo−Rtop)/a=0。名义几何推算，非逐炮平衡实测。</t>
  </si>
  <si>
    <t>LT-4</t>
  </si>
  <si>
    <t>RW_LT4</t>
  </si>
  <si>
    <t>TORTUS</t>
  </si>
  <si>
    <t>1987实验工况；含名义截面几何推算</t>
  </si>
  <si>
    <t>1987</t>
  </si>
  <si>
    <t>S226; S003</t>
  </si>
  <si>
    <t>RW_TORTUS</t>
  </si>
  <si>
    <t>University of Sydney</t>
  </si>
  <si>
    <t>参数证据 · 每个值均可定位</t>
  </si>
  <si>
    <t>每条装置记录展开为六个参数行（环向场 B_t 为 2026-09-14 第二轮新增）。保留限定符、证据层级、来源URL及定义注释；缺失值为空。</t>
  </si>
  <si>
    <t>参数</t>
  </si>
  <si>
    <t>采用值（含推算）</t>
  </si>
  <si>
    <t>单位</t>
  </si>
  <si>
    <t>值的来源性质</t>
  </si>
  <si>
    <t>字段来源／位置</t>
  </si>
  <si>
    <t>来源URL</t>
  </si>
  <si>
    <t>参数注释</t>
  </si>
  <si>
    <t>大半径 R</t>
  </si>
  <si>
    <t>m</t>
  </si>
  <si>
    <t>文献直接报告</t>
  </si>
  <si>
    <t>S015 Table 2</t>
  </si>
  <si>
    <t>https://www.preprints.org/manuscript/202606.0246</t>
  </si>
  <si>
    <t>所列κ95、δ95为Q≈5建模工况；源为2026预印本。</t>
  </si>
  <si>
    <t>无量纲</t>
  </si>
  <si>
    <t>MA</t>
  </si>
  <si>
    <t>环向场 B_t</t>
  </si>
  <si>
    <t>T</t>
  </si>
  <si>
    <t>装置Bt汇总.csv (2026-09-14 轮A/B 复核)</t>
  </si>
  <si>
    <t>口径: 设计值; 另一来源(indico.triumf.ca 405/4529)写 "toroidal field &lt;6.1 T"〔IAEA FEC contribution 35557 — BEST (中国, R=3.6 m)〕</t>
  </si>
  <si>
    <t>S061 Appendix A Table 2，LLNL-JRNL-829024</t>
  </si>
  <si>
    <t>https://www.osti.gov/servlets/purl/1883015</t>
  </si>
  <si>
    <t>整组采用2021 CFETR 1GW混合运行情景的Appendix A Table2，a=2.0与原2022汇总a2.2有实质版本差异，原值保存previous_parameters；不混拼。κ/δ该表未标95%磁面。</t>
  </si>
  <si>
    <t>设计值(等离子体中心)〔blanketfirst-wall-challenges-and-required-rampd-on-the-pathway〕</t>
  </si>
  <si>
    <t>缺失</t>
  </si>
  <si>
    <t>名录/历史沿革证据已找到；尚未取得原始版本参数。</t>
  </si>
  <si>
    <t>原文 "2TL" 为网页 OCR/排版讹误，应为 2 T。此为 CT-6 原型（中科院物理所，R=0.45 m, a=0.092 m），勿与 CT-6B (0.75 T) 混用。〔物理学报 (Acta Physica Sinica) 29, 577 (1980) — CT-6 装置报告〕</t>
  </si>
  <si>
    <t>S002 Table 1 pp.S247–S248</t>
  </si>
  <si>
    <t>https://golem.fjfi.cvut.cz/wiki/Library/others/GryaznevichM_Joint_Research_05.pdf</t>
  </si>
  <si>
    <t>参数为2005综述历史快照；未声明各最优指标同时实现。 综述中斜体为暂定信息，尚未逐字段核对字体标记。 第二轮形状值依据历史汇编明确的圆形限制器配置推算；不能将κ/δ视作本行电流下的实测平衡，多源额定/汇总值不保证同时实现。</t>
  </si>
  <si>
    <t>几何推算</t>
  </si>
  <si>
    <t>S003 CT-6B条目：Circular Limiter/Divertor，理想边界几何推算</t>
  </si>
  <si>
    <t>https://golem.fjfi.cvut.cz/wiki/History/table-of-tokamaks.pdf</t>
  </si>
  <si>
    <t>【几何推算】AS_S03已读取历史汇编将本装置明确归为圆形限制器/偏滤器配置；采用圆形等离子体理想边界：δ=0。是名义几何推算，不是逐炮平衡实测；原始装置论文尚待独立复核。
参数为2005综述历史快照；未声明各最优指标同时实现。 综述中斜体为暂定信息，尚未逐字段核对字体标记。 第二轮形状值依据历史汇编明确的圆形限制器配置推算；不能将κ/δ视作本行电流下的实测平衡，多源额定/汇总值不保证同时实现。</t>
  </si>
  <si>
    <t>表格 TF〔S002 Gryaznevich 2005 ST综述 表格; S003 Balshaw 2012 表格〕</t>
  </si>
  <si>
    <t>S004 The EAST tokamak</t>
  </si>
  <si>
    <t>https://www.nature.com/articles/srep32440</t>
  </si>
  <si>
    <t>2016装置能力参数，形状范围不能保证与1 MA同时实现。IAEA2022及早期设计给R=1.7,a=0.4；保留版本差异。</t>
  </si>
  <si>
    <t>设计/标称 Bo | CSV 并录值: 2.0 / 2.2 / 2.5 / 3.5 / ≤3.5〔S001 IAEA World Survey 2022 表格; Wesson2011_Tokamak_edition4〕</t>
  </si>
  <si>
    <t>S066 p.7 Table2 V43</t>
  </si>
  <si>
    <t>https://pubs-en.cstam.org.cn/data/article/pst/preview/pdf/PST-2024-0305.pdf</t>
  </si>
  <si>
    <t>五项均同原文Table2 V43直接数字：R是等离子体LCFS几何大半径RLCFS=1.09m，不是磁轴Rmag=1.24m；κδ为该边界形状。上一版官方总体R1.05m、Ip3MA保存在previous_parameters；本轮中途按A1.85换算的小半径已被原表直接数字取代。</t>
  </si>
  <si>
    <t>文中语句〔S066〕</t>
  </si>
  <si>
    <t>S038 p.1 Design Parameter Goals</t>
  </si>
  <si>
    <t>https://www.aappsdpp.org/DPP2021/MF-1/5539.pdf</t>
  </si>
  <si>
    <t>2021 AAPPS设计目标同表；2020设计报告R=.58,a=.41为另一版本，未混用。目标电流0.5 MA不代表实验已实现。</t>
  </si>
  <si>
    <t>设计/标称 Bo〔S001 IAEA World Survey 2022 表格〕</t>
  </si>
  <si>
    <t>S013 Table 3</t>
  </si>
  <si>
    <t>https://doi.org/10.1088/1741-4326/adf239</t>
  </si>
  <si>
    <t>原表未给小半径，不由宽高比反算；2025实验达到1 MA与本设计组区别。2026诊断文献把工程Ip上界列1.5 MA，版本未合并。</t>
  </si>
  <si>
    <t>设计/指标口径：磁轴 B_T0 = 0.6–0.8 T（早期参数表 R0=0.9 m, a=0.45 m；后期官方口径为大半径 0.6–0.8 m、环径比 1.4–1.8，两表不一致，引用需注明）。 | CSV 并录值: 1.2 / 0.6-0.8〔物理学报 72, 20230749 (2023) — EXL-50U 参数表(表1)〕</t>
  </si>
  <si>
    <t>S047 p.3 Table 1</t>
  </si>
  <si>
    <t>https://www-pub.iaea.org/MTCD/Publications/PDF/P_1356_CD_web/Papers/Liu%20Paper%20NE-O-11.pdf</t>
  </si>
  <si>
    <t>高温制氢堆概念。本组采用原始FDS-III Table1；其他年度幻灯片存在κ=1.7、δ=.47等设计变体，不能混用。原PDF所见页未明示出版年，状态证据年份来自早期概念报告。</t>
  </si>
  <si>
    <t>多轮检索无值</t>
  </si>
  <si>
    <t>〔2026-09-14 终判: 一手源即无值, 详见 Bt补采轮B 报告〕</t>
  </si>
  <si>
    <t>S030 slide 20</t>
  </si>
  <si>
    <t>https://www-pub.iaea.org/mtcd/publications/pdf/p1250-cd/presentations/ppca1-iii_pres.pdf</t>
  </si>
  <si>
    <t>2005版设计；不与后来文献κ=1.8混用。</t>
  </si>
  <si>
    <t>口径: 设计值(轴上, R0=6); 同 Table 1 行重绑; 二手 FED 81 (2006) 表有 5.6 变体已记冲突〔Y. Wu (FDS Team, ASIPP), IAEA FDS Series Conceptual Design Activities〕</t>
  </si>
  <si>
    <t>托卡马克驱动聚变裂变混合堆；混合指核反应系统而非磁约束配置。</t>
  </si>
  <si>
    <t>口径: 设计值(轴上, R0=4); IAEA FDS 系列综述 Table 1 数值行按 R0 指纹重绑列〔Y. Wu (FDS Team, ASIPP), IAEA FDS Series Conceptual Design Activities〕</t>
  </si>
  <si>
    <t>球形托卡马克中子源/混合堆概念。</t>
  </si>
  <si>
    <t>口径: 设计值(轴上, 球形环 R0=1.4); 同 Table 1 行重绑〔Y. Wu (FDS Team, ASIPP), IAEA FDS Series Conceptual Design Activities〕</t>
  </si>
  <si>
    <t>S003 FY-1 row</t>
  </si>
  <si>
    <t>历史汇编原表的近似最优参数，不保证同时实现；原始装置论文尚未核对。汇编运行期：1981–1988。Ip列按原表定义为最大等离子体电流。 汇编备注还给垂直半尺寸b=.25m；主列a=.10m为水平小半径，未用b替换或反算κ。</t>
  </si>
  <si>
    <t>S003 FY-1条目，plasma a=10cm b=25cm，κ=b/a推算</t>
  </si>
  <si>
    <t>【几何推算】S003 FY-1明确非圆等离子体a=10 cm、b=25 cm；κ=b/a=25/10=2.5，几何换算，非逐炮实测；δ不由非圆推定。
历史汇编原表的近似最优参数，不保证同时实现；原始装置论文尚未核对。汇编运行期：1981–1988。Ip列按原表定义为最大等离子体电流。 汇编备注还给垂直半尺寸b=.25m；主列a=.10m为水平小半径，未用b替换或反算κ。</t>
  </si>
  <si>
    <t>表格 TF〔S003 Balshaw 2012 表格〕</t>
  </si>
  <si>
    <t>S034 HH170 section</t>
  </si>
  <si>
    <t>https://energysingularity.cn/en/devices.html</t>
  </si>
  <si>
    <t>官网大半径150cm；名称170不能用来推断1.7m。</t>
  </si>
  <si>
    <t>21.7 T 是单个经天 HTS 磁体（验证件）的峰值场，不是整机轴上环向场 B0；公司口径称"洪荒170的磁场强度将是SPARC的110%"（SPARC 12.2 T → 推断 B0≈13.4 T，低置信派生值）。洪荒170 尚在建造，无实测 B0；勿与 HH70 数值混用。〔能量奇点 (Energy Singularity) 官网博客 — 经天(Jingtian)磁体 21.7 T 纪录〕</t>
  </si>
  <si>
    <t>S014 Abstract</t>
  </si>
  <si>
    <t>https://www.sciencedirect.com/science/article/pii/S2772830724000541</t>
  </si>
  <si>
    <t>2024设计建造论文；未从名称70推断半径。</t>
  </si>
  <si>
    <t>设计值：B0 = 0.6 T @ R0 = 0.7 m（REBCO 全高温超导托卡马克，能量奇点，2024-06 首等离子体）；TF 线圈最高场设计 2.5 T。 | CSV 并录值: 0.6 / 1.02〔"Design, commissioning, and first operation of the high-temperature superconducting tokamak HH70", Fusion Eng. Des. (2025)〕</t>
  </si>
  <si>
    <t>S003 HL-1 row</t>
  </si>
  <si>
    <t>历史汇编原表的近似最优参数，不保证同时实现；原始装置论文尚未核对。汇编运行期：1984–1992。Ip列按原表定义为最大等离子体电流。 第二轮形状值依据历史汇编明确的圆形限制器配置推算；不能将κ/δ视作本行电流下的实测平衡，多源额定/汇总值不保证同时实现。</t>
  </si>
  <si>
    <t>S003 HL-1条目：Circular Limiter/Divertor，理想边界几何推算</t>
  </si>
  <si>
    <t>【几何推算】AS_S03已读取历史汇编将本装置明确归为圆形限制器/偏滤器配置；采用圆形等离子体理想边界：κ=b/a=1。是名义几何推算，不是逐炮平衡实测；原始装置论文尚待独立复核。
历史汇编原表的近似最优参数，不保证同时实现；原始装置论文尚未核对。汇编运行期：1984–1992。Ip列按原表定义为最大等离子体电流。 第二轮形状值依据历史汇编明确的圆形限制器配置推算；不能将κ/δ视作本行电流下的实测平衡，多源额定/汇总值不保证同时实现。</t>
  </si>
  <si>
    <t>【几何推算】AS_S03已读取历史汇编将本装置明确归为圆形限制器/偏滤器配置；采用圆形等离子体理想边界：δ=0。是名义几何推算，不是逐炮平衡实测；原始装置论文尚待独立复核。
历史汇编原表的近似最优参数，不保证同时实现；原始装置论文尚未核对。汇编运行期：1984–1992。Ip列按原表定义为最大等离子体电流。 第二轮形状值依据历史汇编明确的圆形限制器配置推算；不能将κ/δ视作本行电流下的实测平衡，多源额定/汇总值不保证同时实现。</t>
  </si>
  <si>
    <t>参数为2005综述历史快照；未声明各最优指标同时实现。 综述中斜体为暂定信息，尚未逐字段核对字体标记。 第二轮形状由原文明确等离子体截面描述推算，不保证与汇总电流为同一次放电。</t>
  </si>
  <si>
    <t>S060 p.87 Abstract and §1（理想几何推算）</t>
  </si>
  <si>
    <t>https://www-pub.iaea.org/MTCD/Publications/PDF/te_969_prn.pdf</t>
  </si>
  <si>
    <t>【几何推算】S060 原文明示圆形等离子体截面；按理想圆边界delta=0推算，非逐炮平衡实测。
参数为2005综述历史快照；未声明各最优指标同时实现。 综述中斜体为暂定信息，尚未逐字段核对字体标记。 第二轮形状由原文明确等离子体截面描述推算，不保证与汇总电流为同一次放电。</t>
  </si>
  <si>
    <t>S050 p.1898 Table 1 Fig.1(a)列</t>
  </si>
  <si>
    <t>https://www.researchgate.net/publication/238512094_Sustained_reversed_magnetic_shear_mode_of_operation_in_the_HL2A_tokamak</t>
  </si>
  <si>
    <t>原始论文作者全文可读镜像。采用同表基准列；κX=1.0、δX=0.0为分离面形状直接列值，并非本次推算。另一移位配置R1.75,a.38,κ1.1,δ.44与第三配置R1.67,a.32,κ1.3,δ.5不混用。</t>
  </si>
  <si>
    <t>设计/标称 Bo | CSV 并录值: 2.8 / 1.2–1.4〔CHEN2010_thesis; S001 IAEA World Survey 2022 表格; S002 Gryaznevich 2005 ST综述 表格; S003 Balshaw 2012 表格〕</t>
  </si>
  <si>
    <t>S046 p.1 Table 1</t>
  </si>
  <si>
    <t>https://info.fusion.ciemat.es/OCS/epsicpp2012pap/pdf/P2.030.pdf</t>
  </si>
  <si>
    <t>3 MA为目录额定能力，不能当已实现电流。 第二轮：为取得完整同组证据，主行采用2012设计版κLCFS、δLCFS；原2022目录3MA是后续设计能力，保留于备注。原文正文a=.68与表a=.65冲突，本行严格采用表。</t>
  </si>
  <si>
    <t>S003 HT-6B row</t>
  </si>
  <si>
    <t>历史汇编原表的近似最优参数，不保证同时实现；原始装置论文尚未核对。汇编运行期：1983–1992。Ip列按原表定义为最大等离子体电流。 第二轮形状值依据历史汇编明确的圆形限制器配置推算；不能将κ/δ视作本行电流下的实测平衡，多源额定/汇总值不保证同时实现。</t>
  </si>
  <si>
    <t>S003 HT-6B条目：Circular Limiter/Divertor，理想边界几何推算</t>
  </si>
  <si>
    <t>【几何推算】AS_S03已读取历史汇编将本装置明确归为圆形限制器/偏滤器配置；采用圆形等离子体理想边界：κ=b/a=1。是名义几何推算，不是逐炮平衡实测；原始装置论文尚待独立复核。
历史汇编原表的近似最优参数，不保证同时实现；原始装置论文尚未核对。汇编运行期：1983–1992。Ip列按原表定义为最大等离子体电流。 第二轮形状值依据历史汇编明确的圆形限制器配置推算；不能将κ/δ视作本行电流下的实测平衡，多源额定/汇总值不保证同时实现。</t>
  </si>
  <si>
    <t>【几何推算】AS_S03已读取历史汇编将本装置明确归为圆形限制器/偏滤器配置；采用圆形等离子体理想边界：δ=0。是名义几何推算，不是逐炮平衡实测；原始装置论文尚待独立复核。
历史汇编原表的近似最优参数，不保证同时实现；原始装置论文尚未核对。汇编运行期：1983–1992。Ip列按原表定义为最大等离子体电流。 第二轮形状值依据历史汇编明确的圆形限制器配置推算；不能将κ/δ视作本行电流下的实测平衡，多源额定/汇总值不保证同时实现。</t>
  </si>
  <si>
    <t>表格 TF〔S003 Balshaw 2012 表格; Wesson2011_Tokamak_edition4〕</t>
  </si>
  <si>
    <t>S003 HT-6M条目：Circular Limiter/Divertor，理想边界几何推算</t>
  </si>
  <si>
    <t>表格 TF〔S002 Gryaznevich 2005 ST综述 表格; S003 Balshaw 2012 表格; Wesson2011_Tokamak_edition4〕</t>
  </si>
  <si>
    <t>参数为2005综述历史快照；未声明各最优指标同时实现。 原表400/350 kA与其斜杠口径不寻常，主列采用斜杠前报告值0.4 MA，0.35 MA另记而未作范围。 综述中斜体为暂定信息，尚未逐字段核对字体标记。 第二轮形状值依据历史汇编明确的圆形限制器配置推算；不能将κ/δ视作本行电流下的实测平衡，多源额定/汇总值不保证同时实现。</t>
  </si>
  <si>
    <t>S003 HT-7条目：Circular Limiter/Divertor，理想边界几何推算</t>
  </si>
  <si>
    <t>【几何推算】AS_S03已读取历史汇编将本装置明确归为圆形限制器/偏滤器配置；采用圆形等离子体理想边界：δ=0。是名义几何推算，不是逐炮平衡实测；原始装置论文尚待独立复核。
参数为2005综述历史快照；未声明各最优指标同时实现。 原表400/350 kA与其斜杠口径不寻常，主列采用斜杠前报告值0.4 MA，0.35 MA另记而未作范围。 综述中斜体为暂定信息，尚未逐字段核对字体标记。 第二轮形状值依据历史汇编明确的圆形限制器配置推算；不能将κ/δ视作本行电流下的实测平衡，多源额定/汇总值不保证同时实现。</t>
  </si>
  <si>
    <t>表格 TF | CSV 并录值: 3 / 3.0 / 3/2.5〔S003 Balshaw 2012 表格〕</t>
  </si>
  <si>
    <t>S001 p.27 Table 15</t>
  </si>
  <si>
    <t>https://www-pub.iaea.org/MTCD/Publications/PDF/CRCP-FUS-001webRev.pdf</t>
  </si>
  <si>
    <t>2007首次等离子体；2022列运行。</t>
  </si>
  <si>
    <t>设计/标称 Bo | CSV 并录值: 2 / 3 / ≈2.0〔S001 IAEA World Survey 2022 表格〕</t>
  </si>
  <si>
    <t>S062 p.71；原《核聚变与等离子体物理》7(1),27–30,1987</t>
  </si>
  <si>
    <t>https://www.scribd.com/document/847409520/Jprs-Report-Jprs-Cst-88-003</t>
  </si>
  <si>
    <t>原论文作者Wen Yizhi等英文摘要由JPRS政府翻译报告转载，已阅读报告全文相应段落；等离子体R30cm,a4.5cm,Ip&gt;5kA。κδ未报。不是KT-5C后续版本。</t>
  </si>
  <si>
    <t>首轮实验实现值(1987); R=0.30/a=0.045 同句自洽〔OpenAlex PRELIMINARY MEASUREMENTS ON TOKAMAK KT-5〕</t>
  </si>
  <si>
    <t>S003 KT-5C条目：Circular Limiter/Divertor，理想边界几何推算</t>
  </si>
  <si>
    <t>S017 §2 pp.1–2</t>
  </si>
  <si>
    <t>https://conferences.iaea.org/event/392/papers/35885/files/13814-3334%2C%20NTST%5EJ%20A%20NEGATIVE%20TRIANGULARITY%20SPHERICAL%20TOKAMAK%20Manuscript.pdf</t>
  </si>
  <si>
    <t>采用总体设计额定参数。Fig.2另有R=.77,a=.4,κ=2.1,Ip=1 MA示例；未混入。文章自身总体κmax=2.0与示例2.1存在口径差异。</t>
  </si>
  <si>
    <t>口径: 设计值(轴上 B_T0); Startorus Fusion(新奥)负三角形度球形托卡马克; IAEA 稿转述 R0=0.87 与调研行指纹一致〔startorus.com/planning; G. Wang et al., NTST IAEA FEC 2025〕</t>
  </si>
  <si>
    <t>S002 Table 1 p.S247</t>
  </si>
  <si>
    <t>采用2005同表参数。IAEA2022给a=0.23且Ip=0.05–1 MA，后者可疑，不采用。 综述中斜体为暂定信息，尚未逐字段核对字体标记。</t>
  </si>
  <si>
    <t>设计/标称 Bo | CSV 并录值: 0.15 / 0.08/0.15〔S001 IAEA World Survey 2022 表格〕</t>
  </si>
  <si>
    <t>S044 p.1 §2</t>
  </si>
  <si>
    <t>https://conferences.iaea.org/event/392/contributions/35631/attachments/19705/33753/SUNIST-2.pdf</t>
  </si>
  <si>
    <t>2025工程论文尺寸和设计电流；不把目标0.5 MA作为首轮实验达到值。 官方2023报道首次等离子体0.1 MA；2026即时状态未核实。 第二轮：原始2025概述给名义500kA、最大κ2与δ±.6；摘要另报实验480kA。R/a按此版取两位小数，替代旧0.525/0.325，非几何改变推断。</t>
  </si>
  <si>
    <t>运行实现值：磁轴处环向场 0.72 T。勿与 SUNIST-1 混用。 | CSV 并录值: 1.0 / 0.72〔星环聚能 (Startorus) — SUNIST-2 运行进展公告〕</t>
  </si>
  <si>
    <t>S019 Abstract</t>
  </si>
  <si>
    <t>https://meetings-archive.aps.org/dpp/2025/bp13/123/</t>
  </si>
  <si>
    <t>固定边界与自由边界平衡设计；不由β/βN反算Ip。</t>
  </si>
  <si>
    <t>FIRST(Formosa Integrated Research Spherical Tokamak, 台湾)2025 设计点 B=0.8T; 此前推荐 0.1-0.5T 为早期设计/运行范围(NCKU CAPST)——两口径并存, 推荐取最新设计点; 同摘要 R/a/κ/δ 与 xlsx 逐项一致; 摘要未给 Ip(缺失字段维持) | CSV 并录值: 0.8 / 0.1-0.5〔APS DPP 存档 · 2025/bp13/123 (FIRST 形态平衡与稳定性摘要, S019)〕</t>
  </si>
  <si>
    <t>S037 p.336 Table 3</t>
  </si>
  <si>
    <t>https://www.tandfonline.com/doi/pdf/10.1080/00223131.2013.773166</t>
  </si>
  <si>
    <t>2013综述收录的历史概念参数；尚未独立核对最初设计报告。</t>
  </si>
  <si>
    <t>口径: 设计值(等离子体轴上环向场 11 T); 同文明确峰值 23 T 为 TF 线圈处最大场 | CSV 并录值: 11 / 23〔IAEA TCM paper ftp2_14 — A-SSTR2 operating parameters (Rp=6.2m, ap=1.5m, Ip=12MA)〕</t>
  </si>
  <si>
    <t>S056 p.1047 §3-1</t>
  </si>
  <si>
    <t>https://www.jspf.or.jp/JPFRS/PDF/Vol8/jpfrs2009_08-1044.pdf</t>
  </si>
  <si>
    <t>第二轮原始论文明确等离子体大半径约2cm；未将线圈半径10cm当R。论文未报环向托卡马克电流，混合概念的辉光磁面验证装置。</t>
  </si>
  <si>
    <t>口径: 运行/装置场(等离子体中心 B~0.1 kG, Rp~2cm=调研行 R约0.02 指纹); 名古屋大学; 后继 TOKASTAR-2 0.1T 为另一装置〔K. Yamazaki et al., Plasma and Fusion Research SERIES Vol.8 (2009) 1044〕</t>
  </si>
  <si>
    <t>S029 p.S1095-2 §3</t>
  </si>
  <si>
    <t>https://www.jspf.or.jp/PFR/PDF/pfr2007_02-S1095.pdf</t>
  </si>
  <si>
    <t>150 kA为论文列出的装置主要参数，论文后文是形状重建数值研究，不据此声称已达到。</t>
  </si>
  <si>
    <t>文中语句〔S029〕</t>
  </si>
  <si>
    <t>S049 slide 7</t>
  </si>
  <si>
    <t>https://www.aec.go.jp/kaigi/senmon/kihonmondai/siryo17/1_haifu.pdf</t>
  </si>
  <si>
    <t>2013综述收录的历史概念参数；尚未独立核对最初设计报告。 第二轮：采用2004官方设计报告同组参数；κ/δ原表未标95%磁面。原a=1.6 m为综述舍入值，改成可追溯R/A几何计算。</t>
  </si>
  <si>
    <t>S049 slide 7（几何推算）</t>
  </si>
  <si>
    <t>【几何推算】S049 slide 7：R=5.4 m，A=3.4；a=R/A=1.5882352941 m，几何换算，非实测。
2013综述收录的历史概念参数；尚未独立核对最初设计报告。 第二轮：采用2004官方设计报告同组参数；κ/δ原表未标95%磁面。原a=1.6 m为综述舍入值，改成可追溯R/A几何计算。</t>
  </si>
  <si>
    <t>口径: 设计值(轴上); IPB Table 4-II 行(R0=5.2/a=1.38/Ip=9.8 迭代); 调研行 R=5.4 为另一迭代, 同设计系值并注〔ITER Physics Basis Table 4-II; K. Tobita et al. JAERI CREST〕</t>
  </si>
  <si>
    <t>S003 CSTN-AC row</t>
  </si>
  <si>
    <t>历史汇编原表的近似最优参数，不保证同时实现；原始装置论文尚未核对。汇编运行期：1996–1998。Ip列按原表定义为最大等离子体电流。 第二轮形状值依据历史汇编明确的圆形限制器配置推算；不能将κ/δ视作本行电流下的实测平衡，多源额定/汇总值不保证同时实现。</t>
  </si>
  <si>
    <t>S003 CSTN-AC条目：Circular Limiter/Divertor，理想边界几何推算</t>
  </si>
  <si>
    <t>【几何推算】AS_S03已读取历史汇编将本装置明确归为圆形限制器/偏滤器配置；采用圆形等离子体理想边界：κ=b/a=1。是名义几何推算，不是逐炮平衡实测；原始装置论文尚待独立复核。
历史汇编原表的近似最优参数，不保证同时实现；原始装置论文尚未核对。汇编运行期：1996–1998。Ip列按原表定义为最大等离子体电流。 第二轮形状值依据历史汇编明确的圆形限制器配置推算；不能将κ/δ视作本行电流下的实测平衡，多源额定/汇总值不保证同时实现。</t>
  </si>
  <si>
    <t>【几何推算】AS_S03已读取历史汇编将本装置明确归为圆形限制器/偏滤器配置；采用圆形等离子体理想边界：δ=0。是名义几何推算，不是逐炮平衡实测；原始装置论文尚待独立复核。
历史汇编原表的近似最优参数，不保证同时实现；原始装置论文尚未核对。汇编运行期：1996–1998。Ip列按原表定义为最大等离子体电流。 第二轮形状值依据历史汇编明确的圆形限制器配置推算；不能将κ/δ视作本行电流下的实测平衡，多源额定/汇总值不保证同时实现。</t>
  </si>
  <si>
    <t>Balshaw 表列：R=0.40 m, a=0.10 m, TF=0.12 T, Ip≈1 kA；60 Hz 双极性 AC 运行。CSTN 系列为日本名古屋大学装置（Current Sustaining Torus of Nagoya），非巴西装置。〔N.N. Balshaw, "Table of Tokamaks" (April 2012)〕</t>
  </si>
  <si>
    <t>S003 CSTN-I row</t>
  </si>
  <si>
    <t>历史汇编原表的近似最优参数，不保证同时实现；原始装置论文尚未核对。汇编运行期：1981–1982。Ip列按原表定义为最大等离子体电流。 第二轮形状值依据历史汇编明确的圆形限制器配置推算；不能将κ/δ视作本行电流下的实测平衡，多源额定/汇总值不保证同时实现。</t>
  </si>
  <si>
    <t>S003 CSTN-I条目：Circular Limiter/Divertor，理想边界几何推算</t>
  </si>
  <si>
    <t>【几何推算】AS_S03已读取历史汇编将本装置明确归为圆形限制器/偏滤器配置；采用圆形等离子体理想边界：κ=b/a=1。是名义几何推算，不是逐炮平衡实测；原始装置论文尚待独立复核。
历史汇编原表的近似最优参数，不保证同时实现；原始装置论文尚未核对。汇编运行期：1981–1982。Ip列按原表定义为最大等离子体电流。 第二轮形状值依据历史汇编明确的圆形限制器配置推算；不能将κ/δ视作本行电流下的实测平衡，多源额定/汇总值不保证同时实现。</t>
  </si>
  <si>
    <t>【几何推算】AS_S03已读取历史汇编将本装置明确归为圆形限制器/偏滤器配置；采用圆形等离子体理想边界：δ=0。是名义几何推算，不是逐炮平衡实测；原始装置论文尚待独立复核。
历史汇编原表的近似最优参数，不保证同时实现；原始装置论文尚未核对。汇编运行期：1981–1982。Ip列按原表定义为最大等离子体电流。 第二轮形状值依据历史汇编明确的圆形限制器配置推算；不能将κ/δ视作本行电流下的实测平衡，多源额定/汇总值不保证同时实现。</t>
  </si>
  <si>
    <t>列序：R=0.30 m, a=0.04 m, TF=0.2 T, Ip≈0.035 MA(289MHz 加热)；1981–1982 运行。〔N.N. Balshaw, "Table of Tokamaks" (April 2012)〕</t>
  </si>
  <si>
    <t>S003 CSTN-II row</t>
  </si>
  <si>
    <t>历史汇编原表的近似最优参数，不保证同时实现；原始装置论文尚未核对。汇编运行期：1982–1986。Ip列按原表定义为最大等离子体电流。 第二轮形状值依据历史汇编明确的圆形限制器配置推算；不能将κ/δ视作本行电流下的实测平衡，多源额定/汇总值不保证同时实现。</t>
  </si>
  <si>
    <t>S003 CSTN-II条目：Circular Limiter/Divertor，理想边界几何推算</t>
  </si>
  <si>
    <t>【几何推算】AS_S03已读取历史汇编将本装置明确归为圆形限制器/偏滤器配置；采用圆形等离子体理想边界：κ=b/a=1。是名义几何推算，不是逐炮平衡实测；原始装置论文尚待独立复核。
历史汇编原表的近似最优参数，不保证同时实现；原始装置论文尚未核对。汇编运行期：1982–1986。Ip列按原表定义为最大等离子体电流。 第二轮形状值依据历史汇编明确的圆形限制器配置推算；不能将κ/δ视作本行电流下的实测平衡，多源额定/汇总值不保证同时实现。</t>
  </si>
  <si>
    <t>【几何推算】AS_S03已读取历史汇编将本装置明确归为圆形限制器/偏滤器配置；采用圆形等离子体理想边界：δ=0。是名义几何推算，不是逐炮平衡实测；原始装置论文尚待独立复核。
历史汇编原表的近似最优参数，不保证同时实现；原始装置论文尚未核对。汇编运行期：1982–1986。Ip列按原表定义为最大等离子体电流。 第二轮形状值依据历史汇编明确的圆形限制器配置推算；不能将κ/δ视作本行电流下的实测平衡，多源额定/汇总值不保证同时实现。</t>
  </si>
  <si>
    <t>S003 CSTN-III row</t>
  </si>
  <si>
    <t>历史汇编原表的近似最优参数，不保证同时实现；原始装置论文尚未核对。汇编运行期：1987–1995。Ip列按原表定义为最大等离子体电流。 第二轮形状值依据历史汇编明确的圆形限制器配置推算；不能将κ/δ视作本行电流下的实测平衡，多源额定/汇总值不保证同时实现。</t>
  </si>
  <si>
    <t>S003 CSTN-III条目：Circular Limiter/Divertor，理想边界几何推算</t>
  </si>
  <si>
    <t>【几何推算】AS_S03已读取历史汇编将本装置明确归为圆形限制器/偏滤器配置；采用圆形等离子体理想边界：κ=b/a=1。是名义几何推算，不是逐炮平衡实测；原始装置论文尚待独立复核。
历史汇编原表的近似最优参数，不保证同时实现；原始装置论文尚未核对。汇编运行期：1987–1995。Ip列按原表定义为最大等离子体电流。 第二轮形状值依据历史汇编明确的圆形限制器配置推算；不能将κ/δ视作本行电流下的实测平衡，多源额定/汇总值不保证同时实现。</t>
  </si>
  <si>
    <t>【几何推算】AS_S03已读取历史汇编将本装置明确归为圆形限制器/偏滤器配置；采用圆形等离子体理想边界：δ=0。是名义几何推算，不是逐炮平衡实测；原始装置论文尚待独立复核。
历史汇编原表的近似最优参数，不保证同时实现；原始装置论文尚未核对。汇编运行期：1987–1995。Ip列按原表定义为最大等离子体电流。 第二轮形状值依据历史汇编明确的圆形限制器配置推算；不能将κ/δ视作本行电流下的实测平衡，多源额定/汇总值不保证同时实现。</t>
  </si>
  <si>
    <t>R=0.40 m, a=0.10 m, TF=0.875 T, Ip≈1 kA；实现 60 Hz AC 运行。〔N.N. Balshaw, "Table of Tokamaks" (April 2012)〕</t>
  </si>
  <si>
    <t>参数为2005综述历史快照；未声明各最优指标同时实现。 综述列项目开始年1998；状态依据为2005综述。 综述中斜体为暂定信息，尚未逐字段核对字体标记。</t>
  </si>
  <si>
    <t>S020 Specification power demonstration</t>
  </si>
  <si>
    <t>https://sle.energy/en/fast-project/</t>
  </si>
  <si>
    <t>与基本工况共用装置，10秒发电演示目标。</t>
  </si>
  <si>
    <t>口径: 设计值上限(BT up to 8.5 T)〔INIS 40091798 — The Fusion Advanced Studies Torus (FAST), Italy〕</t>
  </si>
  <si>
    <t>S020 Specification basic operation</t>
  </si>
  <si>
    <t>当前官网方案；另有2025 R=2.78m研究版本，不合并。</t>
  </si>
  <si>
    <t>S039 GNOME comparison column</t>
  </si>
  <si>
    <t>https://www.prc.tsukuba.ac.jp/ja/wp-content/uploads/PRCsymp2012/08-Konishi.pdf</t>
  </si>
  <si>
    <t>2012作者报告比较表中的2010 GNOME概念版本；低Q热能利用目标。</t>
  </si>
  <si>
    <t>11 T 为 Nb3Sn 超导 TF 线圈最大场（设计值）；GNOME 为京都大学生物质-聚变混合反应堆概念研究（R=5.2 m, 320 MW），轴上 B0 未单独给出，非实验装置。〔Ibano et al., Fusion Eng. Des. 86 (2011)（SOFT 2010, P2-170）— GNOME 生物质-聚变混合堆概念〕</t>
  </si>
  <si>
    <t>2005参数；2022目录尺寸电流一致。 综述中斜体为暂定信息，尚未逐字段核对字体标记。</t>
  </si>
  <si>
    <t>设计/标称 Bo〔S001 IAEA World Survey 2022 表格; S002 Gryaznevich 2005 ST综述 表格〕</t>
  </si>
  <si>
    <t>S003 HT-2条目：Circular Limiter/Divertor，理想边界几何推算</t>
  </si>
  <si>
    <t>表格 Bt〔S002 Gryaznevich 2005 ST综述 表格〕</t>
  </si>
  <si>
    <t>S055 p.1 Experimental Setup</t>
  </si>
  <si>
    <t>https://info.fusion.ciemat.es/OCS/epsicpp2012pap/pdf/P1.046.pdf</t>
  </si>
  <si>
    <t>同文R40cm，a约10cm，限制器半径11cm，Ip5kA；a采用等离子体小半径，未混用限制器半径。</t>
  </si>
  <si>
    <t>S055 p.1 Experimental Setup（圆形边界几何推算）</t>
  </si>
  <si>
    <t>【几何推算】S055 p.1明确circular cross-section tokamak；实验理想圆边界κ1，非逐炮平衡实测。
同文R40cm，a约10cm，限制器半径11cm，Ip5kA；a采用等离子体小半径，未混用限制器半径。</t>
  </si>
  <si>
    <t>【几何推算】S055 p.1明确circular cross-section tokamak；实验理想圆边界δ0，非逐炮平衡实测。
同文R40cm，a约10cm，限制器半径11cm，Ip5kA；a采用等离子体小半径，未混用限制器半径。</t>
  </si>
  <si>
    <t>设计/标称 Bo | CSV 并录值: 0.5 / 0.28〔S001 IAEA World Survey 2022 表格〕</t>
  </si>
  <si>
    <t>S045 §3 JA DEMO parameter table</t>
  </si>
  <si>
    <t>https://www.iferc.org/wp/wp-content/uploads/2025/09/QSTDDWS_2_poster_Sugiyama_v3.pdf</t>
  </si>
  <si>
    <t>κ=κ95；2022设计快照。 第二轮：原始设计团队报告同表核准κ95=1.65、δ95=.33，参数沿用2018系统设计；未混入海报的优化工况。</t>
  </si>
  <si>
    <t>参数表值(CHEN2010_thesis.md 表4.1 “Tokamak, ITER 和 DEMO 中 α 粒子参数”, B(T) 列=轴上环向场)〔CHEN2010_thesis〕</t>
  </si>
  <si>
    <t>S003 JFT-2 row</t>
  </si>
  <si>
    <t>历史汇编原表的近似最优参数，不保证同时实现；原始装置论文尚未核对。汇编运行期：1972–1973（汇编记载，终止年份待核）。Ip列按原表定义为最大等离子体电流。 第二轮形状值依据历史汇编明确的圆形限制器配置推算；不能将κ/δ视作本行电流下的实测平衡，多源额定/汇总值不保证同时实现。</t>
  </si>
  <si>
    <t>S003 JFT-2条目：Circular Limiter/Divertor，理想边界几何推算</t>
  </si>
  <si>
    <t>【几何推算】AS_S03已读取历史汇编将本装置明确归为圆形限制器/偏滤器配置；采用圆形等离子体理想边界：κ=b/a=1。是名义几何推算，不是逐炮平衡实测；原始装置论文尚待独立复核。
历史汇编原表的近似最优参数，不保证同时实现；原始装置论文尚未核对。汇编运行期：1972–1973（汇编记载，终止年份待核）。Ip列按原表定义为最大等离子体电流。 第二轮形状值依据历史汇编明确的圆形限制器配置推算；不能将κ/δ视作本行电流下的实测平衡，多源额定/汇总值不保证同时实现。</t>
  </si>
  <si>
    <t>【几何推算】AS_S03已读取历史汇编将本装置明确归为圆形限制器/偏滤器配置；采用圆形等离子体理想边界：δ=0。是名义几何推算，不是逐炮平衡实测；原始装置论文尚待独立复核。
历史汇编原表的近似最优参数，不保证同时实现；原始装置论文尚未核对。汇编运行期：1972–1973（汇编记载，终止年份待核）。Ip列按原表定义为最大等离子体电流。 第二轮形状值依据历史汇编明确的圆形限制器配置推算；不能将κ/δ视作本行电流下的实测平衡，多源额定/汇总值不保证同时实现。</t>
  </si>
  <si>
    <t>S003 JFT-2a / DIVA row</t>
  </si>
  <si>
    <t>1975原始论文Table1给a=.1m并明确非圆截面，与Balshaw Circular分类冲突；κ、δ留空，不采用圆形推算。R与Ip保留历史汇编的近似参数，不能视为该参考放电实测值；汇编运行期1974–1982。</t>
  </si>
  <si>
    <t>S065 p.81 Table1</t>
  </si>
  <si>
    <t>https://lac913.epfl.ch/epsppd3/1975/EPS_07_Vol2_1975.pdf</t>
  </si>
  <si>
    <t>参数表值(Wesson Table 11.23 “Tokamak parameters”, Toroidal field 列)〔Wesson2011_Tokamak_edition4〕</t>
  </si>
  <si>
    <t>S023 p.1 §1–2</t>
  </si>
  <si>
    <t>https://www-pub.iaea.org/MTCD/Publications/PDF/csp_019c/pdf/exp2_05.pdf</t>
  </si>
  <si>
    <t>特定HRS对比实验工况。装置最大电流0.5 MA单独记载于QST官网，不替换本行0.2 MA。</t>
  </si>
  <si>
    <t>文中语句 | CSV 并录值: 1.0 / 1.3〔S023〕</t>
  </si>
  <si>
    <t>S003 JIPP T-II row</t>
  </si>
  <si>
    <t>历史汇编原表的近似最优参数，不保证同时实现；原始装置论文尚未核对。汇编运行期：1976–1982。Ip列按原表定义为最大等离子体电流。 第二轮形状值依据历史汇编明确的圆形限制器配置推算；不能将κ/δ视作本行电流下的实测平衡，多源额定/汇总值不保证同时实现。</t>
  </si>
  <si>
    <t>S003 JIPP T-II条目：Circular Limiter/Divertor，理想边界几何推算</t>
  </si>
  <si>
    <t>【几何推算】AS_S03已读取历史汇编将本装置明确归为圆形限制器/偏滤器配置；采用圆形等离子体理想边界：κ=b/a=1。是名义几何推算，不是逐炮平衡实测；原始装置论文尚待独立复核。
历史汇编原表的近似最优参数，不保证同时实现；原始装置论文尚未核对。汇编运行期：1976–1982。Ip列按原表定义为最大等离子体电流。 第二轮形状值依据历史汇编明确的圆形限制器配置推算；不能将κ/δ视作本行电流下的实测平衡，多源额定/汇总值不保证同时实现。</t>
  </si>
  <si>
    <t>【几何推算】AS_S03已读取历史汇编将本装置明确归为圆形限制器/偏滤器配置；采用圆形等离子体理想边界：δ=0。是名义几何推算，不是逐炮平衡实测；原始装置论文尚待独立复核。
历史汇编原表的近似最优参数，不保证同时实现；原始装置论文尚未核对。汇编运行期：1976–1982。Ip列按原表定义为最大等离子体电流。 第二轮形状值依据历史汇编明确的圆形限制器配置推算；不能将κ/δ视作本行电流下的实测平衡，多源额定/汇总值不保证同时实现。</t>
  </si>
  <si>
    <t>表格 TF | CSV 并录值: 2.6 / 3.0〔S003 Balshaw 2012 表格〕</t>
  </si>
  <si>
    <t>S026 JIPP T-IIU</t>
  </si>
  <si>
    <t>https://www-lhd.nifs.ac.jp/pub/glossary_jp.html</t>
  </si>
  <si>
    <t>与Balshaw汇编R=.93存在差异，采用NIFS说明；缺Ip尚未回溯。 第二轮形状值依据历史汇编明确的圆形限制器配置推算；不能将κ/δ视作本行电流下的实测平衡，多源额定/汇总值不保证同时实现。 第二轮原图§2明确R.91,a.23,Ip220kA。形状仍为AS_S03名义圆形推算，不称同炮平衡实测。</t>
  </si>
  <si>
    <t>S003 JIPP T-IIU条目：Circular Limiter/Divertor，理想边界几何推算</t>
  </si>
  <si>
    <t>【几何推算】AS_S03已读取历史汇编将本装置明确归为圆形限制器/偏滤器配置；采用圆形等离子体理想边界：κ=b/a=1。是名义几何推算，不是逐炮平衡实测；原始装置论文尚待独立复核。
与Balshaw汇编R=.93存在差异，采用NIFS说明；缺Ip尚未回溯。 第二轮形状值依据历史汇编明确的圆形限制器配置推算；不能将κ/δ视作本行电流下的实测平衡，多源额定/汇总值不保证同时实现。 第二轮原图§2明确R.91,a.23,Ip220kA。形状仍为AS_S03名义圆形推算，不称同炮平衡实测。</t>
  </si>
  <si>
    <t>【几何推算】AS_S03已读取历史汇编将本装置明确归为圆形限制器/偏滤器配置；采用圆形等离子体理想边界：δ=0。是名义几何推算，不是逐炮平衡实测；原始装置论文尚待独立复核。
与Balshaw汇编R=.93存在差异，采用NIFS说明；缺Ip尚未回溯。 第二轮形状值依据历史汇编明确的圆形限制器配置推算；不能将κ/δ视作本行电流下的实测平衡，多源额定/汇总值不保证同时实现。 第二轮原图§2明确R.91,a.23,Ip220kA。形状仍为AS_S03名义圆形推算，不称同炮平衡实测。</t>
  </si>
  <si>
    <t>S064 p.3 §2，已看原图</t>
  </si>
  <si>
    <t>https://www.nifs.ac.jp/report/NIFS-021.pdf</t>
  </si>
  <si>
    <t>列序：R=0.93 m, a=0.23 m, TF=3 T, Ip=1.5 MA；NIFS 资料亦称"トロイダル磁場が3テスラ"（双源一致，高置信）；勿与 JIPP T-II 混用。〔N.N. Balshaw, "Table of Tokamaks" (April 2012)〕</t>
  </si>
  <si>
    <t>S008 Table 1</t>
  </si>
  <si>
    <t>https://www.jstage.jst.go.jp/article/jsmeicone/2015.23/0/2015.23__ICONE23-1_296/_pdf</t>
  </si>
  <si>
    <t>κx、δx为X点边界；5.5 MA设计额定值，非2023已实现值。 2026处于增力/OP-2准备与集成调试阶段。</t>
  </si>
  <si>
    <t>S001 §2.32 表38; 与 S003 5.5T 并存, S003 值疑为线圈峰值/早期设计值 | CSV 并录值: 5.5 / 2.25〔28_Honda_2021_Development_of_a_novel_integrated_model_GOTRESS; S001 IAEA World Survey 2022 表38; S001 IAEA World Survey 2022 表格〕</t>
  </si>
  <si>
    <t>S054 p.852 Table 1，weak shear E36715列</t>
  </si>
  <si>
    <t>https://www.jstage.jst.go.jp/article/jspf/81/11/81_11_849/_pdf</t>
  </si>
  <si>
    <t>采用同表同炮全组数据；κ95与δ95为95%磁面形状；Ip1.5 MA不是全装置最大电流。旧汇总额定R3.4、a1.0及Ip6 MA保存previous_parameters。2002官方另一张上限表的κ1.8与δ.4各在不同相对形状实现，本行避免将其拼合。</t>
  </si>
  <si>
    <t>表格 TF | CSV 并录值: 2.0 / 4.2〔S003 Balshaw 2012 表格; Wesson2011_Tokamak_edition4〕</t>
  </si>
  <si>
    <t>S025 §1(1)</t>
  </si>
  <si>
    <t>https://atomica.jaea.go.jp/data/detail/dat_detail_07-05-01-07.html</t>
  </si>
  <si>
    <t>大电流化前几何；早期初始设计a=1m，建成a=.9m。Ip为设计最大。</t>
  </si>
  <si>
    <t>2005表值；2022目录确认装置仍有项目条目。 综述中斜体为暂定信息，尚未逐字段核对字体标记。</t>
  </si>
  <si>
    <t>参数为2005综述历史快照；未声明各最优指标同时实现。 综述列项目开始年1998；状态依据为2005综述。 κ=10为综述原值，需原始脉冲/形成工况复核，不能视作通常稳态球形托卡马克几何。 综述中斜体为暂定信息，尚未逐字段核对字体标记。</t>
  </si>
  <si>
    <t>S001 p.53 Table 41</t>
  </si>
  <si>
    <t>2014开始运行；2026现状另查。 第二轮形状由原文明确等离子体截面描述推算，不保证与汇总电流为同一次放电。 κ1与δ0均为近似值，仅为近圆截面的理想模型。</t>
  </si>
  <si>
    <t>S058 p.1（理想几何推算）</t>
  </si>
  <si>
    <t>https://conferences.iaea.org/event/214/contributions/17474/contribution.pdf</t>
  </si>
  <si>
    <t>【几何推算】S058 原文明示近似圆形等离子体截面；按理想圆边界kappa=约1推算，非逐炮平衡实测。
2014开始运行；2026现状另查。 第二轮形状由原文明确等离子体截面描述推算，不保证与汇总电流为同一次放电。 κ1与δ0均为近似值，仅为近圆截面的理想模型。</t>
  </si>
  <si>
    <t>【几何推算】S058 原文明示近似圆形等离子体截面；按理想圆边界delta=约0推算，非逐炮平衡实测。
2014开始运行；2026现状另查。 第二轮形状由原文明确等离子体截面描述推算，不保证与汇总电流为同一次放电。 κ1与δ0均为近似值，仅为近圆截面的理想模型。</t>
  </si>
  <si>
    <t>设计/标称 Bo | CSV 并录值: 0.3 / 0.091〔S001 IAEA World Survey 2022 表格〕</t>
  </si>
  <si>
    <t>S001 p.46 Table 34</t>
  </si>
  <si>
    <t>2022列规划中，未将规划日程当建成事实。</t>
  </si>
  <si>
    <t>S063 pp.036-1–036-2，Fig.1(a)设计工况</t>
  </si>
  <si>
    <t>https://www.jspf.or.jp/PFR/PDF/pfr2006_01-036.pdf</t>
  </si>
  <si>
    <t>采用同文QUEST CS reference equilibrium，κ2.5、δ.7、R.64、a.36、Ip300kA；这不是实际运行上限。本轮另读2012实验κ1.53δ.41Ip15kA，未把不同工况混合。</t>
  </si>
  <si>
    <t>S031 p.1 Table 1</t>
  </si>
  <si>
    <t>https://www-pub.iaea.org/MTCD/Meetings/FEC2008/ft_p3-9.pdf</t>
  </si>
  <si>
    <t>κ95=2、δ95=.35；低环径比2.6设计，未标为球形。</t>
  </si>
  <si>
    <t>口径: 最大场 16.4 T(TF 线圈/导体处最大场, 即线圈峰值); 未检索到轴上 B0 明确数值〔Conceptual design of SlimCS (Fusion Engineering and Design)〕</t>
  </si>
  <si>
    <t>2013综述收录的历史概念参数；尚未独立核对最初设计报告。 第二轮：1992 JAEA原始系统分析明确采用SSTR R7,a1.75,κ1.8,δ.3，已看原图；与原表R/a版本吻合。Ip12仍由AS_S37设计综述支持；此处非逐炮数据。</t>
  </si>
  <si>
    <t>S053 printed p.7 §2-2，原图核验</t>
  </si>
  <si>
    <t>https://jopss.jaea.go.jp/pdfdata/JAERI-M-92-056.pdf</t>
  </si>
  <si>
    <t>同一表第3列=SSTR线圈峰值场B_m=16.5 T；正文line2397亦称 'the Japanese SSTR design (Seki et al., 1991) has a 16-T coil'。身份=JAERI SSTR，非A-SSTR/A-SSTR2 | CSV 并录值: 9.0 / 16.5〔Sheffield1994_RevModPhys.66.1015〕</t>
  </si>
  <si>
    <t>S003 TNT row</t>
  </si>
  <si>
    <t>历史汇编原表的近似最优参数，不保证同时实现；原始装置论文尚未核对。汇编运行期：1976–?。Ip列按原表定义为最大等离子体电流。 κ上限来自同一汇编备注。</t>
  </si>
  <si>
    <t>S003 TNT notes (elongation up to 1.4)</t>
  </si>
  <si>
    <t>S003 TNT-A row</t>
  </si>
  <si>
    <t>历史汇编原表的近似最优参数，不保证同时实现；原始装置论文尚未核对。汇编运行期：1980年代初。Ip列按原表定义为最大等离子体电流。 κ上限来自同一汇编备注。</t>
  </si>
  <si>
    <t>S003 TNT-A notes (elongation up to 1.4)</t>
  </si>
  <si>
    <t>表格 TF | CSV 并录值: 4.4 / 0.44〔S003 Balshaw 2012 表格〕</t>
  </si>
  <si>
    <t>S003 TODOROKI-I row</t>
  </si>
  <si>
    <t>历史汇编原表的近似最优参数，不保证同时实现；原始装置论文尚未核对。汇编运行期：1995–2001?。Ip列按原表定义为最大等离子体电流。</t>
  </si>
  <si>
    <t>参数为2005综述历史快照；未声明各最优指标同时实现。 综述列项目开始年2002；状态依据为2005综述。 综述中斜体为暂定信息，尚未逐字段核对字体标记。</t>
  </si>
  <si>
    <t>表格 TF | CSV 并录值: 1.0 / 1.55〔S003 Balshaw 2012 表格〕</t>
  </si>
  <si>
    <t>第二轮原文N=2理论磁面A1.2、ellipticity约2.0；三维磁面投影形状，不能当轴对称分离面统一κ。未有指定绝对尺度R/a与总电流，保留混合概念边界。</t>
  </si>
  <si>
    <t>S056 p.1045 §2-1</t>
  </si>
  <si>
    <t>口径: 设计/标称 Bo; T1 IAEA World Survey 2022 §2.31 TOKASTAR-2 Table 37 (R0=0.1 m); 调研行 TOKASTAR 即 TOKASTAR-2 (κ≈2.0 指纹, 2022 清单无其他 TOKASTAR)</t>
  </si>
  <si>
    <t>S057 p.S2037-3 Table 2（TOSCA输入设计工况）</t>
  </si>
  <si>
    <t>https://www.jspf.or.jp/PFR/PDF/pfr2010_05-S2037.pdf</t>
  </si>
  <si>
    <t>采用已看原图Table2：R11cm,a4.5cm,Ip2.5kA。是设计平衡输入，2010实际仅约25A；κδ原文没有数表，不从示意磁面图估算。避免把IAEA2022疑似错误电流作为事实。</t>
  </si>
  <si>
    <t>S003 TORIUT-3 row</t>
  </si>
  <si>
    <t>历史汇编原表的近似最优参数，不保证同时实现；原始装置论文尚未核对。汇编运行期：日期未标。Ip列按原表定义为最大等离子体电流。 第二轮形状值依据历史汇编明确的圆形限制器配置推算；不能将κ/δ视作本行电流下的实测平衡，多源额定/汇总值不保证同时实现。</t>
  </si>
  <si>
    <t>S003 TORIUT-3条目：Circular Limiter/Divertor，理想边界几何推算</t>
  </si>
  <si>
    <t>【几何推算】AS_S03已读取历史汇编将本装置明确归为圆形限制器/偏滤器配置；采用圆形等离子体理想边界：κ=b/a=1。是名义几何推算，不是逐炮平衡实测；原始装置论文尚待独立复核。
历史汇编原表的近似最优参数，不保证同时实现；原始装置论文尚未核对。汇编运行期：日期未标。Ip列按原表定义为最大等离子体电流。 第二轮形状值依据历史汇编明确的圆形限制器配置推算；不能将κ/δ视作本行电流下的实测平衡，多源额定/汇总值不保证同时实现。</t>
  </si>
  <si>
    <t>【几何推算】AS_S03已读取历史汇编将本装置明确归为圆形限制器/偏滤器配置；采用圆形等离子体理想边界：δ=0。是名义几何推算，不是逐炮平衡实测；原始装置论文尚待独立复核。
历史汇编原表的近似最优参数，不保证同时实现；原始装置论文尚未核对。汇编运行期：日期未标。Ip列按原表定义为最大等离子体电流。 第二轮形状值依据历史汇编明确的圆形限制器配置推算；不能将κ/δ视作本行电流下的实测平衡，多源额定/汇总值不保证同时实现。</t>
  </si>
  <si>
    <t>S003 TORIUT-4 row</t>
  </si>
  <si>
    <t>S003 TORIUT-4条目：Circular Limiter/Divertor，理想边界几何推算</t>
  </si>
  <si>
    <t>S003 TORIUT-5 row</t>
  </si>
  <si>
    <t>S003 TORIUT-5条目：Circular Limiter/Divertor，理想边界几何推算</t>
  </si>
  <si>
    <t>S003 TRIAM row</t>
  </si>
  <si>
    <t>历史汇编原表的近似最优参数，不保证同时实现；原始装置论文尚未核对。汇编运行期：1970年代末至1980年代初。Ip列按原表定义为最大等离子体电流。</t>
  </si>
  <si>
    <t>参数为2005综述历史快照；未声明各最优指标同时实现。 综述中斜体为暂定信息，尚未逐字段核对字体标记。</t>
  </si>
  <si>
    <t>九州大学 Nb3Sn 超导装置；8 T 为线圈/设计最大场（峰值口径），常规运行约 6 T 级。〔IAEA TECDOC-1160 (超导托卡马克) / k.sina.cn 武松涛报道〕</t>
  </si>
  <si>
    <t>参数为2005综述历史快照；未声明各最优指标同时实现。 综述列项目开始年1986；状态依据为2005综述。 综述中斜体为暂定信息，尚未逐字段核对字体标记。</t>
  </si>
  <si>
    <t>口径: 运行实现(低场合并实验导向场 Bt=Btext+Bt(pin), R=0.2/a=0.14); JPFRS 1999 Vol.2 一手; 注意该文 Bp=0.05T 为极向场勿混; conf 0.55</t>
  </si>
  <si>
    <t>参数为2005综述历史快照；未声明各最优指标同时实现。 综述列项目开始年2000；状态依据为2005综述。 综述中斜体为暂定信息，尚未逐字段核对字体标记。</t>
  </si>
  <si>
    <t>口径: 二手设计/建成值 3-5 kG (R=0.4-0.55, Ip~300kA, 东京大学); Katsurai ST Workshop 摘要; conf 0.4</t>
  </si>
  <si>
    <t>S001 p.51 Table 39</t>
  </si>
  <si>
    <t>2005综述几何R=0.38,a=0.25及κ=1.8属于当时版本，未混入本行。</t>
  </si>
  <si>
    <t>设计/标称 Bo | CSV 并录值: 0.3 / 0.3/0.4〔S001 IAEA World Survey 2022 表格〕</t>
  </si>
  <si>
    <t>S028 Plasma Parameters TST-M</t>
  </si>
  <si>
    <t>https://fusion.k.u-tokyo.ac.jp/research/tst-2/TST-2.html</t>
  </si>
  <si>
    <t>官方旧比较页；瞬态电流另记&lt;0.15 MA，不等同持续电流；TST-2计划1999首次放电，故该页不是2026状态。</t>
  </si>
  <si>
    <t>Table C.2 'MFE experiments, operational or construction'，表头 R(m)|a(m)[κ]|Pulse length(s)|B_t(T)[Bp(T)]|I(MA)|... → TST-M(Japan) B_t=0.3 T, R=0.35 m, a=0.25 m, I=0.1 MA。注意≠TST-2(该表另列 TST-2 0.4 T)〔Committee1999_Opportunities_In_The_Fusion_Energy_Sciences_Program〕</t>
  </si>
  <si>
    <t>S001 p.52 Table 40</t>
  </si>
  <si>
    <t>无中心螺线管的合并启动装置；2022列运行。</t>
  </si>
  <si>
    <t>设计/标称 Bo | CSV 并录值: 0.1 / 0.25〔S001 IAEA World Survey 2022 表格〕</t>
  </si>
  <si>
    <t>S003 WT-1 row</t>
  </si>
  <si>
    <t>历史汇编原表的近似最优参数，不保证同时实现；原始装置论文尚未核对。汇编运行期：1977–1981。Ip列按原表定义为最大等离子体电流。 第二轮形状值依据历史汇编明确的圆形限制器配置推算；不能将κ/δ视作本行电流下的实测平衡，多源额定/汇总值不保证同时实现。</t>
  </si>
  <si>
    <t>S003 WT-1条目：Circular Limiter/Divertor，理想边界几何推算</t>
  </si>
  <si>
    <t>【几何推算】AS_S03已读取历史汇编将本装置明确归为圆形限制器/偏滤器配置；采用圆形等离子体理想边界：κ=b/a=1。是名义几何推算，不是逐炮平衡实测；原始装置论文尚待独立复核。
历史汇编原表的近似最优参数，不保证同时实现；原始装置论文尚未核对。汇编运行期：1977–1981。Ip列按原表定义为最大等离子体电流。 第二轮形状值依据历史汇编明确的圆形限制器配置推算；不能将κ/δ视作本行电流下的实测平衡，多源额定/汇总值不保证同时实现。</t>
  </si>
  <si>
    <t>【几何推算】AS_S03已读取历史汇编将本装置明确归为圆形限制器/偏滤器配置；采用圆形等离子体理想边界：δ=0。是名义几何推算，不是逐炮平衡实测；原始装置论文尚待独立复核。
历史汇编原表的近似最优参数，不保证同时实现；原始装置论文尚未核对。汇编运行期：1977–1981。Ip列按原表定义为最大等离子体电流。 第二轮形状值依据历史汇编明确的圆形限制器配置推算；不能将κ/δ视作本行电流下的实测平衡，多源额定/汇总值不保证同时实现。</t>
  </si>
  <si>
    <t>R=0.28, a/Ip 列原文为"?"〔S003 Balshaw 2012 表格(人工直读补漏)〕</t>
  </si>
  <si>
    <t>S003 WT-2 row</t>
  </si>
  <si>
    <t>历史汇编原表的近似最优参数，不保证同时实现；原始装置论文尚未核对。汇编运行期：1981–1986。Ip列按原表定义为最大等离子体电流。 第二轮形状值依据历史汇编明确的圆形限制器配置推算；不能将κ/δ视作本行电流下的实测平衡，多源额定/汇总值不保证同时实现。</t>
  </si>
  <si>
    <t>S003 WT-2条目：Circular Limiter/Divertor，理想边界几何推算</t>
  </si>
  <si>
    <t>【几何推算】AS_S03已读取历史汇编将本装置明确归为圆形限制器/偏滤器配置；采用圆形等离子体理想边界：κ=b/a=1。是名义几何推算，不是逐炮平衡实测；原始装置论文尚待独立复核。
历史汇编原表的近似最优参数，不保证同时实现；原始装置论文尚未核对。汇编运行期：1981–1986。Ip列按原表定义为最大等离子体电流。 第二轮形状值依据历史汇编明确的圆形限制器配置推算；不能将κ/δ视作本行电流下的实测平衡，多源额定/汇总值不保证同时实现。</t>
  </si>
  <si>
    <t>【几何推算】AS_S03已读取历史汇编将本装置明确归为圆形限制器/偏滤器配置；采用圆形等离子体理想边界：δ=0。是名义几何推算，不是逐炮平衡实测；原始装置论文尚待独立复核。
历史汇编原表的近似最优参数，不保证同时实现；原始装置论文尚未核对。汇编运行期：1981–1986。Ip列按原表定义为最大等离子体电流。 第二轮形状值依据历史汇编明确的圆形限制器配置推算；不能将κ/δ视作本行电流下的实测平衡，多源额定/汇总值不保证同时实现。</t>
  </si>
  <si>
    <t>S003 WT-3条目：Circular Limiter/Divertor，理想边界几何推算</t>
  </si>
  <si>
    <t>S036 CPD draft (Tokamak) table</t>
  </si>
  <si>
    <t>https://conferences.iaea.org/event/406/contributions/37079/attachments/20817/35235/Mu%20Young%20Ahn%20KFE.pdf</t>
  </si>
  <si>
    <t>同一Compact Pilot Device计划的备选概念，不是两台已建装置。</t>
  </si>
  <si>
    <t>S036 CPD draft (Spherical) table</t>
  </si>
  <si>
    <t>同一Compact Pilot Device计划的备选概念。</t>
  </si>
  <si>
    <t>S043 Table 1 p.2</t>
  </si>
  <si>
    <t>https://www.kentech-fusion.com/images/publication_no119.pdf</t>
  </si>
  <si>
    <t>2022概念设计快照。 第二轮：用2020原始工程设计表整组核验，补κ=1.8、δ=.625；表未标κ/δ磁面，勿标为κ95。</t>
  </si>
  <si>
    <t>设计值(等离子体中心 / TF 峰值)〔05_Kim_2015_Design_concept_of_K-DEMO_for_near-term_implementation〕</t>
  </si>
  <si>
    <t>S022 Preliminary system design table</t>
  </si>
  <si>
    <t>https://conferences.iaea.org/event/392/contributions/35845/attachments/19823/36305/%282025-10-18%2C%20FEC%29%20K-DEMO%20and%20CPD%20v2.pdf</t>
  </si>
  <si>
    <t>κ95、δ95；SN为主、DN备选，与2022设计单列。</t>
  </si>
  <si>
    <t>S003 KAIST-TOKAMAK条目：Circular Limiter/Divertor，理想边界几何推算</t>
  </si>
  <si>
    <t>S006 Table I p.216</t>
  </si>
  <si>
    <t>https://w3.pppl.gov/theory-main/PublicTheoryPage/bin/PAPERS/paper1997c.pdf</t>
  </si>
  <si>
    <t>形状记号κx、δx，指X点边界设计。2 MA为设计目标，不等于当前纪录。</t>
  </si>
  <si>
    <t>设计/标称 Bo | CSV 并录值: 3.5 / 1.96 / ≤3.5〔S001 IAEA World Survey 2022 表格; Wesson2011_Tokamak_edition4〕</t>
  </si>
  <si>
    <t>S003 KT-1条目：Circular Limiter/Divertor，理想边界几何推算</t>
  </si>
  <si>
    <t>S035 Table 1.1</t>
  </si>
  <si>
    <t>https://www.osti.gov/etdeweb/servlets/purl/430108</t>
  </si>
  <si>
    <t>同报告Table 1.2 HIBS方案Ip=.3 MA；本行只采用基准SOH成套参数，未认定建成。</t>
  </si>
  <si>
    <t>满场设计 3T; 同篇 5MW HiBS 模式运行点为 2T/200kA(分口径)〔OpenAlex 10.1109/fusion.1995.534512; OpenAlex 10.1109/plasma.1995.531708; OpenAlex 10.13182/fst95-a11947123〕</t>
  </si>
  <si>
    <t>S001 p.63 Table 51</t>
  </si>
  <si>
    <t>2013开始运行；2022列运行。</t>
  </si>
  <si>
    <t>参数为2005综述历史快照；未声明各最优指标同时实现。 综述中斜体为暂定信息，尚未逐字段核对字体标记。 第二轮：δ依据装置团队原始报告明确圆形等离子体推算，未改变原电流汇总值，不声称同炮实测。</t>
  </si>
  <si>
    <t>S052 slide 3（圆形等离子体边界几何推算）</t>
  </si>
  <si>
    <t>https://www.nifs.ac.jp/itc/itc12/Saxena.pdf</t>
  </si>
  <si>
    <t>【几何推算】S052 slide 3明确Plasma Cross-section Circular；理想圆边界δ=0，几何推算，非逐炮实测。
参数为2005综述历史快照；未声明各最优指标同时实现。 综述中斜体为暂定信息，尚未逐字段核对字体标记。 第二轮：δ依据装置团队原始报告明确圆形等离子体推算，未改变原电流汇总值，不声称同炮实测。</t>
  </si>
  <si>
    <t>表格 TF | CSV 并录值: 0.5 / 1.5〔S003 Balshaw 2012 表格; S060〕</t>
  </si>
  <si>
    <t>S051 p.3 §2</t>
  </si>
  <si>
    <t>https://infoscience.epfl.ch/server/api/core/bitstreams/ad42f35c-0a4e-4024-8c5b-36453aa44b1f/content</t>
  </si>
  <si>
    <t>采用该偏压实验的同组R/a/电流范围，κδ由明确circular Ohmic discharges推算；这不是额定最大电流，旧2022额定值保留previous_parameters。</t>
  </si>
  <si>
    <t>S051 p.3 §2；几何推算</t>
  </si>
  <si>
    <t>【几何推算】S051 §2明确该组为circular Ohmic discharges，理想圆边界κ=b/a=1，非逐炮平衡拟合值。
采用该偏压实验的同组R/a/电流范围，κδ由明确circular Ohmic discharges推算；这不是额定最大电流，旧2022额定值保留previous_parameters。</t>
  </si>
  <si>
    <t>【几何推算】S051 §2明确该组为circular Ohmic discharges，理想圆边界δ=0，非逐炮平衡拟合值。
采用该偏压实验的同组R/a/电流范围，κδ由明确circular Ohmic discharges推算；这不是额定最大电流，旧2022额定值保留previous_parameters。</t>
  </si>
  <si>
    <t>S032 Abstract</t>
  </si>
  <si>
    <t>https://arxiv.org/abs/2603.11549</t>
  </si>
  <si>
    <t>2026-03-12预印本设计目标；不作为已达到参数。</t>
  </si>
  <si>
    <t>文中语句〔S032〕</t>
  </si>
  <si>
    <t>S001 p.39 Table 27</t>
  </si>
  <si>
    <t>2022为建设阶段设计参数。 2026预印本报告2025-12-11首次等离子体，之后只有约1 ms瞬态电流；Table 1阶段目标30 kA未当实测值。名称SSST与IPR ST的归并基于机构、几何一致及论文SSST电源引用。</t>
  </si>
  <si>
    <t>S001 p.38 Table 26</t>
  </si>
  <si>
    <t>2022汇总运行参数；与0.22 MA长脉冲D形设计值区别。 此行为2022圆形限制器已运行参数；SST-1 D形设计另行记录，不混用。</t>
  </si>
  <si>
    <t>S001 p.38 Table 26，Circular limiter几何推算</t>
  </si>
  <si>
    <t>【几何推算】S001 Table26明确Circular limiter；按理想圆形等离子体边界κ1，非逐炮实测。
2022汇总运行参数；与0.22 MA长脉冲D形设计值区别。 此行为2022圆形限制器已运行参数；SST-1 D形设计另行记录，不混用。</t>
  </si>
  <si>
    <t>【几何推算】S001 Table26明确Circular limiter；按理想圆形等离子体边界δ0，非逐炮实测。
2022汇总运行参数；与0.22 MA长脉冲D形设计值区别。 此行为2022圆形限制器已运行参数；SST-1 D形设计另行记录，不混用。</t>
  </si>
  <si>
    <t>口径: T1 官方表 B0=1.5 T (max 3 T), 同表 R1.1/a0.2/Ip0.1MA〔S001 Table 26 (SST-1, IPR India) — 本地 md: papers/聚变实验与装置进展/IAEA装置调研报告_WorldSurvey_WFO/01_IAEA_2022_World_Survey_of_Fusion_Devices_2022_IAEA.md〕</t>
  </si>
  <si>
    <t>S007 SST-1 section</t>
  </si>
  <si>
    <t>https://www.ipr.res.in/outreach/documents/Living%20with%20plasmas-English-Final_Oct%202017.pdf</t>
  </si>
  <si>
    <t>长脉冲D形目标；与IAEA2022圆形限流器0.1 MA运行汇总分开。</t>
  </si>
  <si>
    <t>S048 p.354 Table 1</t>
  </si>
  <si>
    <t>https://scientific-publications.ukaea.uk/wp-content/uploads/1-S2-0-S0920379618308317-MAIN.PDF</t>
  </si>
  <si>
    <t>2016设计版本；未把原定日程当建设事实。 第二轮：2019更新SPECTRE/PROCESS同组基准设计；κ95、δ95为95%磁面输入；本行非建成实测。小半径由同表R/A换算。</t>
  </si>
  <si>
    <t>S048 p.354 Table 1（几何推算）</t>
  </si>
  <si>
    <t>【几何推算】S048 Table 1明确A=R/a=3.00，R=4.42 m；a=4.42/3=1.4733333333 m，几何换算，非实测；原汇总四舍五入1.47 m。
2016设计版本；未把原定日程当建设事实。 第二轮：2019更新SPECTRE/PROCESS同组基准设计；κ95、δ95为95%磁面输入；本行非建成实测。小半径由同表R/A换算。</t>
  </si>
  <si>
    <t>口径: 设计值未建成(Planned 2027?); 大设计点 Bt=5.42T@R=4.42 与调研行指纹吻合; 并录早期变体 4.6T(R0=4.4/a=1.14/A=3.86/Ip=11MA) 与紧凑ST变体 2.8T(R=1.25, 另一路线); conf 0.6</t>
  </si>
  <si>
    <t>S018 Abstract</t>
  </si>
  <si>
    <t>https://www.sciencedirect.com/science/article/pii/S0920379624006318</t>
  </si>
  <si>
    <t>2023首次实验最大约0.1 MA；未把圆形叙述转换成κ=1,δ=0。 第二轮形状由原文明确等离子体截面描述推算，不保证与汇总电流为同一次放电。</t>
  </si>
  <si>
    <t>S059 p.90 Abstract（理想几何推算）</t>
  </si>
  <si>
    <t>https://www.ojs.cvut.cz/ojs/index.php/PPT/article/download/9936/7451</t>
  </si>
  <si>
    <t>【几何推算】S059 原文明示圆形等离子体截面；按理想圆边界kappa=1推算，非逐炮平衡实测。
2023首次实验最大约0.1 MA；未把圆形叙述转换成κ=1,δ=0。 第二轮形状由原文明确等离子体截面描述推算，不保证与汇总电流为同一次放电。</t>
  </si>
  <si>
    <t>【几何推算】S059 原文明示圆形等离子体截面；按理想圆边界delta=0推算，非逐炮平衡实测。
2023首次实验最大约0.1 MA；未把圆形叙述转换成κ=1,δ=0。 第二轮形状由原文明确等离子体截面描述推算，不保证与汇总电流为同一次放电。</t>
  </si>
  <si>
    <t>泰国 TT-1 运行参数：Ip 100 kA、B_t 0.9 T、平顶 123 ms。〔SPC2025 (KKU) keynote - Thailand Tokamak-1〕</t>
  </si>
  <si>
    <t>S232 Background：GLAST-I chamber R=15cm、r=9cm</t>
  </si>
  <si>
    <t>https://conferences.iaea.org/event/180/contributions/14422/attachments/7930/10392/ID_603-JAVED.pdf</t>
  </si>
  <si>
    <t>IAEA确认GLAST-III的前身包括GLAST-I、II；本轮未找到I的独立参数组。 R/a明示为真空腔体大、小半径，不能直接当作重建等离子体边界。</t>
  </si>
  <si>
    <t>Wikipedia 参数表对 GLAST-I/GLAST-II 合并给出 0.1–0.4 T，未区分两台装置（GLAST-I 为钢中央筒、GLAST-II 为玻璃真空室）。GLAST-III 为 0.2 T central / 0.1 T toroidal，勿混用。巴基斯坦 PINSTECH/GCU 小型球形托卡马克。〔Wikipedia: GLAST (tokamak) — 参数表（GLAST-I &amp; GLAST-II 合并列）〕</t>
  </si>
  <si>
    <t>S221 Introduction / Abstract</t>
  </si>
  <si>
    <t>https://www.sciencedirect.com/science/article/abs/pii/S0920379617308992</t>
  </si>
  <si>
    <t>原文给玻璃真空室尺寸；以作者R/a保留，未将真空室截面等同逐炮LCFS。电流为实验达到5kA。</t>
  </si>
  <si>
    <t>GLAST-II 原始论文口径：最大可达环向场约 0.1 T。冲突提示：早前一轮检索曾得 "2004 年 Plasma Devices and Operations 设计值 0.25 T" 与 "2016 年升级后 0.57 T"（称 improved the maximum toroidal field from 0.25 T to 0.57 T），本轮多组查询均无法再定位原文，且与论文 0.1 T 口径直接矛盾；0.57 T 可能与后继 MT-I/MT-II 系列混淆（MT-II TF 设计 0.3 T）。Wikipedia 对 GLAST-I/II 合并给 0.1–0.4 T。引用 0.25/0.57 T 前必须核实原文。〔Hussain et al., "Initial Plasma Formation in the GLAST-II Spherical Tokamak", J. Fusion Energy 35, 529–537 (2016) — 图注页〕</t>
  </si>
  <si>
    <t>S001 Table45 p.57</t>
  </si>
  <si>
    <t>保留2kA实际报告值；其他文献的50kA为设计上限，未替代。</t>
  </si>
  <si>
    <t>S220 Background / Outcome</t>
  </si>
  <si>
    <t>https://conferences.iaea.org/event/392/contributions/36057/attachments/20030/36074/Upgraded%20Power%20Supply%20System-ID%202990.pdf</t>
  </si>
  <si>
    <t>升级电源后12kA提升至15kA。纠正IAEA2022 R0.25m/a0.1m条目冲突，采用装置团队原始报告。</t>
  </si>
  <si>
    <t>文中语句〔S220〕</t>
  </si>
  <si>
    <t>S231 Tables I–II</t>
  </si>
  <si>
    <t>https://www.researchgate.net/publication/373927650_Optimization_of_Wall-Conditioning_Techniques_on_the_MT-II_Tokamak</t>
  </si>
  <si>
    <t>κ2.67是设计拉长比；Ip与δ未查到，未借用MT-I电流。 本轮整组改用上述来源的明确版本／参考工况；上一版参数保存在 previous_parameters 和第二轮变更表，不表示本组达到额定最大值。 此前2022/2023 Kerntechnik版本κ=2.67；本组2023 FST取κ=2.3。文中虽定义δ但Tables I–II未给其数值，不能从κ反推出δ。 上一版值：{"R_m": 0.15, "a_m": 0.09, "kappa": 2.67, "delta": null, "Ip_MA": null, "parameter_basis": "设计参数", "name": "MT-II"}</t>
  </si>
  <si>
    <t>巴基斯坦 MT-II（JSON 归属巴基斯坦正确）；0.3 T 为等离子体区环向场运行值。引句为搜索片段转述。〔Fusion Science and Technology (2023) - Pakistan MT-II tokamak〕</t>
  </si>
  <si>
    <t>S001 Table48 p.60</t>
  </si>
  <si>
    <t>海报将R/a单位误写cm；本表尺寸采用IAEA米制数值，κ取原始海报，未推算δ。</t>
  </si>
  <si>
    <t>S223 Background</t>
  </si>
  <si>
    <t>https://conferences.iaea.org/event/214/contributions/17672/attachments/10487/14997/Poster_Z-AHMAD.pdf</t>
  </si>
  <si>
    <t>设计/标称 Bo〔S001 IAEA World Survey 2022 表格; S223〕</t>
  </si>
  <si>
    <t>S002 Table 1 p.S248</t>
  </si>
  <si>
    <t>与2022 ALVAND条目为不同命名/升级时期，需看lineage。 几何推算只表示文献所述名义截面；有限β、Shafranov位移、限制器位置变化及实际放电可能产生非零δ或κ偏离1。</t>
  </si>
  <si>
    <t>S237 §2；名义圆形几何换算</t>
  </si>
  <si>
    <t>https://www.sciencedirect.com/science/article/pii/S173857332300267X</t>
  </si>
  <si>
    <t>【几何推算】S237 §2：明确1980年ALVAND-IIC为圆截面配置；采用理想圆形边界，δ=(Rgeo−Rtop)/a=0。名义几何推算，非逐炮平衡实测。
与2022 ALVAND条目为不同命名/升级时期，需看lineage。 几何推算只表示文献所述名义截面；有限β、Shafranov位移、限制器位置变化及实际放电可能产生非零δ或κ偏离1。</t>
  </si>
  <si>
    <t>S001 Table 28 p.40</t>
  </si>
  <si>
    <t>目录未明确细分IIC/U版本，不假定与历史参数相同。 几何推算只表示文献所述名义截面；有限β、Shafranov位移、限制器位置变化及实际放电可能产生非零δ或κ偏离1。</t>
  </si>
  <si>
    <t>S001 p40 §2.22.3/Table28；名义圆形几何换算</t>
  </si>
  <si>
    <t>【几何推算】S001 p40 §2.22.3/Table28：明确圆形等离子体截面；采用理想圆形边界，κ=b/a=1。名义几何推算，非逐炮平衡实测。
目录未明确细分IIC/U版本，不假定与历史参数相同。 几何推算只表示文献所述名义截面；有限β、Shafranov位移、限制器位置变化及实际放电可能产生非零δ或κ偏离1。</t>
  </si>
  <si>
    <t>【几何推算】S001 p40 §2.22.3/Table28：明确圆形等离子体截面；采用理想圆形边界，δ=(Rgeo−Rtop)/a=0。名义几何推算，非逐炮平衡实测。
目录未明确细分IIC/U版本，不假定与历史参数相同。 几何推算只表示文献所述名义截面；有限β、Shafranov位移、限制器位置变化及实际放电可能产生非零δ或κ偏离1。</t>
  </si>
  <si>
    <t>设计/标称 Bo〔S001 IAEA World Survey 2022 表格; S003 Balshaw 2012 表格〕</t>
  </si>
  <si>
    <t>斜杠后40kA为当时设计值；IAEA2022描述κ=2且a=0.077m，不与本组混用。 本轮另读2005 Table1：R=.362m、a=.077m、κ=1.55、Ip=.035MA，但所谓δa写成−0.3cm。由于其与无量纲δ的定义关系未明确，不填−0.3，也不自行除以a。2016原文κ≈1.41又是另一工况，δ仍未报数值。</t>
  </si>
  <si>
    <t>设计/标称 Bo | CSV 并录值: 0.9 / 1.2 / 1.0/1.2〔S001 IAEA World Survey 2022 表格〕</t>
  </si>
  <si>
    <t>2022目录R、a、Ip一致。 几何推算只表示文献所述名义截面；有限β、Shafranov位移、限制器位置变化及实际放电可能产生非零δ或κ偏离1。</t>
  </si>
  <si>
    <t>S001 p42 §2.24.3；名义圆形几何换算</t>
  </si>
  <si>
    <t>【几何推算】S001 p42 §2.24.3：明确圆截面托卡马克及极向限制器；采用理想圆形边界，δ=(Rgeo−Rtop)/a=0。名义几何推算，非逐炮平衡实测。
2022目录R、a、Ip一致。 几何推算只表示文献所述名义截面；有限β、Shafranov位移、限制器位置变化及实际放电可能产生非零δ或κ偏离1。</t>
  </si>
  <si>
    <t>设计/标称 Bo | CSV 并录值: 0.9 / 1.2〔S001 IAEA World Survey 2022 表格〕</t>
  </si>
  <si>
    <t>S212 Table I</t>
  </si>
  <si>
    <t>https://www-pub.iaea.org/MTCD/Meetings/FEC2008/ft_p3-7.pdf</t>
  </si>
  <si>
    <t>κ95=1.7；δ在表内未附95下标。Ip=0.75MA为设计值。</t>
  </si>
  <si>
    <t>原表状态：1998起on hold；不等同2026已正式取消。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</si>
  <si>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S003 历史汇编p9该装置行/截面类型列；名义圆形几何换算</t>
  </si>
  <si>
    <t>【几何推算】S003 历史汇编p9该装置行/截面类型列：历史汇编明示名义圆截面；尚缺同版本原始平衡测量；采用理想圆形边界，δ=(Rgeo−Rtop)/a=0。名义几何推算，非逐炮平衡实测。
原表状态：1998起on hold；不等同2026已正式取消。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</si>
  <si>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表格 TF | CSV 并录值: 2 / 1.5〔S003 Balshaw 2012 表格〕</t>
  </si>
  <si>
    <t>S219 slide11；1000(DT)列</t>
  </si>
  <si>
    <t>https://conferences.iaea.org/event/98/contributions/12394/attachments/6212/7595/STATUS_OF_DEMO-FNS_DEVELOPMENT_aa1.pdf</t>
  </si>
  <si>
    <t>同一模拟阶段五参数：R3.2m/a1m/κ2/δ.5/Ip5.05MA。slide6名义设计电流5MA，slide5说明κX2.0、κ95=1.9；本行不表示已实现。</t>
  </si>
  <si>
    <t>口径: 设计值(Bt0 = 大半径处环向场)〔RG 表 — Main parameters of the steady-state DEMO-FNS plasma〕</t>
  </si>
  <si>
    <t>S239 2002 DEMO-RF design参数表</t>
  </si>
  <si>
    <t>https://nucleus.iaea.org/sites/fusionportal/Pages/DPWS-6/Presentations/Day%201/7.%20%20Kuteev.pdf</t>
  </si>
  <si>
    <t>Ip约5MA；其余四参数本节未报告。 本轮整组改用上述来源的明确版本／参考工况；上一版参数保存在 previous_parameters 和第二轮变更表，不表示本组达到额定最大值。 2022/2023 IAEA目录的约5MA属于后续概念，不与2002年R7.8m设计合并成一组；2000/2008设计原论文另可追查10.1016/S0920-3796(00)00262-3、10.1016/j.fusengdes.2008.07.041。 上一版值：{"R_m": null, "a_m": null, "kappa": null, "delta": null, "Ip_MA": 5, "parameter_basis": "2022概念设计", "name": "DEMO-RF"}</t>
  </si>
  <si>
    <t>口径: 设计值; 聚变功率 2.44 GW 与文献《Russian concept for a DEMO-S demonstration fusion power reactor》的 2.4 GW 一致〔B. Kuteev — Russian DEMO programme (IAEA DEMO 2019 meeting, NUCLEUS)〕</t>
  </si>
  <si>
    <t>S236 Table1 p10 FNS-ST列</t>
  </si>
  <si>
    <t>https://nstx.pppl.gov/DragNDrop/Scientific_Conferences/IAEA/IAEA_2018/Papers/Menard_OV-P6.pdf</t>
  </si>
  <si>
    <t>概念设计值，非实验实现值。</t>
  </si>
  <si>
    <t>口径: 设计值(约 ~1.5 T); 相关 SCFNS 概念(WO2015155531A1)亦写 "B T=1.5 Tesla"〔Conceptual design requirements and solutions for MW-range fusion neutron source FNS-ST (俄罗斯)〕</t>
  </si>
  <si>
    <t>S003 p.3</t>
  </si>
  <si>
    <t>汇编注明近似最优值，不一定同时实现；未从圆形截面推定κ=1或δ=0。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</si>
  <si>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S003 历史汇编p3该装置行/截面类型列；名义圆形几何换算</t>
  </si>
  <si>
    <t>【几何推算】S003 历史汇编p3该装置行/截面类型列：历史汇编明示名义圆截面；尚缺同版本原始平衡测量；采用理想圆形边界，κ=b/a=1。名义几何推算，非逐炮平衡实测。
汇编注明近似最优值，不一定同时实现；未从圆形截面推定κ=1或δ=0。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</si>
  <si>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历史汇编p3该装置行/截面类型列：历史汇编明示名义圆截面；尚缺同版本原始平衡测量；采用理想圆形边界，δ=(Rgeo−Rtop)/a=0。名义几何推算，非逐炮平衡实测。
汇编注明近似最优值，不一定同时实现；未从圆形截面推定κ=1或δ=0。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</si>
  <si>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2022目录给a=0.087m、Ip=0.04MA，属于不同报告口径，不拼接。 几何推算只表示文献所述名义截面；有限β、Shafranov位移、限制器位置变化及实际放电可能产生非零δ或κ偏离1。</t>
  </si>
  <si>
    <t>S234 §2；名义圆形几何换算</t>
  </si>
  <si>
    <t>https://acris.aalto.fi/ws/portalfiles/portal/76897655/Janhunen_Simulation_of_transport_in_the_FT_2_tokamak_up_to_the_electron_scale_with_GENE.pdf</t>
  </si>
  <si>
    <t>【几何推算】S234 §2：原文说明近圆平衡，并使用同心圆等离子体模型；采用理想圆形边界，δ=(Rgeo−Rtop)/a=0。名义几何推算，非逐炮平衡实测。
2022目录给a=0.087m、Ip=0.04MA，属于不同报告口径，不拼接。 几何推算只表示文献所述名义截面；有限β、Shafranov位移、限制器位置变化及实际放电可能产生非零δ或κ偏离1。</t>
  </si>
  <si>
    <t>设计/标称 Bo | CSV 并录值: 2.2 / 2.3〔S001 IAEA World Survey 2022 表格〕</t>
  </si>
  <si>
    <t>S236 Table1 p10 Compact hybrid FNS/Globus3列</t>
  </si>
  <si>
    <t>同一装置（Globus-3，Ioffe 所紧凑混合式聚变中子源 FNS 方案）；设计值 BT0 = 1.5 T。〔Plasma Physics Reports (2023, DOI 10.1134/S1063780X23601748) — Globus-3 预设计〕</t>
  </si>
  <si>
    <t>S217 slide29</t>
  </si>
  <si>
    <t>https://www.afs.enea.it/project/protosphera/Proto-Sphera_Full_Documents/STW2022-Cina/Presentazioni/GLOBUS-M2_overview2022.pdf</t>
  </si>
  <si>
    <t>κ95=1.8；仅对应温铜线圈方案，不能套用未来升级电流。</t>
  </si>
  <si>
    <t>设计值 BT0 = 1.5 T。Ioffe 研究所下一代球形环（Globus-M 后继）；勿与 Globus-M2 (0.8 T) 混用。〔Plasma Physics Reports (2023, DOI 10.1134/S1063780X23601748) — Globus-3 预设计〕</t>
  </si>
  <si>
    <t>S213 会议摘要</t>
  </si>
  <si>
    <t>https://conferences.iaea.org/event/214/contributions/17587/</t>
  </si>
  <si>
    <t>尺寸、拉长比为约值；280kA为所述实验值。设计电流0.5MA见2022目录。</t>
  </si>
  <si>
    <t>设计/标称 Bo | CSV 并录值: 1 / 3 / 0.7 / 0.8 / 0.9〔S001 IAEA World Survey 2022 表格; S236〕</t>
  </si>
  <si>
    <t>S230 Table I p.1</t>
  </si>
  <si>
    <t>https://nucleus.iaea.org/sites/fusion-portal/Shared%20Documents/Files_Old%20fusion%20portal/Documents/FEC%202014/fec2014-preprints/453_FIPP829.pdf</t>
  </si>
  <si>
    <t>原表κ=1.6/2.2、Ip=350/500kA，斜杠后的2.2、0.5MA为设计值。 本轮整组改用上述来源的明确版本／参考工况；上一版参数保存在 previous_parameters 和第二轮变更表，不表示本组达到额定最大值。 上一版值：{"R_m": 0.36, "a_m": 0.24, "kappa": 1.6, "delta": null, "Ip_MA": 0.35, "parameter_basis": "2005原始调查运行参数", "name": "Globus-M"}</t>
  </si>
  <si>
    <t>S229 Table I p.3</t>
  </si>
  <si>
    <t>https://lib.physcon.ru/file?id=20a745b01595</t>
  </si>
  <si>
    <t>2022目录给a=0.08m、Ip=0.18MA；能力与实验工况有待逐次核实。 本轮整组改用上述来源的明确版本／参考工况；上一版参数保存在 previous_parameters 和第二轮变更表，不表示本组达到额定最大值。 该组是求解逆平衡时指定的等离子体参数，不是实验最大电流。历史资料中的κ≈2可能涉及腔体定义，故不与本组混用。 上一版值：{"R_m": 0.16, "a_m": 0.084, "kappa": 2, "delta": null, "Ip_MA": 0.15, "parameter_basis": "2005原始调查参数", "name": "GUTTA"}</t>
  </si>
  <si>
    <t>S214 Table 1</t>
  </si>
  <si>
    <t>https://conferences.iaea.org/event/214/contributions/17580/</t>
  </si>
  <si>
    <t>a为水平小半径；垂直半径0.86m，Ip只取环向电流，Ip为总等离子体电流。</t>
  </si>
  <si>
    <t>口径: 设计值; 另一来源(neimagazine)写 "Toroidal field Bt &lt; 13 T"〔IAEA conference contribution 17434 — IGNITOR〕</t>
  </si>
  <si>
    <t>S060 p153 Table2</t>
  </si>
  <si>
    <t>文中语句〔S060〕</t>
  </si>
  <si>
    <t>S209 Fig.1 p.2</t>
  </si>
  <si>
    <t>https://fire.pppl.gov/nf_50th_5_Smirnov.pdf</t>
  </si>
  <si>
    <t>原文图1给R67cm、a17cm、Ip100kA；与Balshaw(0.63/0.13/0.04)不同，未取平均。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</si>
  <si>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S003 历史汇编p8该装置行/截面类型列；名义圆形几何换算</t>
  </si>
  <si>
    <t>【几何推算】S003 历史汇编p8该装置行/截面类型列：历史汇编明示名义圆截面；尚缺同版本原始平衡测量；采用理想圆形边界，κ=b/a=1。名义几何推算，非逐炮平衡实测。
原文图1给R67cm、a17cm、Ip100kA；与Balshaw(0.63/0.13/0.04)不同，未取平均。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</si>
  <si>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历史汇编p8该装置行/截面类型列：历史汇编明示名义圆截面；尚缺同版本原始平衡测量；采用理想圆形边界，δ=(Rgeo−Rtop)/a=0。名义几何推算，非逐炮平衡实测。
原文图1给R67cm、a17cm、Ip100kA；与Balshaw(0.63/0.13/0.04)不同，未取平均。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</si>
  <si>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原文Ip=400/820kA：400为所报已实现值，820为当时未达设计值；不将二者合成区间。 δ95=0为2014表中直接报告的名义值。该表另用a=0.30m，且T-10电流行在MA列写390（明显单位冲突），故本行R/a/Ip仍保持2005原文组；不声称本行所有数值属于同一次放电。</t>
  </si>
  <si>
    <t>S230 Table I p.1；δ95=0名义基本参数</t>
  </si>
  <si>
    <t>S003 p.8</t>
  </si>
  <si>
    <t>【几何推算】S003 历史汇编p8该装置行/截面类型列：历史汇编明示名义圆截面；尚缺同版本原始平衡测量；采用理想圆形边界，κ=b/a=1。名义几何推算，非逐炮平衡实测。
汇编注明近似最优值，不一定同时实现；未从圆形截面推定κ=1或δ=0。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</si>
  <si>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历史汇编p8该装置行/截面类型列：历史汇编明示名义圆截面；尚缺同版本原始平衡测量；采用理想圆形边界，δ=(Rgeo−Rtop)/a=0。名义几何推算，非逐炮平衡实测。
汇编注明近似最优值，不一定同时实现；未从圆形截面推定κ=1或δ=0。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</si>
  <si>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2022目录列Ip=0.1MA，非唯一实际电流。 几何推算只表示文献所述名义截面；有限β、Shafranov位移、限制器位置变化及实际放电可能产生非零δ或κ偏离1。</t>
  </si>
  <si>
    <t>S235 p1473 §1；名义圆形几何换算</t>
  </si>
  <si>
    <t>https://info.fusion.ciemat.es/OCS/EPS2001/pdfs/P4.037.pdf</t>
  </si>
  <si>
    <t>【几何推算】S235 p1473 §1：原团队将T-11M明确称为圆截面托卡马克；采用理想圆形边界，δ=(Rgeo−Rtop)/a=0。名义几何推算，非逐炮平衡实测。
2022目录列Ip=0.1MA，非唯一实际电流。 几何推算只表示文献所述名义截面；有限β、Shafranov位移、限制器位置变化及实际放电可能产生非零δ或κ偏离1。</t>
  </si>
  <si>
    <t>设计/标称 Bo | CSV 并录值: 1 / 1.2 / 1.5〔S001 IAEA World Survey 2022 表格〕</t>
  </si>
  <si>
    <t>汇编注明近似最优值，不一定同时实现；未从圆形截面推定κ=1或δ=0。</t>
  </si>
  <si>
    <t>表格 TF | CSV 并录值: 1 / 1.0〔S003 Balshaw 2012 表格〕</t>
  </si>
  <si>
    <t>近似最优参数，不一定同时实现。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</si>
  <si>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历史汇编p8该装置行/截面类型列：历史汇编明示名义圆截面；尚缺同版本原始平衡测量；采用理想圆形边界，κ=b/a=1。名义几何推算，非逐炮平衡实测。
近似最优参数，不一定同时实现。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</si>
  <si>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历史汇编p8该装置行/截面类型列：历史汇编明示名义圆截面；尚缺同版本原始平衡测量；采用理想圆形边界，δ=(Rgeo−Rtop)/a=0。名义几何推算，非逐炮平衡实测。
近似最优参数，不一定同时实现。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</si>
  <si>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S227 Table1</t>
  </si>
  <si>
    <t>https://citeseerx.ist.psu.edu/document?doi=f6739b240d2e196483e1e75c23b5a9d03a369fc0&amp;repid=rep1&amp;type=pdf</t>
  </si>
  <si>
    <t>第一阶段大半径1.06m、小半径.32m、电流300kA；其余压缩阶段另列。</t>
  </si>
  <si>
    <t>同表备注文字口径(中心场); 与表列 2T 自相矛盾, 低置信; 装置未运行 | CSV 并录值: 2 / 12〔S003 Balshaw 2012 表格(人工直读补漏)〕</t>
  </si>
  <si>
    <t>中间Stage2 R1.06m/a.20m/Ip.48MA；不能把初始尺寸与最终电流合成一套。</t>
  </si>
  <si>
    <t>S211 slide 2</t>
  </si>
  <si>
    <t>https://conferences.iaea.org/event/244/contributions/19773/attachments/10663/15452/khayrutdinov_EN_NRCKI.pdf</t>
  </si>
  <si>
    <t>κ95和δ95。2025官方实验报告继续给设计电流2MA；不是已实现电流。IAEA2022表55的R=2.43、a=.42、Ip=1等不采用。</t>
  </si>
  <si>
    <t>设计/标称 Bo | CSV 并录值: 2 / 3.5〔S001 IAEA World Survey 2022 表格〕</t>
  </si>
  <si>
    <t>S209 Fig.7 p.6</t>
  </si>
  <si>
    <t>图7标a=78cm，设计Ip=1.4MA、已达到1MA；正文提实验0.4–1MA。其他文献a=0.70m，口径差异待查，不替换成T-15MD参数。 几何推算只表示文献所述名义截面；有限β、Shafranov位移、限制器位置变化及实际放电可能产生非零δ或κ偏离1。</t>
  </si>
  <si>
    <t>S233 pp39–40 引言；名义圆形几何换算</t>
  </si>
  <si>
    <t>https://ijassa.ipu.ru/index.php/ijassa/article/download/645/465</t>
  </si>
  <si>
    <t>【几何推算】S233 pp39–40 引言：研究团队综述明确将该装置归入圆截面托卡马克；采用理想圆形边界，κ=b/a=1。名义几何推算，非逐炮平衡实测。
图7标a=78cm，设计Ip=1.4MA、已达到1MA；正文提实验0.4–1MA。其他文献a=0.70m，口径差异待查，不替换成T-15MD参数。 几何推算只表示文献所述名义截面；有限β、Shafranov位移、限制器位置变化及实际放电可能产生非零δ或κ偏离1。</t>
  </si>
  <si>
    <t>【几何推算】S233 pp39–40 引言：研究团队综述明确将该装置归入圆截面托卡马克；采用理想圆形边界，δ=(Rgeo−Rtop)/a=0。名义几何推算，非逐炮平衡实测。
图7标a=78cm，设计Ip=1.4MA、已达到1MA；正文提实验0.4–1MA。其他文献a=0.70m，口径差异待查，不替换成T-15MD参数。 几何推算只表示文献所述名义截面；有限β、Shafranov位移、限制器位置变化及实际放电可能产生非零δ或κ偏离1。</t>
  </si>
  <si>
    <t>苏联超导（Nb3Sn）装置的设计环向场 3.6 T；报道称实际未达满场运行（运行值更低）。注意勿与 T-15MD（2 T）混淆。〔Т-15 (реактор) — Википедия〕</t>
  </si>
  <si>
    <t>S209 p.5</t>
  </si>
  <si>
    <t>参数在FT-1继承设备段中明确指T-2。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</si>
  <si>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历史汇编p8该装置行/截面类型列：历史汇编明示名义圆截面；尚缺同版本原始平衡测量；采用理想圆形边界，κ=b/a=1。名义几何推算，非逐炮平衡实测。
参数在FT-1继承设备段中明确指T-2。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</si>
  <si>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历史汇编p8该装置行/截面类型列：历史汇编明示名义圆截面；尚缺同版本原始平衡测量；采用理想圆形边界，δ=(Rgeo−Rtop)/a=0。名义几何推算，非逐炮平衡实测。
参数在FT-1继承设备段中明确指T-2。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</si>
  <si>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表格 TF | CSV 并录值: 1 / 1.1〔S003 Balshaw 2012 表格〕</t>
  </si>
  <si>
    <t>S228 UWFDM129 §3.4 printed5 / PDF9，扫描原文图像核验</t>
  </si>
  <si>
    <t>https://fti.neep.wisc.edu/fti.neep.wisc.edu/pdf/fdm129.pdf</t>
  </si>
  <si>
    <t>原始报告选定方案，Ip为最大设计电流。 几何推算只表示文献所述名义截面；有限β、Shafranov位移、限制器位置变化及实际放电可能产生非零δ或κ偏离1。</t>
  </si>
  <si>
    <t>S238 p1 §0（官方报告检索文本）；名义圆形几何换算</t>
  </si>
  <si>
    <t>https://pure.mpg.de/pubman/item/item_2488467_9/component/file_2564528/IPP_report_2017_5_Reflections_on_T20_preliminary_study_1975.pdf</t>
  </si>
  <si>
    <t>【几何推算】S238 p1 §0（官方报告检索文本）：明确1975 T-20为名义圆截面设计；采用理想圆形边界，κ=b/a=1。名义几何推算，非逐炮平衡实测。
原始报告选定方案，Ip为最大设计电流。 几何推算只表示文献所述名义截面；有限β、Shafranov位移、限制器位置变化及实际放电可能产生非零δ或κ偏离1。</t>
  </si>
  <si>
    <t>【几何推算】S238 p1 §0（官方报告检索文本）：明确1975 T-20为名义圆截面设计；采用理想圆形边界，δ=(Rgeo−Rtop)/a=0。名义几何推算，非逐炮平衡实测。
原始报告选定方案，Ip为最大设计电流。 几何推算只表示文献所述名义截面；有限β、Shafranov位移、限制器位置变化及实际放电可能产生非零δ或κ偏离1。</t>
  </si>
  <si>
    <t>口径: 1975 设计值(轴上); 附录双列对照 MTR=5T/T-20=3.5T, 同表 R5/a2/Ip6MA; Table 1 行 R5.0/a2.0/Ip6/Bt3.5 交叉印证(列位经 Tore Supra=3.6T 标定)〔39_Alikaev_2017_Reflections_on_T20 (IPP 2017-5, 原始 UWFDM-129 1975) — papers/聚变堆工程与设计/堆设计概念_CFETR_DEMO_ARC_SPARC/〕</t>
  </si>
  <si>
    <t>S209 Fig.2 p.3</t>
  </si>
  <si>
    <t>原文图2给R100cm、a15cm、Ip150kA；与T-3a不同历史版本。 几何推算只表示文献所述名义截面；有限β、Shafranov位移、限制器位置变化及实际放电可能产生非零δ或κ偏离1。</t>
  </si>
  <si>
    <t>【几何推算】S233 pp39–40 引言：研究团队综述明确将该装置归入圆截面托卡马克；采用理想圆形边界，κ=b/a=1。名义几何推算，非逐炮平衡实测。
原文图2给R100cm、a15cm、Ip150kA；与T-3a不同历史版本。 几何推算只表示文献所述名义截面；有限β、Shafranov位移、限制器位置变化及实际放电可能产生非零δ或κ偏离1。</t>
  </si>
  <si>
    <t>【几何推算】S233 pp39–40 引言：研究团队综述明确将该装置归入圆截面托卡马克；采用理想圆形边界，δ=(Rgeo−Rtop)/a=0。名义几何推算，非逐炮平衡实测。
原文图2给R100cm、a15cm、Ip150kA；与T-3a不同历史版本。 几何推算只表示文献所述名义截面；有限β、Shafranov位移、限制器位置变化及实际放电可能产生非零δ或κ偏离1。</t>
  </si>
  <si>
    <t>表格 TF | CSV 并录值: 4 / 2.5〔S003 Balshaw 2012 表格〕</t>
  </si>
  <si>
    <t>S215 pp.306–307</t>
  </si>
  <si>
    <t>https://www.jetp.ras.ru/cgi-bin/dn/e_034_02_0306.pdf</t>
  </si>
  <si>
    <t>原论文同一实验描述：R100cm、a20cm、放电电流120kA。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</si>
  <si>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历史汇编p8该装置行/截面类型列：历史汇编明示名义圆截面；尚缺同版本原始平衡测量；采用理想圆形边界，κ=b/a=1。名义几何推算，非逐炮平衡实测。
原论文同一实验描述：R100cm、a20cm、放电电流120kA。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</si>
  <si>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历史汇编p8该装置行/截面类型列：历史汇编明示名义圆截面；尚缺同版本原始平衡测量；采用理想圆形边界，δ=(Rgeo−Rtop)/a=0。名义几何推算，非逐炮平衡实测。
原论文同一实验描述：R100cm、a20cm、放电电流120kA。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</si>
  <si>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Balshaw 将 T-3(后称 T-3a)记同一行, B=4T 为取整口径; 文献常见 3.5-3.8T(35-38kG) | CSV 并录值: 4 / 3.8〔S003 Balshaw 2012 表格(人工直读补漏); [E]_YuanEtAl_2011_托卡马克装置工程基础〕</t>
  </si>
  <si>
    <t>S142 Table 1, PDF p.3</t>
  </si>
  <si>
    <t>https://fire.pppl.gov/wash_1295.pdf</t>
  </si>
  <si>
    <t>原表单位cm和kA。 几何推算只表示文献所述名义截面；有限β、Shafranov位移、限制器位置变化及实际放电可能产生非零δ或κ偏离1。</t>
  </si>
  <si>
    <t>【几何推算】S233 pp39–40 引言：研究团队综述明确将该装置归入圆截面托卡马克；采用理想圆形边界，κ=b/a=1。名义几何推算，非逐炮平衡实测。
原表单位cm和kA。 几何推算只表示文献所述名义截面；有限β、Shafranov位移、限制器位置变化及实际放电可能产生非零δ或κ偏离1。</t>
  </si>
  <si>
    <t>【几何推算】S233 pp39–40 引言：研究团队综述明确将该装置归入圆截面托卡马克；采用理想圆形边界，δ=(Rgeo−Rtop)/a=0。名义几何推算，非逐炮平衡实测。
原表单位cm和kA。 几何推算只表示文献所述名义截面；有限β、Shafranov位移、限制器位置变化及实际放电可能产生非零δ或κ偏离1。</t>
  </si>
  <si>
    <t>表格 TF | CSV 并录值: 5 / 5.0〔S003 Balshaw 2012 表格〕</t>
  </si>
  <si>
    <t>原表单位cm和kA。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</si>
  <si>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历史汇编p8该装置行/截面类型列：历史汇编明示名义圆截面；尚缺同版本原始平衡测量；采用理想圆形边界，κ=b/a=1。名义几何推算，非逐炮平衡实测。
原表单位cm和kA。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</si>
  <si>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历史汇编p8该装置行/截面类型列：历史汇编明示名义圆截面；尚缺同版本原始平衡测量；采用理想圆形边界，δ=(Rgeo−Rtop)/a=0。名义几何推算，非逐炮平衡实测。
原表单位cm和kA。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</si>
  <si>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S216 printed p.16</t>
  </si>
  <si>
    <t>https://publikationen.bibliothek.kit.edu/270010851/3811643</t>
  </si>
  <si>
    <t>原文大直径2.5m、等离子体直径0.6m均除2换算；电流0.5MA为计划值。与后续运行参数R≈1.2m不同。 几何推算只表示文献所述名义截面；有限β、Shafranov位移、限制器位置变化及实际放电可能产生非零δ或κ偏离1。</t>
  </si>
  <si>
    <t>【几何推算】S233 pp39–40 引言：研究团队综述明确将该装置归入圆截面托卡马克；采用理想圆形边界，κ=b/a=1。名义几何推算，非逐炮平衡实测。
原文大直径2.5m、等离子体直径0.6m均除2换算；电流0.5MA为计划值。与后续运行参数R≈1.2m不同。 几何推算只表示文献所述名义截面；有限β、Shafranov位移、限制器位置变化及实际放电可能产生非零δ或κ偏离1。</t>
  </si>
  <si>
    <t>【几何推算】S233 pp39–40 引言：研究团队综述明确将该装置归入圆截面托卡马克；采用理想圆形边界，δ=(Rgeo−Rtop)/a=0。名义几何推算，非逐炮平衡实测。
原文大直径2.5m、等离子体直径0.6m均除2换算；电流0.5MA为计划值。与后续运行参数R≈1.2m不同。 几何推算只表示文献所述名义截面；有限β、Shafranov位移、限制器位置变化及实际放电可能产生非零δ或κ偏离1。</t>
  </si>
  <si>
    <t>表格 TF | CSV 并录值: 3 / 3.0〔S003 Balshaw 2012 表格〕</t>
  </si>
  <si>
    <t>S209 Fig.6 p.6</t>
  </si>
  <si>
    <t>原图给R28cm、a4.8cm、Ip24kA；D形图不能直接推算κ、δ。</t>
  </si>
  <si>
    <t>S003 p8 T-9行与说明</t>
  </si>
  <si>
    <t>原表单位cm和kA。 Balshaw p.8明确Finger-Ring即T-9，已合并重复名录条目。 本轮整组改用上述来源的明确版本／参考工况；上一版参数保存在 previous_parameters 和第二轮变更表，不表示本组达到额定最大值。 上一版值：{"R_m": 0.36, "a_m": null, "kappa": null, "delta": null, "Ip_MA": 0.05, "parameter_basis": "1974设计参数", "name": "T-9 / Finger-Ring（1974设计表）"}</t>
  </si>
  <si>
    <t>S003 p.10</t>
  </si>
  <si>
    <t>S003 历史汇编p10该装置行/截面类型列；名义圆形几何换算</t>
  </si>
  <si>
    <t>【几何推算】S003 历史汇编p10该装置行/截面类型列：历史汇编明示名义圆截面；尚缺同版本原始平衡测量；采用理想圆形边界，κ=b/a=1。名义几何推算，非逐炮平衡实测。
汇编注明近似最优值，不一定同时实现；未从圆形截面推定κ=1或δ=0。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</si>
  <si>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历史汇编p10该装置行/截面类型列：历史汇编明示名义圆截面；尚缺同版本原始平衡测量；采用理想圆形边界，δ=(Rgeo−Rtop)/a=0。名义几何推算，非逐炮平衡实测。
汇编注明近似最优值，不一定同时实现；未从圆形截面推定κ=1或δ=0。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</si>
  <si>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中低置信：数值出自同一装置在布拉格的 CASTOR 阶段参数表（TM-1 于 1977 年改建为 TM-1-MH/CASTOR）；莫斯科原始 TM-1 期的 Bt 未单独查到。〔IPP CAS — History: Tokamak CASTOR (ex-TM-1/TM-1-MH)〕</t>
  </si>
  <si>
    <t>R=0.40 a=0.08 Ip=0.03MA; TM-1 的射频加热改型(后演化为 CASTOR); 设计口径〔S003 Balshaw 2012 表格(人工直读补漏)〕</t>
  </si>
  <si>
    <t>【几何推算】S003 历史汇编p10该装置行/截面类型列：历史汇编明示名义圆截面；尚缺同版本原始平衡测量；采用理想圆形边界，κ=b/a=1。名义几何推算，非逐炮平衡实测。
原表单位cm和kA。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</si>
  <si>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历史汇编p10该装置行/截面类型列：历史汇编明示名义圆截面；尚缺同版本原始平衡测量；采用理想圆形边界，δ=(Rgeo−Rtop)/a=0。名义几何推算，非逐炮平衡实测。
原表单位cm和kA。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</si>
  <si>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表格 TF | CSV 并录值: 2.5 / 4.0〔S003 Balshaw 2012 表格〕</t>
  </si>
  <si>
    <t>【几何推算】S003 历史汇编p10该装置行/截面类型列：历史汇编明示名义圆截面；尚缺同版本原始平衡测量；采用理想圆形边界，κ=b/a=1。名义几何推算，非逐炮平衡实测。
近似最优参数，不一定同时实现。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</si>
  <si>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历史汇编p10该装置行/截面类型列：历史汇编明示名义圆截面；尚缺同版本原始平衡测量；采用理想圆形边界，δ=(Rgeo−Rtop)/a=0。名义几何推算，非逐炮平衡实测。
近似最优参数，不一定同时实现。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</si>
  <si>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S218 p.232</t>
  </si>
  <si>
    <t>https://gc.lebedev.ru/wp-content/uploads/2025/11/FPS_full_web.pdf?v=3</t>
  </si>
  <si>
    <t>全文列同一组设计参数；κ、δ磁面未明确。</t>
  </si>
  <si>
    <t>OpenAlex 检索〔OpenAlex 10.1134/s1063780x21110180; OpenAlex 10.1134/s1063780x21110192〕</t>
  </si>
  <si>
    <t>已核实存在，五项参数继续查原始文献；不从后继装置反推。</t>
  </si>
  <si>
    <t>S003 p.11</t>
  </si>
  <si>
    <t>S003 历史汇编p11该装置行/截面类型列；名义圆形几何换算</t>
  </si>
  <si>
    <t>【几何推算】S003 历史汇编p11该装置行/截面类型列：历史汇编明示名义圆截面；尚缺同版本原始平衡测量；采用理想圆形边界，κ=b/a=1。名义几何推算，非逐炮平衡实测。
汇编注明近似最优值，不一定同时实现；未从圆形截面推定κ=1或δ=0。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</si>
  <si>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历史汇编p11该装置行/截面类型列：历史汇编明示名义圆截面；尚缺同版本原始平衡测量；采用理想圆形边界，δ=(Rgeo−Rtop)/a=0。名义几何推算，非逐炮平衡实测。
汇编注明近似最优值，不一定同时实现；未从圆形截面推定κ=1或δ=0。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</si>
  <si>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S003 p11 TUMAN-2行</t>
  </si>
  <si>
    <t>原表单位cm和kA。小截面给10×5cm，未指明水平/垂直，a留空。 本轮整组改用上述来源的明确版本／参考工况；上一版参数保存在 previous_parameters 和第二轮变更表，不表示本组达到额定最大值。 几何推算只表示文献所述名义截面；有限β、Shafranov位移、限制器位置变化及实际放电可能产生非零δ或κ偏离1。 1974 WASH1295设计表的10×5cm截面未明确水平/垂直定义，故不用它推算a；本轮整组另采明确给出a的历史运行表。 上一版值：{"R_m": 0.4, "a_m": null, "kappa": null, "delta": null, "Ip_MA": 0.01, "parameter_basis": "1974设计参数", "name": "TUMAN-2"}</t>
  </si>
  <si>
    <t>S003 p11 TUMAN-2行/截面类型列；名义圆形几何换算</t>
  </si>
  <si>
    <t>【几何推算】S003 p11 TUMAN-2行/截面类型列：历史汇编明确圆形限制器；采用理想圆形边界，κ=b/a=1。名义几何推算，非逐炮平衡实测。
原表单位cm和kA。小截面给10×5cm，未指明水平/垂直，a留空。 本轮整组改用上述来源的明确版本／参考工况；上一版参数保存在 previous_parameters 和第二轮变更表，不表示本组达到额定最大值。 几何推算只表示文献所述名义截面；有限β、Shafranov位移、限制器位置变化及实际放电可能产生非零δ或κ偏离1。 1974 WASH1295设计表的10×5cm截面未明确水平/垂直定义，故不用它推算a；本轮整组另采明确给出a的历史运行表。 上一版值：{"R_m": 0.4, "a_m": null, "kappa": null, "delta": null, "Ip_MA": 0.01, "parameter_basis": "1974设计参数", "name": "TUMAN-2"}</t>
  </si>
  <si>
    <t>【几何推算】S003 p11 TUMAN-2行/截面类型列：历史汇编明确圆形限制器；采用理想圆形边界，δ=(Rgeo−Rtop)/a=0。名义几何推算，非逐炮平衡实测。
原表单位cm和kA。小截面给10×5cm，未指明水平/垂直，a留空。 本轮整组改用上述来源的明确版本／参考工况；上一版参数保存在 previous_parameters 和第二轮变更表，不表示本组达到额定最大值。 几何推算只表示文献所述名义截面；有限β、Shafranov位移、限制器位置变化及实际放电可能产生非零δ或κ偏离1。 1974 WASH1295设计表的10×5cm截面未明确水平/垂直定义，故不用它推算a；本轮整组另采明确给出a的历史运行表。 上一版值：{"R_m": 0.4, "a_m": null, "kappa": null, "delta": null, "Ip_MA": 0.01, "parameter_basis": "1974设计参数", "name": "TUMAN-2"}</t>
  </si>
  <si>
    <t>表格 TF | CSV 并录值: 1.2 / 2.0〔S003 Balshaw 2012 表格〕</t>
  </si>
  <si>
    <t xml:space="preserve"> 几何推算只表示文献所述名义截面；有限β、Shafranov位移、限制器位置变化及实际放电可能产生非零δ或κ偏离1。</t>
  </si>
  <si>
    <t>S060 TUMAN-3M原文pp7–8 §§1–2；名义圆形几何换算</t>
  </si>
  <si>
    <t>【几何推算】S060 TUMAN-3M原文pp7–8 §§1–2：明确圆形限制器配置／圆截面等离子体；采用理想圆形边界，κ=b/a=1。名义几何推算，非逐炮平衡实测。
 几何推算只表示文献所述名义截面；有限β、Shafranov位移、限制器位置变化及实际放电可能产生非零δ或κ偏离1。</t>
  </si>
  <si>
    <t>【几何推算】S060 TUMAN-3M原文pp7–8 §§1–2：明确圆形限制器配置／圆截面等离子体；采用理想圆形边界，δ=(Rgeo−Rtop)/a=0。名义几何推算，非逐炮平衡实测。
 几何推算只表示文献所述名义截面；有限β、Shafranov位移、限制器位置变化及实际放电可能产生非零δ或κ偏离1。</t>
  </si>
  <si>
    <t>表格 TF | CSV 并录值: 1.2 / 3.0〔S003 Balshaw 2012 表格〕</t>
  </si>
  <si>
    <t>2022目录为R=0.53m、a=0.22m；保留同一来源组。 几何推算只表示文献所述名义截面；有限β、Shafranov位移、限制器位置变化及实际放电可能产生非零δ或κ偏离1。</t>
  </si>
  <si>
    <t>【几何推算】S060 TUMAN-3M原文pp7–8 §§1–2：明确圆形限制器配置／圆截面等离子体；采用理想圆形边界，δ=(Rgeo−Rtop)/a=0。名义几何推算，非逐炮平衡实测。
2022目录为R=0.53m、a=0.22m；保留同一来源组。 几何推算只表示文献所述名义截面；有限β、Shafranov位移、限制器位置变化及实际放电可能产生非零δ或κ偏离1。</t>
  </si>
  <si>
    <t>设计/标称 Bo | CSV 并录值: 1.2 / 1.0/3.0〔S001 IAEA World Survey 2022 表格〕</t>
  </si>
  <si>
    <t>S003 p11 TV-1行</t>
  </si>
  <si>
    <t>概念设计值，非实验实现值。 几何推算只表示文献所述名义截面；有限β、Shafranov位移、限制器位置变化及实际放电可能产生非零δ或κ偏离1。</t>
  </si>
  <si>
    <t>S003 p11 TV-1行/截面类型列；名义圆形几何换算</t>
  </si>
  <si>
    <t>【几何推算】S003 p11 TV-1行/截面类型列：历史汇编明确圆形限制器；采用理想圆形边界，κ=b/a=1。名义几何推算，非逐炮平衡实测。
概念设计值，非实验实现值。 几何推算只表示文献所述名义截面；有限β、Shafranov位移、限制器位置变化及实际放电可能产生非零δ或κ偏离1。</t>
  </si>
  <si>
    <t>【几何推算】S003 p11 TV-1行/截面类型列：历史汇编明确圆形限制器；采用理想圆形边界，δ=(Rgeo−Rtop)/a=0。名义几何推算，非逐炮平衡实测。
概念设计值，非实验实现值。 几何推算只表示文献所述名义截面；有限β、Shafranov位移、限制器位置变化及实际放电可能产生非零δ或κ偏离1。</t>
  </si>
  <si>
    <t>S003 p11 TVD行</t>
  </si>
  <si>
    <t>已核实存在，五项参数继续查原始文献；不从后继装置反推。 历史表小半径写0.08×0.16m，方向／版本未明确，与κ4不能强拼；小半径继续空缺。</t>
  </si>
  <si>
    <t>S001 p41 §2.23.1：TVD原等离子体κ4，迁往Damavand后降为2</t>
  </si>
  <si>
    <t>a=0.08×0.16(拉长比4); 同表备注: TVD 即后来运抵伊朗的 Damavand(改造后 1.2T)〔S003 Balshaw 2012 表格(人工直读补漏)〕</t>
  </si>
  <si>
    <t>该名录称1992年后未运行；与早期Kurchatov TMP不同。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</si>
  <si>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历史汇编p10该装置行/截面类型列：历史汇编明示名义圆截面；尚缺同版本原始平衡测量；采用理想圆形边界，κ=b/a=1。名义几何推算，非逐炮平衡实测。
该名录称1992年后未运行；与早期Kurchatov TMP不同。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</si>
  <si>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历史汇编p10该装置行/截面类型列：历史汇编明示名义圆截面；尚缺同版本原始平衡测量；采用理想圆形边界，δ=(Rgeo−Rtop)/a=0。名义几何推算，非逐炮平衡实测。
该名录称1992年后未运行；与早期Kurchatov TMP不同。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</si>
  <si>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S003 p.1</t>
  </si>
  <si>
    <t>汇编近似最优参数，不能断言同时实现； κ、δ按原文圆形等离子体构型的理想名义值推算；不能视为所有放电边界均精确圆形。</t>
  </si>
  <si>
    <t>S117 Figure8 caption；圆截面几何推算</t>
  </si>
  <si>
    <t>https://colin-windsor.github.io/HomePage/fusrev/fusrev.htm</t>
  </si>
  <si>
    <t>【几何推算】原文明确CLEO等离子体横截面为圆形；理想名义模型κ=b/a=1，非逐炮平衡测量。
汇编近似最优参数，不能断言同时实现； κ、δ按原文圆形等离子体构型的理想名义值推算；不能视为所有放电边界均精确圆形。</t>
  </si>
  <si>
    <t>【几何推算】原文明确CLEO等离子体横截面为圆形；理想名义模型δ=(Rgeo-Rtop)/a=0，非逐炮平衡测量。
汇编近似最优参数，不能断言同时实现； κ、δ按原文圆形等离子体构型的理想名义值推算；不能视为所有放电边界均精确圆形。</t>
  </si>
  <si>
    <t>S119 §2 p.A176</t>
  </si>
  <si>
    <t>https://www.researchgate.net/publication/224862866_Inboard_gas_puffing_and_behaviour_of_H-mode_edge_parameters_in_COMPASS-D</t>
  </si>
  <si>
    <t>原名录R=.56,a=.21,Ip=.32MA保存在previous_parameters；采用原始2002实验组，κδ磁面比例未特别注明，不等同最大能力；同文Figure1/3列#30925、#30927等参考炮，但Figure2为多炮统计，不强指某一炮时刻。</t>
  </si>
  <si>
    <t>S119 Figure2 p.A178</t>
  </si>
  <si>
    <t>表格 TF | CSV 并录值: 1.2 / 2.1〔S003 Balshaw 2012 表格〕</t>
  </si>
  <si>
    <t>S003 p.2</t>
  </si>
  <si>
    <t>S003 p.2 Config.列；圆截面几何推算</t>
  </si>
  <si>
    <t>【几何推算】历史装置汇编Config.列明确Circular的名义等离子体构型，非从真空室或线圈形状推断；理想名义模型κ=b/a=1，非逐炮平衡测量。
汇编近似最优参数，不能断言同时实现； κ、δ按原文圆形等离子体构型的理想名义值推算；不能视为所有放电边界均精确圆形。</t>
  </si>
  <si>
    <t>【几何推算】历史装置汇编Config.列明确Circular的名义等离子体构型，非从真空室或线圈形状推断；理想名义模型δ=(Rgeo-Rtop)/a=0，非逐炮平衡测量。
汇编近似最优参数，不能断言同时实现； κ、δ按原文圆形等离子体构型的理想名义值推算；不能视为所有放电边界均精确圆形。</t>
  </si>
  <si>
    <t>S111 0d TIME=48.7s；EU_S45变量定义</t>
  </si>
  <si>
    <t>https://tokamak-profiledb.ccfe.ac.uk/PUB98/iterprofiledatabase1998/jet/19649/pr98_jet_19649_0d.dat</t>
  </si>
  <si>
    <t>第二轮以五项同组公开参考放电替换主数值，不能视为装置最大值或唯一几何。原额定/综述组R=2.96m、a=1.25m、κ=未报告、δ=未报告、Ip=5MA，原来源见previous_parameters。1989-06-03，TRANSP run5920；铍belt limiter L模；原IP=-3.054e6 A，主表仅将电流方向约定换为幅值3.054 MA，保留原符号说明。κ和δ来自FAST给定边界的TRANSP输出。 原记录说明：2023年12月停止等离子体运行，进入退役再利用；a为水平小半径；代表尺寸和最大电流并不定义单一工况。</t>
  </si>
  <si>
    <t>设计/标称 Bo | CSV 并录值: 2.7 / 3.4 / 3.5 / 3.8 / 0.8–3.8〔S001 IAEA World Survey 2022 表格〕</t>
  </si>
  <si>
    <t>S073 p.40 Table 1</t>
  </si>
  <si>
    <t>https://scientific-publications.ukaea.uk/wp-content/uploads/UKAEA-CCFE-PR2240.PDF</t>
  </si>
  <si>
    <t>与升级版分开。</t>
  </si>
  <si>
    <t>运行值(#46945) | CSV 并录值: 0.51 / 0.52〔13_Aboutaleb_2024_first-measurements-of-energetic-protons-in-mega-amp-spherical-tokamak〕</t>
  </si>
  <si>
    <t>S067 p.5 Technical data of MAST-U</t>
  </si>
  <si>
    <t>https://users.euro-fusion.org/wp-content/uploads/2025/09/Annex2-Overview_of_WPTE_devices_26_27.pdf</t>
  </si>
  <si>
    <t>采用2026–27实验能力表；IAEA2022表中R=.85、a=.65、Ip=2 MA是另一口径，不混用。2026年4月后计划长停机升级，实际执行待核实。</t>
  </si>
  <si>
    <t>2 MA是综述预计能力，另行保留2026–27当前可用能力1 MA；两条记录是同一物理装置的不同参数口径，不能计为两台。</t>
  </si>
  <si>
    <t>S093 p.3 Table 1</t>
  </si>
  <si>
    <t>https://arxiv.org/pdf/2512.16604</t>
  </si>
  <si>
    <t>A=2.15；a未直列，按规则不反算入表。后文重构Ip=13.9 MA为另一情景；此处采用Table1的13.6 MA。 第二轮按同一设计点R/A补a，派生精度见derived_fields。</t>
  </si>
  <si>
    <t>S093 Table1；本轮由R/A换算</t>
  </si>
  <si>
    <t>【几何推算】S093 Table1同一设计点R=4.25m、A=2.15；a=R/A≈1.98m；输入已舍入，换算非实测。
A=2.15；a未直列，按规则不反算入表。后文重构Ip=13.9 MA为另一情景；此处采用Table1的13.6 MA。 第二轮按同一设计点R/A补a，派生精度见derived_fields。</t>
  </si>
  <si>
    <t>口径: 设计值(2024 年 R=4.25 m 设计点, 磁场 4.25 T)〔Tokamak Energy — first ST-E1 design details (2024-10-15)〕</t>
  </si>
  <si>
    <t>A=2.30；a未直列，不反算入表；低环径比球形路线，但A&gt;2，需保留类型定义差异。 第二轮按同一设计点R/A补a，派生精度见derived_fields。</t>
  </si>
  <si>
    <t>【几何推算】S093 Table1同一设计点R=5m、A=2.3；a=R/A≈2.17m；输入已舍入，换算非实测。
A=2.30；a未直列，不反算入表；低环径比球形路线，但A&gt;2，需保留类型定义差异。 第二轮按同一设计点R/A补a，派生精度见derived_fields。</t>
  </si>
  <si>
    <t>口径: 设计值(rev D, R=5.0 m, 轴上 5.25 T)〔APS DPP 2025 GM12.7 — Overview of Tokamak Energy's Fusion Pilot Plant Program; Tokamak Energy's pre-concept design for a fusion power plant: an overview of ST-E1〕</t>
  </si>
  <si>
    <t>S086 p.1</t>
  </si>
  <si>
    <t>https://golem.fjfi.cvut.cz/wiki/Theory/Fusion/FusionIntro/OtherProjects/ST25.gb/The-ST25-and-ST25HTS-tokamaks.pdf</t>
  </si>
  <si>
    <t>铜线圈版本；2012年10月首等离子体；电流范围10–20 kA。 第二轮核验2013原论文Table1铜线圈设计范围Ip5–20kA；与既有同期介绍10–20kA口径不同，保留已采信值。Table1与§3没有κ/δ数值或明确圆/椭圆等离子体定义，未据线圈/真空室图推算。</t>
  </si>
  <si>
    <t>'field on torus 0.1 T'（环上/装置场），R=0.25 m 桌面演示型 HTS 托卡马克；'ST25 1.2' 的 1.2 为参考文献编号，非场值〔high-temperature-superconductors-for-fusion-magnets〕</t>
  </si>
  <si>
    <t>S122 §3.2 ST25(HTS), TF参照R=.25m</t>
  </si>
  <si>
    <t>https://colin-windsor.github.io/HomePage/17IAEA/17IAEA.htm</t>
  </si>
  <si>
    <t>R=.25m为原文定义的TF参考半径；未获得逐炮磁轴/几何边界。2013Table1 HTS列R/a/Ip为空，铜版尺寸不能视为HTS版独立证据。400A与1kA均是HTS导体电流，不是Ip。</t>
  </si>
  <si>
    <t>采用2022综述Table1完整一组能力参数，2 MA为设计目标；当前官方已实现电流1 MA。IAEA2022 R=.5,a=.3口径不同。当前停机升级属于运行生命周期，不代表退役。</t>
  </si>
  <si>
    <t>设计/标称 Bo〔S001 IAEA World Survey 2022 表格; S073〕</t>
  </si>
  <si>
    <t>项目公开，参数及是否搁置需原始更新；不能从名称80推导R=.8。</t>
  </si>
  <si>
    <t>综述运行参数代表范围边界；不是单一炮工况。</t>
  </si>
  <si>
    <t>S083 Table 2</t>
  </si>
  <si>
    <t>https://pmc.ncbi.nlm.nih.gov/articles/PMC11423670/</t>
  </si>
  <si>
    <t>κ2.93与Ip20–25为2024设计表；a=2来自2025同概念研究§4.1（该文取κ3、Ip20），跨来源明确标注。</t>
  </si>
  <si>
    <t>S084 §4.1</t>
  </si>
  <si>
    <t>https://doi.org/10.1088/1741-4326/add27c</t>
  </si>
  <si>
    <t>S084 §4.1 引 [13] STEP 形状参数〔S084〕</t>
  </si>
  <si>
    <t>S120 printedp.42 Intro/Device/Abstract</t>
  </si>
  <si>
    <t>https://lac913.epfl.ch/epsppd3/1977/EPS_08_Vol1_1977.pdf</t>
  </si>
  <si>
    <t>κ0.75–1.5为开启反馈的实验稳定范围，不是单个放电；无反馈0.85–1.05。原名录Ip25kA和a.10m能力值保留previous_parameters。a为原文上界，不从真空室r_w=10cm替代等离子体半径。</t>
  </si>
  <si>
    <t>S120 p.42明确elliptic cross sections；名义椭圆几何δ=0</t>
  </si>
  <si>
    <t>【几何推算】原文明确椭圆等离子体截面；理想椭圆Rtop=Rgeo，δ=(Rgeo-Rtop)/a=0，非逐炮重建精确δ。
κ0.75–1.5为开启反馈的实验稳定范围，不是单个放电；无反馈0.85–1.05。原名录Ip25kA和a.10m能力值保留previous_parameters。a为原文上界，不从真空室r_w=10cm替代等离子体半径。</t>
  </si>
  <si>
    <t>S104 p.3 §II.1</t>
  </si>
  <si>
    <t>https://fire.pppl.gov/SWG_Task_2_US.pdf</t>
  </si>
  <si>
    <t>1998原始SWG讨论稿明确的名义设计，κ95、δ95为95%磁通面；不与后来的R=6.2 m / Ip=15 MA ITER-FEAT基线混用。</t>
  </si>
  <si>
    <t>S104 p.3 §II.1，κ95</t>
  </si>
  <si>
    <t>S104 p.3 §II.1，δ95</t>
  </si>
  <si>
    <t>设计/标称 Bo | CSV 并录值: 5.3 / 2.65 / 5.3 / 5.18〔07_Budny_2009_Comparisons-of-predicted-plasma-performance-in-ITER-H-mode-plasmas-wit; S001 IAEA World Survey 2022 表格; S073; S202〕</t>
  </si>
  <si>
    <t>S071 Table II</t>
  </si>
  <si>
    <t>https://fire.pppl.gov/ITER_FEAT_Shimomura.pdf</t>
  </si>
  <si>
    <t>κ=1.85、δ=0.49是分离面值；κ95=1.70、δ95=0.33。该2000设计表不是实际运行工况。</t>
  </si>
  <si>
    <t>S003 p.7</t>
  </si>
  <si>
    <t>S003 p.7 Config.列；圆截面几何推算</t>
  </si>
  <si>
    <t>表格 TF | CSV 并录值: 1.6 / 2.7〔S003 Balshaw 2012 表格〕</t>
  </si>
  <si>
    <t>S003 p.9</t>
  </si>
  <si>
    <t>S003 p.9 Config.列；圆截面几何推算</t>
  </si>
  <si>
    <t>表格 TF | CSV 并录值: 6 / 6.0〔S003 Balshaw 2012 表格〕</t>
  </si>
  <si>
    <t>汇编近似最优参数，不能断言同时实现；与其他资料参数存在潜在版本冲突，需原始论文复核。 κ、δ按原文圆形等离子体构型的理想名义值推算；不能视为所有放电边界均精确圆形。</t>
  </si>
  <si>
    <t>【几何推算】历史装置汇编Config.列明确Circular的名义等离子体构型，非从真空室或线圈形状推断；理想名义模型κ=b/a=1，非逐炮平衡测量。
汇编近似最优参数，不能断言同时实现；与其他资料参数存在潜在版本冲突，需原始论文复核。 κ、δ按原文圆形等离子体构型的理想名义值推算；不能视为所有放电边界均精确圆形。</t>
  </si>
  <si>
    <t>【几何推算】历史装置汇编Config.列明确Circular的名义等离子体构型，非从真空室或线圈形状推断；理想名义模型δ=(Rgeo-Rtop)/a=0，非逐炮平衡测量。
汇编近似最优参数，不能断言同时实现；与其他资料参数存在潜在版本冲突，需原始论文复核。 κ、δ按原文圆形等离子体构型的理想名义值推算；不能视为所有放电边界均精确圆形。</t>
  </si>
  <si>
    <t>S113 0d TIME=6.015s；EU_S45变量定义</t>
  </si>
  <si>
    <t>https://tokamak-profiledb.ccfe.ac.uk/PUB98/iterprofiledatabase1998/ts/14234/pr98_ts_14234_0d.dat</t>
  </si>
  <si>
    <t>第二轮以五项同组公开参考放电替换主数值，不能视为装置最大值或唯一几何。原额定/综述组R=2.25m、a=0.7m、κ=未报告、δ=未报告、Ip=2MA，原来源见previous_parameters。1994-03-10，氦等离子体ICRH参考点，数据文件κ=1、δ=0，按提供方报告保留；原1998com文件以0.39 MA概述整个放电，本行采用0d指定时刻的.4022 MA。 原记录说明：汇编近似最优参数，不能断言同时实现；κ、δ未量化。 另1990会议综述EU_S36 p.687给早期R=2.38 m、a=0.8 m、1989达到Ip=1.9 MA；主行保留Balshaw2012汇总口径，版本/边界定义需进一步核对。</t>
  </si>
  <si>
    <t>表格 TF | CSV 并录值: 2 / 3.3 / 3.8〔S003 Balshaw 2012 表格〕</t>
  </si>
  <si>
    <t>S003 p.12</t>
  </si>
  <si>
    <t>S003 p.12 Config.列；圆截面几何推算</t>
  </si>
  <si>
    <t>该文档记录的是 Greifswald 阶段（运抵美国后改名 HIDRA）参数，BT 上限 0.5 T；Grenoble 托卡马克期数值经 4 个查询变体未查到。〔UIUC CPMI — HIDRA (ex-WEGA)〕</t>
  </si>
  <si>
    <t>S067 p.7 Technical data of WEST</t>
  </si>
  <si>
    <t>κ与Ip均是能力上限；范围并非同一炮实现。2026具体时点运行待确认。</t>
  </si>
  <si>
    <t>设计/标称 Bo〔32_Manas_2024_Maximizing_the_ion_temperature_in_an_electron_heated_plasma; S001 IAEA World Survey 2022 表格〕</t>
  </si>
  <si>
    <t>S095 ASDEX chapter Introduction</t>
  </si>
  <si>
    <t>https://www.ipp.mpg.de/5241404/web_Festschrift1.pdf</t>
  </si>
  <si>
    <t>原始实验文献R1.65优先于历史汇编R1.54；不从near-circular推κ/δ。 κ、δ按原文圆形等离子体构型的理想名义值推算；不能视为所有放电边界均精确圆形。</t>
  </si>
  <si>
    <t>【几何推算】原文明确ASDEX等离子体横截面为圆形；理想名义模型κ=b/a=1，非逐炮平衡测量。
原始实验文献R1.65优先于历史汇编R1.54；不从near-circular推κ/δ。 κ、δ按原文圆形等离子体构型的理想名义值推算；不能视为所有放电边界均精确圆形。</t>
  </si>
  <si>
    <t>【几何推算】原文明确ASDEX等离子体横截面为圆形；理想名义模型δ=(Rgeo-Rtop)/a=0，非逐炮平衡测量。
原始实验文献R1.65优先于历史汇编R1.54；不从near-circular推κ/δ。 κ、δ按原文圆形等离子体构型的理想名义值推算；不能视为所有放电边界均精确圆形。</t>
  </si>
  <si>
    <t>表格 TF | CSV 并录值: 2 / 3 / 2.6 / 3.0 / 3.2〔S003 Balshaw 2012 表格〕</t>
  </si>
  <si>
    <t>S067 p.4 Technical data of AUG</t>
  </si>
  <si>
    <t>κ来自2015表3.1，其他为2026–27能力表；非同一炮参数。2026计划运行与维护交替，不代表截止当天正在放电。</t>
  </si>
  <si>
    <t>S072 Chapter 3 Table 3.1</t>
  </si>
  <si>
    <t>https://mediatum.ub.tum.de/doc/1232875/1232875.pdf</t>
  </si>
  <si>
    <t>设计/标称 Bo | CSV 并录值: 2.2 / 2.5 / 3.2 / 3.9 / 1.8–3.0〔S001 IAEA World Survey 2022 表格〕</t>
  </si>
  <si>
    <t>表格 TF | CSV 并录值: 3 / 2.7〔S003 Balshaw 2012 表格〕</t>
  </si>
  <si>
    <t>S003 p.9 TEE row</t>
  </si>
  <si>
    <t>历史汇编近似最优参数，不保证同时实现。 κ、δ按原文圆形等离子体构型的理想名义值推算；不能视为所有放电边界均精确圆形。</t>
  </si>
  <si>
    <t>S003 p.9 TEE row Config.列；圆截面几何推算</t>
  </si>
  <si>
    <t>【几何推算】历史装置汇编Config.列明确Circular的名义等离子体构型，非从真空室或线圈形状推断；理想名义模型κ=b/a=1，非逐炮平衡测量。
历史汇编近似最优参数，不保证同时实现。 κ、δ按原文圆形等离子体构型的理想名义值推算；不能视为所有放电边界均精确圆形。</t>
  </si>
  <si>
    <t>【几何推算】历史装置汇编Config.列明确Circular的名义等离子体构型，非从真空室或线圈形状推断；理想名义模型δ=(Rgeo-Rtop)/a=0，非逐炮平衡测量。
历史汇编近似最优参数，不保证同时实现。 κ、δ按原文圆形等离子体构型的理想名义值推算；不能视为所有放电边界均精确圆形。</t>
  </si>
  <si>
    <t>S114 0d TIME=1.65s；EU_S45变量定义</t>
  </si>
  <si>
    <t>https://tokamak-profiledb.ccfe.ac.uk/PUB98/iterprofiledatabase1998/txtr/44566/pr98_txtr_44566_0d.dat</t>
  </si>
  <si>
    <t>第二轮以五项同组公开参考放电替换主数值，不能视为装置最大值或唯一几何。原额定/综述组R=1.75m、a=0.47m、κ=未报告、δ=未报告、Ip=0.8MA，原来源见previous_parameters。1990-11-28，TRANSP分析，I模向L模过渡研究的t1.650s记录；κ=1、δ=0为提供方0d字段。原始实验论文见Nucl. Fusion33(1993)283–299 Fig22。 原记录说明：官方写明运行截至2013年；圆截面不自动填κ=1/δ=0。</t>
  </si>
  <si>
    <t>表格 TF | CSV 并录值: 2.3 / 2.6 / 2.8 / 3.0 / 2.25〔S003 Balshaw 2012 表格〕</t>
  </si>
  <si>
    <t>S003 p.11 Config.列；圆截面几何推算</t>
  </si>
  <si>
    <t>S080 p.7 Table I.I；p.28 reference scenario</t>
  </si>
  <si>
    <t>https://www.pubblicazioni.enea.it/download.html?catid=3&amp;id=38%3Adtt-divertor-tokamak-test-facility-interim-design-report&amp;task=download.send</t>
  </si>
  <si>
    <t>κ95=1.65，δ95=.3；采用参考5.5 MA情景，不把2019的小尺寸与后续2.19/.70拼接。</t>
  </si>
  <si>
    <t>设计/标称 Bo〔12_Paper_2022_Design_of_a_multi_configurations_divertor_for_the; S001 IAEA World Survey 2022 表格; S080; dtt-divertor-tokamak-test-facility-a-testbed-for-demo〕</t>
  </si>
  <si>
    <t>S107 §1 article p.2</t>
  </si>
  <si>
    <t>https://iris.polito.it/retrieve/6c406646-4e6e-4223-9279-c8c9a666be10/Crisanti_2024_Nucl._Fusion_64_106040.pdf</t>
  </si>
  <si>
    <t>完整采用2024原始物理设计参考SN组：R2.19m/a.70m，κ≈1.7、δsep≈.48、额定Ip5.5MA；κ原文未注明95%面，δ明确为平均separatrix值。原官网δ=.3未明确磁面，保存在previous_parameters，不与δsep混用。</t>
  </si>
  <si>
    <t>S078 p.2 Section 2 Table I</t>
  </si>
  <si>
    <t>https://www-pub.iaea.org/mtcd/meetings/fec2008/ft_1-5.pdf</t>
  </si>
  <si>
    <t>参考H模6.5 MA；极限H模8 MA另见表；κ95和δ95见2012 Calabro教学资料，但2008正文未明确95，保留定义提示。</t>
  </si>
  <si>
    <t>S077 p.302 Table IV</t>
  </si>
  <si>
    <t>https://www.afs.enea.it/zonca/references/journal/gormezano_fst04.pdf</t>
  </si>
  <si>
    <t>旧设计，未建成事实和最终取消决定尚需另核；不要当作FTU实物参数。</t>
  </si>
  <si>
    <t>FT3(2004 Frascati 设计) 全参数表; R=1.3 与 xlsx 已填一致; 22 台 Bt 未命中名单中再移出一台〔S077 Gormezano et al. (FTU programme) TABLE IV〕</t>
  </si>
  <si>
    <t>S110 0d TIME=0.09s；EU_S45变量定义</t>
  </si>
  <si>
    <t>https://tokamak-profiledb.ccfe.ac.uk/PUB98/iterprofiledatabase1998/ftu/12658/pr98_ftu_12658_0d.dat</t>
  </si>
  <si>
    <t>第二轮以五项同组公开参考放电替换主数值，不能视为装置最大值或唯一几何。原额定/综述组R=0.935m、a=0.305m、κ=未报告、δ=未报告、Ip=1.6MA，原来源见previous_parameters。FTU ODIN平衡，EVITA case bracco-za；1997-05-13放电，2001-11-27分析。com文件明确δ设为0，κ由平衡给出；δ是提供方分析模型设定，非实测。 原记录说明：Table I给a=.305；ENEA另一页面用.30作圆整。文中明确2000年已在8T达到1.6 MA。IAEA2022 .04 MA及Operating均被原始来源反证。</t>
  </si>
  <si>
    <t>【几何推算】原数据提供方依据近圆截面将δ固定为0（com文件）；来源内的模型假设，非本轮独立实测或逐炮反演。
第二轮以五项同组公开参考放电替换主数值，不能视为装置最大值或唯一几何。原额定/综述组R=0.935m、a=0.305m、κ=未报告、δ=未报告、Ip=1.6MA，原来源见previous_parameters。FTU ODIN平衡，EVITA case bracco-za；1997-05-13放电，2001-11-27分析。com文件明确δ设为0，κ由平衡给出；δ是提供方分析模型设定，非实测。 原记录说明：Table I给a=.305；ENEA另一页面用.30作圆整。文中明确2000年已在8T达到1.6 MA。IAEA2022 .04 MA及Operating均被原始来源反证。</t>
  </si>
  <si>
    <t>设计/标称 Bo | CSV 并录值: 8 / 8.0 / 5–8 (最高 8)〔S001 IAEA World Survey 2022 表格; S003 Balshaw 2012 表格〕</t>
  </si>
  <si>
    <t>S003 p.3 Config.列；圆截面几何推算</t>
  </si>
  <si>
    <t>S091 PDFp.7 Parameters of PROTO-SPHERA</t>
  </si>
  <si>
    <t>https://www.afs.enea.it/project/protosphera/webdocs/docs/Full_PROTO-SPHERA_Report_2001.pdf</t>
  </si>
  <si>
    <t>无金属中心柱球形环/螺旋箍缩组合，边界类别明确标记。Rgeo=.20，Raxis=.23；Ip为环向ST电流而非中心柱电流。2024项目版本另给IST=.28 MA，不混入该工况。</t>
  </si>
  <si>
    <t>目标形状；也讨论负三角度，但未给明确范围；不套RFP的2 MA。</t>
  </si>
  <si>
    <t>S090 Introduction</t>
  </si>
  <si>
    <t>https://www.mdpi.com/2079-9292/11/17/2751</t>
  </si>
  <si>
    <t>文中语句〔S123〕</t>
  </si>
  <si>
    <t>S089 RFX-mod magnetic diagnostic system</t>
  </si>
  <si>
    <t>https://www.sciencedirect.com/science/article/abs/pii/S0920379618308482</t>
  </si>
  <si>
    <t>R=1.995m保留装置名义主半径；a42–45cm与Ip60–95kA同属原论文圆截面工况范围，非单一参考炮，不声称R恒无位移。原a=.459m为装置/壁尺度，Ip.2MA为最高能力，保存在previous_parameters；不混入RFP2MA或单/双零工况的a36–39cm、Ip45–75kA。</t>
  </si>
  <si>
    <t>S123 p.1 circular tokamak discharges</t>
  </si>
  <si>
    <t>https://www.researchgate.net/publication/341417179_Modelling_of_RFX-mod2_tokamak_equilibria_with_DEMO-like_shape_conditions_and_negative_triangularity</t>
  </si>
  <si>
    <t>S123 p.1明确circular plasma；名义圆几何推算</t>
  </si>
  <si>
    <t>【几何推算】原文所列旧机圆截面tokamak工况，理想名义κ=1，非逐炮平衡。
R=1.995m保留装置名义主半径；a42–45cm与Ip60–95kA同属原论文圆截面工况范围，非单一参考炮，不声称R恒无位移。原a=.459m为装置/壁尺度，Ip.2MA为最高能力，保存在previous_parameters；不混入RFP2MA或单/双零工况的a36–39cm、Ip45–75kA。</t>
  </si>
  <si>
    <t>【几何推算】原文所列旧机圆截面tokamak工况，理想名义δ=0，非逐炮平衡。
R=1.995m保留装置名义主半径；a42–45cm与Ip60–95kA同属原论文圆截面工况范围，非单一参考炮，不声称R恒无位移。原a=.459m为装置/壁尺度，Ip.2MA为最高能力，保存在previous_parameters；不混入RFP2MA或单/双零工况的a36–39cm、Ip45–75kA。</t>
  </si>
  <si>
    <t>列序 R a B Ip; Balshaw 注 aka Torello; 湍流加热研究装置〔S003 Balshaw 2012 表格(人工直读补漏)〕</t>
  </si>
  <si>
    <t>S067 p.6 Technical data of TCV</t>
  </si>
  <si>
    <t>κ与Ip为能力上限。2007官方表的设计Ip=1.2 MA、已实现1.02 MA、设计κ=2.9、已实现2.8，不能混称典型工况。</t>
  </si>
  <si>
    <t>设计/标称 Bo | CSV 并录值: 1.4 / 1.5 / 1.54 / ≤1.5〔S001 IAEA World Survey 2022 表格〕</t>
  </si>
  <si>
    <t>汇编近似最优参数，不能断言同时实现； 官方2025时间线标CASTOR 1977–2006，历史汇编标1985–2007，可能是前身运行和改名口径差异，保留为历史年份冲突。 κ、δ按原文圆形等离子体构型的理想名义值推算；不能视为所有放电边界均精确圆形。 运行/命名时间采用官方历史，2012名录1985–2007保留作为旧汇编差异。</t>
  </si>
  <si>
    <t>S118 first paragraph；圆截面几何推算</t>
  </si>
  <si>
    <t>https://www.ipp.cas.cz/vedecka_struktura_ufp/tokamak/COMPASS/historie/tokamak_castor/index.html</t>
  </si>
  <si>
    <t>【几何推算】官方明确CASTOR为圆形等离子体横截面；理想名义模型κ=b/a=1，非逐炮平衡测量。
汇编近似最优参数，不能断言同时实现； 官方2025时间线标CASTOR 1977–2006，历史汇编标1985–2007，可能是前身运行和改名口径差异，保留为历史年份冲突。 κ、δ按原文圆形等离子体构型的理想名义值推算；不能视为所有放电边界均精确圆形。 运行/命名时间采用官方历史，2012名录1985–2007保留作为旧汇编差异。</t>
  </si>
  <si>
    <t>【几何推算】官方明确CASTOR为圆形等离子体横截面；理想名义模型δ=(Rgeo-Rtop)/a=0，非逐炮平衡测量。
汇编近似最优参数，不能断言同时实现； 官方2025时间线标CASTOR 1977–2006，历史汇编标1985–2007，可能是前身运行和改名口径差异，保留为历史年份冲突。 κ、δ按原文圆形等离子体构型的理想名义值推算；不能视为所有放电边界均精确圆形。 运行/命名时间采用官方历史，2012名录1985–2007保留作为旧汇编差异。</t>
  </si>
  <si>
    <t>S074 slides 2–3</t>
  </si>
  <si>
    <t>https://www.ipp.cas.cz/miranda2/export/sitesavcr/ufp/o-ufp/Verejne_zakazky/COMPASS-U_overview_2025-12.pdf</t>
  </si>
  <si>
    <t>采用2025官方对照表，取代旧历史汇编.21m/.32MA口径。</t>
  </si>
  <si>
    <t>表格 TF | CSV 并录值: 2.1 / 0.8–2.1〔S003 Balshaw 2012 表格; Wesson2011_Tokamak_edition4〕</t>
  </si>
  <si>
    <t>S074 slides 2–5</t>
  </si>
  <si>
    <t>Rg为几何大半径；负三角度方案单独给κ1.4,δ-.2,Ip1 MA，不与主表2 MA合并。</t>
  </si>
  <si>
    <t>设计/标称 Bo | CSV 并录值: 5 / 2.5–5〔S001 IAEA World Survey 2022 表格; S074; preliminary-design-of-the-compass-upgrade-tokamak〕</t>
  </si>
  <si>
    <t>S097 Introduction</t>
  </si>
  <si>
    <t>https://golem.fjfi.cvut.cz/wiki/</t>
  </si>
  <si>
    <t>现行官方介绍的等离子体电流上限为&lt;8 kA；圆形截面说明不替代κ、δ的数值证据。页面用于教学运行的描述无更新日期，因此不等于核验特定2026放电。 第二轮据原文明示圆形等离子体补名义κ=1、δ=0；不可解释为所有放电精确形状。</t>
  </si>
  <si>
    <t>S097 Introduction；圆形等离子体名义几何推算</t>
  </si>
  <si>
    <t>【几何推算】原文明确等离子体为圆截面；理想边界模型κ=b/a=1。名义几何推算，非逐炮平衡测量。
现行官方介绍的等离子体电流上限为&lt;8 kA；圆形截面说明不替代κ、δ的数值证据。页面用于教学运行的描述无更新日期，因此不等于核验特定2026放电。 第二轮据原文明示圆形等离子体补名义κ=1、δ=0；不可解释为所有放电精确形状。</t>
  </si>
  <si>
    <t>【几何推算】原文明确等离子体为圆截面；理想圆形边界最高点Rtop=Rgeo，δ=(Rgeo-Rtop)/a=0。非逐炮实测。
现行官方介绍的等离子体电流上限为&lt;8 kA；圆形截面说明不替代κ、δ的数值证据。页面用于教学运行的描述无更新日期，因此不等于核验特定2026放电。 第二轮据原文明示圆形等离子体补名义κ=1、δ=0；不可解释为所有放电精确形状。</t>
  </si>
  <si>
    <t>设计/标称 Bo | CSV 并录值: 0.8 / 1.5〔S001 IAEA World Survey 2022 表格〕</t>
  </si>
  <si>
    <t>S081 Abstract</t>
  </si>
  <si>
    <t>https://www.sciencedirect.com/science/article/pii/S0920379623004143</t>
  </si>
  <si>
    <t>2023原始设计参数，δ为平均三角度；首等离子体后并不意味着已实现.5 MA。2024/2025文献存在R/a与阶段电流更新，待专题核定。</t>
  </si>
  <si>
    <t>口径: T1 官方表三阶段 B0 (Phase1 0.1T / Phase2 0.3T / Phase3 1T); Segado 2023 (FED 193) 佐证 B_phi &lt;= 1 T〔S001 §2.52 SMART 表; 13_Segado-Fernández_2023 central stack (10.1016/j.fusengdes.2023.113832)〕</t>
  </si>
  <si>
    <t>S099 p.1; Fig.1</t>
  </si>
  <si>
    <t>https://lac913.epfl.ch/epsppd3/2025/html/PDF/P5_292.pdf</t>
  </si>
  <si>
    <t>主数值采用2025年原始论文的参考工况，交流等离子体电流可以反向；Ip=4 kA为给定工况幅值，不代表装置最大值。IAEA2022列7 kA，保留此额定/工况差异，不能将4 kA解释为降额。圆形截面不自动填κ、δ。 第二轮据原文明示圆形等离子体补名义κ=1、δ=0；不可解释为所有放电精确形状。</t>
  </si>
  <si>
    <t>S099 p.1 Introduction；圆形等离子体名义几何推算</t>
  </si>
  <si>
    <t>【几何推算】原文明确等离子体为圆截面；理想边界模型κ=b/a=1。名义几何推算，非逐炮平衡测量。
主数值采用2025年原始论文的参考工况，交流等离子体电流可以反向；Ip=4 kA为给定工况幅值，不代表装置最大值。IAEA2022列7 kA，保留此额定/工况差异，不能将4 kA解释为降额。圆形截面不自动填κ、δ。 第二轮据原文明示圆形等离子体补名义κ=1、δ=0；不可解释为所有放电精确形状。</t>
  </si>
  <si>
    <t>【几何推算】原文明确等离子体为圆截面；理想圆形边界最高点Rtop=Rgeo，δ=(Rgeo-Rtop)/a=0。非逐炮实测。
主数值采用2025年原始论文的参考工况，交流等离子体电流可以反向；Ip=4 kA为给定工况幅值，不代表装置最大值。IAEA2022列7 kA，保留此额定/工况差异，不能将4 kA解释为降额。圆形截面不自动填κ、δ。 第二轮据原文明示圆形等离子体补名义κ=1、δ=0；不可解释为所有放电精确形状。</t>
  </si>
  <si>
    <t>设计/标称 Bo | CSV 并录值: 0.5 / 0.6 / 0.8〔S001 IAEA World Survey 2022 表格〕</t>
  </si>
  <si>
    <t>S112 0d TIME=0.19s；EU_S45变量定义</t>
  </si>
  <si>
    <t>https://tokamak-profiledb.ccfe.ac.uk/PUB98/iterprofiledatabase1998/rtp/96040237/pr98_rtp_96040237_0d.dat</t>
  </si>
  <si>
    <t>第二轮以五项同组公开参考放电替换主数值，不能视为装置最大值或唯一几何。原额定/综述组R=0.72m、a=0.16m、κ=未报告、δ=未报告、Ip=0.16MA，原来源见previous_parameters。1996-04-02，离轴ECRH空心Te参考放电。com文件说明等离子体圆形假设符合测量约5%以内，固定κ=1、δ=0；这是来源中的名义几何，并非精确逐炮形状测量。 原记录说明：汇编近似最优参数，不能断言同时实现；κ、δ未量化。</t>
  </si>
  <si>
    <t>【几何推算】提供方假设圆形，com文件说明测量在约5%内支持该近似；κ=1为来源模型固定值。
第二轮以五项同组公开参考放电替换主数值，不能视为装置最大值或唯一几何。原额定/综述组R=0.72m、a=0.16m、κ=未报告、δ=未报告、Ip=0.16MA，原来源见previous_parameters。1996-04-02，离轴ECRH空心Te参考放电。com文件说明等离子体圆形假设符合测量约5%以内，固定κ=1、δ=0；这是来源中的名义几何，并非精确逐炮形状测量。 原记录说明：汇编近似最优参数，不能断言同时实现；κ、δ未量化。</t>
  </si>
  <si>
    <t>【几何推算】提供方圆形边界模型固定δ=0，com文件说明约5%几何近似。
第二轮以五项同组公开参考放电替换主数值，不能视为装置最大值或唯一几何。原额定/综述组R=0.72m、a=0.16m、κ=未报告、δ=未报告、Ip=0.16MA，原来源见previous_parameters。1996-04-02，离轴ECRH空心Te参考放电。com文件说明等离子体圆形假设符合测量约5%以内，固定κ=1、δ=0；这是来源中的名义几何，并非精确逐炮形状测量。 原记录说明：汇编近似最优参数，不能断言同时实现；κ、δ未量化。</t>
  </si>
  <si>
    <t>S116 p.3 §I.1/Table1.1</t>
  </si>
  <si>
    <t>https://pure.tue.nl/ws/files/46746011/329159-1.pdf</t>
  </si>
  <si>
    <t>原论文Ip≤55kA=≤0.055MA，原名录0.55MA未采信；a从名录0.09m更新为原报告0.085m。 κ、δ按原文圆形等离子体构型的理想名义值推算；不能视为所有放电边界均精确圆形。</t>
  </si>
  <si>
    <t>S003 p.11 TORTUR Config.列；圆截面几何推算</t>
  </si>
  <si>
    <t>【几何推算】历史装置汇编Config.列明确Circular的名义等离子体构型，非从真空室或线圈形状推断；理想名义模型κ=b/a=1，非逐炮平衡测量。
原论文Ip≤55kA=≤0.055MA，原名录0.55MA未采信；a从名录0.09m更新为原报告0.085m。 κ、δ按原文圆形等离子体构型的理想名义值推算；不能视为所有放电边界均精确圆形。</t>
  </si>
  <si>
    <t>【几何推算】历史装置汇编Config.列明确Circular的名义等离子体构型，非从真空室或线圈形状推断；理想名义模型δ=(Rgeo-Rtop)/a=0，非逐炮平衡测量。
原论文Ip≤55kA=≤0.055MA，原名录0.55MA未采信；a从名录0.09m更新为原报告0.085m。 κ、δ按原文圆形等离子体构型的理想名义值推算；不能视为所有放电边界均精确圆形。</t>
  </si>
  <si>
    <t>S003 p.2 DANTE行</t>
  </si>
  <si>
    <t>数值采用Balshaw2012 p.2近似最优汇总，不保证同时实现；原始1976 Risø年报仅用于确认历史装置身份和建设阶段。 κ、δ按原文圆形等离子体构型的理想名义值推算；不能视为所有放电边界均精确圆形。</t>
  </si>
  <si>
    <t>S003 p.2 DANTE行 Config.列；圆截面几何推算</t>
  </si>
  <si>
    <t>【几何推算】历史装置汇编Config.列明确Circular的名义等离子体构型，非从真空室或线圈形状推断；理想名义模型κ=b/a=1，非逐炮平衡测量。
数值采用Balshaw2012 p.2近似最优汇总，不保证同时实现；原始1976 Risø年报仅用于确认历史装置身份和建设阶段。 κ、δ按原文圆形等离子体构型的理想名义值推算；不能视为所有放电边界均精确圆形。</t>
  </si>
  <si>
    <t>【几何推算】历史装置汇编Config.列明确Circular的名义等离子体构型，非从真空室或线圈形状推断；理想名义模型δ=(Rgeo-Rtop)/a=0，非逐炮平衡测量。
数值采用Balshaw2012 p.2近似最优汇总，不保证同时实现；原始1976 Risø年报仅用于确认历史装置身份和建设阶段。 κ、δ按原文圆形等离子体构型的理想名义值推算；不能视为所有放电边界均精确圆形。</t>
  </si>
  <si>
    <t>表格 TF | CSV 并录值: 0.8 / 0.625〔S003 Balshaw 2012 表格〕</t>
  </si>
  <si>
    <t>S001 p.32 Table 20</t>
  </si>
  <si>
    <t>R取IAEA2022；现行DTU官方页面确认设施用于研究与教学，但未提供完整五参数，亦未明确注明该网页的状态更新日期。 2022教学原始论文直接给a0=.125m，并注明主要以无中心螺线管驱动环向电流的简单磁化环模式教学；不能将该模式Ip=0拿来填托卡马克模式额定Ip。</t>
  </si>
  <si>
    <t>S108 §2 article p.2，直接数值a0=.125m</t>
  </si>
  <si>
    <t>https://golem.fjfi.cvut.cz/wiki/Chronicle/Citations/Rasmussen_2022_Eur._J._Phys._43_065803.pdf</t>
  </si>
  <si>
    <t>设计/标称 Bo | CSV 并录值: 0.3 / 0.4〔S001 IAEA World Survey 2022 表格〕</t>
  </si>
  <si>
    <t>S003 p.6</t>
  </si>
  <si>
    <t>S003 p.6 Config.列；圆截面几何推算</t>
  </si>
  <si>
    <t>S094 Table 1；Section 2 baseline</t>
  </si>
  <si>
    <t>https://arxiv.org/html/2501.14682v1</t>
  </si>
  <si>
    <t>主表为基线κ1.7 δ-.5；可达形状范围1.5&lt;κ&lt;1.9,-.7&lt;δ&lt;-.3。公司所在地不等同拟建地点，选址未核实。</t>
  </si>
  <si>
    <t>文中语句〔S094〕</t>
  </si>
  <si>
    <t>S085 Section 7 Table 1</t>
  </si>
  <si>
    <t>https://doi.org/10.1016/j.fusengdes.2022.113080</t>
  </si>
  <si>
    <t>κ95和δ95；本行不是其他年份DEMO设计。</t>
  </si>
  <si>
    <t>设计值(on-axis) | CSV 并录值: 5.3 / 5.7 / 6.9〔the-demo-magnet-system-status-and-future-challenges〕</t>
  </si>
  <si>
    <t>S115 Table2-1 p.2-2</t>
  </si>
  <si>
    <t>https://publikationen.bibliothek.kit.edu/270026604/3813342</t>
  </si>
  <si>
    <t>整组替换原1990报告仅R=6.3m,a=2m的记录；旧值保存在previous_parameters。Table2-1为D-T工况NET-DT参考，不采用后续D-3He扫描或NET-EP另一列。κ原文b/a，δ原文y，磁面比例未注明。</t>
  </si>
  <si>
    <t>文中语句 | CSV 并录值: 5.0 / 5.6〔S115〕</t>
  </si>
  <si>
    <t>S103 Table1 PDF p.22</t>
  </si>
  <si>
    <t>https://fire.pppl.gov/eu_ppcs_full_2005.pdf</t>
  </si>
  <si>
    <t>κ、δ均为95%磁通面；a按同一Table1的R及A=3.0换算。后续中子学报告采用的a与δ舍入或模型定义不同，未混入。</t>
  </si>
  <si>
    <t>S103 Table1 PDF p.22；本轮按a=R/A推算</t>
  </si>
  <si>
    <t>【几何推算】同一EU_S39 Table1给R=9.55m、A=3.0；a=R/A≈3.18m。由已舍入设计参数换算，保留3位有效数字，不代表额外测量精度。
κ、δ均为95%磁通面；a按同一Table1的R及A=3.0换算。后续中子学报告采用的a与δ舍入或模型定义不同，未混入。</t>
  </si>
  <si>
    <t>S103 Table1 PDF p.22，95% flux</t>
  </si>
  <si>
    <t>口径: 设计值(轴上)。列序推断: ITER 5.3 / Model A (R=9.55 m) 7.0 / Model B (R=8.6 m) 6.9 / Model C (R=7.5 m) 6.0 / Model D (R=6.1 m) 被截断 / ARIES-AT (R=5.2 m)〔ScienceDirect Topics 'Fusion Product' — PPCS 模型参数表摘录〕</t>
  </si>
  <si>
    <t>【几何推算】同一EU_S39 Table1给R=8.6m、A=3.0；a=R/A≈2.87m。由已舍入设计参数换算，保留3位有效数字，不代表额外测量精度。
κ、δ均为95%磁通面；a按同一Table1的R及A=3.0换算。后续中子学报告采用的a与δ舍入或模型定义不同，未混入。</t>
  </si>
  <si>
    <t>口径: 设计值(轴上); 对应 R=8.6 m 列(按半径顺序推断为 Model B), 列-模型对应关系为推断, 建议以 PPCS 原表复核〔ScienceDirect Topics 'Fusion Product' — PPCS 模型参数表摘录〕</t>
  </si>
  <si>
    <t>【几何推算】同一EU_S39 Table1给R=7.5m、A=3.0；a=R/A≈2.5m。由已舍入设计参数换算，保留3位有效数字，不代表额外测量精度。
κ、δ均为95%磁通面；a按同一Table1的R及A=3.0换算。后续中子学报告采用的a与δ舍入或模型定义不同，未混入。</t>
  </si>
  <si>
    <t>口径: 设计值(轴上); 对应 R=7.5 m 列(按半径顺序推断为 Model C)〔ScienceDirect Topics 'Fusion Product' — PPCS 模型参数表摘录〕</t>
  </si>
  <si>
    <t>【几何推算】同一EU_S39 Table1给R=6.1m、A=3.0；a=R/A≈2.03m。由已舍入设计参数换算，保留3位有效数字，不代表额外测量精度。
κ、δ均为95%磁通面；a按同一Table1的R及A=3.0换算。后续中子学报告采用的a与δ舍入或模型定义不同，未混入。</t>
  </si>
  <si>
    <t>口径: 设计值(轴上, R=6.1 列, 列序 A B C D 末列); 双口径 TF on TF coil conductor=13.4T 并录〔EFDA-RP-RE-5.0 PPCS Final Report (2005)〕</t>
  </si>
  <si>
    <t>特殊无主动中心线圈方案，保留STPC-EX原名和文献分类，不泛化为常规ST。</t>
  </si>
  <si>
    <t>S127 A/C comparison</t>
  </si>
  <si>
    <t>https://library.psfc.mit.edu/catalog/online_pubs/iap/iap2011/parker.pdf</t>
  </si>
  <si>
    <t xml:space="preserve"> 缺失形状参数以原文明示的名义圆形等离子体模型推算，不能视为实际重建值。</t>
  </si>
  <si>
    <t>S198 Chapter 3 p.37；名义圆形几何推算</t>
  </si>
  <si>
    <t>https://library.psfc.mit.edu/catalog/reports/1990/97rr/97rr005/97rr005_full.pdf</t>
  </si>
  <si>
    <t>【几何推算】S198 Chapter 3 p.37 明示圆形等离子体截面；理想模型κ=b/a=1，非逐炮平衡实测。
 缺失形状参数以原文明示的名义圆形等离子体模型推算，不能视为实际重建值。</t>
  </si>
  <si>
    <t>【几何推算】S198 Chapter 3 p.37 明示圆形等离子体截面；理想模型δ=(Rgeo-Rtop)/a=0，非逐炮平衡实测。
 缺失形状参数以原文明示的名义圆形等离子体模型推算，不能视为实际重建值。</t>
  </si>
  <si>
    <t>表格 TF | CSV 并录值: 10 / 10.0〔S003 Balshaw 2012 表格〕</t>
  </si>
  <si>
    <t>与Balshaw汇总a=0.16/Ip=0.9不同，保留MIT讲义版本。 缺失形状参数以原文明示的名义圆形等离子体模型推算，不能视为实际重建值。</t>
  </si>
  <si>
    <t>【几何推算】S198 Chapter 3 p.37 明示圆形等离子体截面；理想模型κ=b/a=1，非逐炮平衡实测。
与Balshaw汇总a=0.16/Ip=0.9不同，保留MIT讲义版本。 缺失形状参数以原文明示的名义圆形等离子体模型推算，不能视为实际重建值。</t>
  </si>
  <si>
    <t>【几何推算】S198 Chapter 3 p.37 明示圆形等离子体截面；理想模型δ=(Rgeo-Rtop)/a=0，非逐炮平衡实测。
与Balshaw汇总a=0.16/Ip=0.9不同，保留MIT讲义版本。 缺失形状参数以原文明示的名义圆形等离子体模型推算，不能视为实际重建值。</t>
  </si>
  <si>
    <t>表格 TF | CSV 并录值: 12 / 12.0 / 8–10〔S003 Balshaw 2012 表格〕</t>
  </si>
  <si>
    <t>S126 parameter table</t>
  </si>
  <si>
    <t>https://cmodwiki.psfc.mit.edu/index.php/Alcator_Parameters</t>
  </si>
  <si>
    <t>官网wiki的R=0.68m；其他论文常报告0.665/0.67m，应按工况及定义区别。</t>
  </si>
  <si>
    <t>S003 raw=[0.67, 0.22, 8] (R=0.67, a=0.22, TF=8), C-Mod 8T 为公认值 | CSV 并录值: 8 / 5.4 / 9.0〔25_Greenwald_2014_20_years_of_research_on_the_Alcator_C-Mod_tokamak; S003 Balshaw 2012 表格〕</t>
  </si>
  <si>
    <t>S202 Table 2 p.10</t>
  </si>
  <si>
    <t>https://www.cambridge.org/core/journals/journal-of-plasma-physics/article/overview-of-the-physics-basis-for-the-arc-fusion-power-plant/B472B3A64EF71DA1899B9EFB65D7C390</t>
  </si>
  <si>
    <t>五项均为名义设计目标，未建成；κ/δ在分离面。Ip按总电流大小列12MA，COCOS11实际方向为俯视顺时针，原文方向约定为负。2025公告原无五参数，现由2026原始设计整行更新；900s平顶脉冲，区别于旧ARC稳态概念。</t>
  </si>
  <si>
    <t>文中语句〔S202〕</t>
  </si>
  <si>
    <t>S129 Table 1</t>
  </si>
  <si>
    <t>https://arxiv.org/html/1409.3540v2</t>
  </si>
  <si>
    <t>原文最终表1而非前期0D设计；不等同于CFS现拟建400MWe电站。</t>
  </si>
  <si>
    <t>口径: 设计值(轴上 9.2 T, R=3.3 m)。确认为 MIT 2015 ARC, 非 ARC V3A〔NextBigFuture — MIT ARC 2015 concept (同值见 arXiv:1409.3540 / FED S0920379615302337); aps_dpp_archive (meetings-archive.aps.org/dpp/) 摘要 · 2014/tp8/5 (MIT, ARC 概念设计一作摘要)〕</t>
  </si>
  <si>
    <t>S181 Table V PDF p.14</t>
  </si>
  <si>
    <t>https://www.osti.gov/servlets/purl/1178069</t>
  </si>
  <si>
    <t>采用2015原始设计研究Table V完整参数组，κX/δX；Table II另列系统Ip10.9与1.5D11.1MA。</t>
  </si>
  <si>
    <t>口径: 线圈峰值(Bt 扫描上限情形下 TF 线圈处峰值 16 T) | CSV 并录值: 16 / 6.0〔OSTI 1178069 — ARIES Advanced and Conservative Tokamak PVR (Bt 扫描 4.5-7.5 T)〕</t>
  </si>
  <si>
    <t>S180 §IX PDF p.17</t>
  </si>
  <si>
    <t>https://bp-pub.pppl.gov/pub_report/2014/PPPL-5007.pdf</t>
  </si>
  <si>
    <t>κX、δX；同文摘要δ=.63是约数，选结论.625。</t>
  </si>
  <si>
    <t>文中语句〔S180〕</t>
  </si>
  <si>
    <t>S130 §1</t>
  </si>
  <si>
    <t>https://qedfusion.org/DOCS/ARIES-AT/ENG-BOOK/</t>
  </si>
  <si>
    <t>κ和δ为X点；不同于后续2003版本。</t>
  </si>
  <si>
    <t>文中语句 | CSV 并录值: 8 / 5.8〔S156〕</t>
  </si>
  <si>
    <t>κX、δX；2015 ACT研究对照表所列成熟AT基准，非2000草案。</t>
  </si>
  <si>
    <t>S201 Table V ARIES-I*</t>
  </si>
  <si>
    <t>https://bp-pub.pppl.gov/pub_report/2014/PPPL-5008.pdf</t>
  </si>
  <si>
    <t>κ/δ均X点。1989R6.5m/Ip11MA原始早期方案不同，未与此R6.75m版本拼接。</t>
  </si>
  <si>
    <t>ARIES-I 官方参考设计点(exec-sum 表同值 11.3); 同表 R 6.75/a 1.50/κx 1.80/δx 0.70/Ip 10.20 与 xlsx 逐项一致; 此前推荐值 6.0T(T4 S201) 出自 ACT 研究语境(Bt 扫描 4.5-7.5T), 疑串行, 降为并存值; 另 T6 21T 为线圈峰值口径 | CSV 并录值: 6.0 / 7.0 / 6.75 / 8.75 / 11.33〔qedfusion ARIES 档案 · ARIES-1 Final Report (UCLA-PPG-1383) chap03 Table 3.1-I〕</t>
  </si>
  <si>
    <t>S173 Table 3.3-I p.3-38</t>
  </si>
  <si>
    <t>https://aries.pppl.gov/LIB/REPORT/SPPS/FINAL/chap3.pdf</t>
  </si>
  <si>
    <t>κX、δX；同表另列κ95=1.8、δ95=.48。</t>
  </si>
  <si>
    <t>Table I 括号值(ARIES-II 列); 与 Sheffield1994 表X 7.5T 并存双口径; 线圈峰值16T | CSV 并录值: 7.5 / 8.1 / ≲16〔qedfusion ARIES 档案 · IAEA CN-56/W-3 (Najmabadi 1992, ARIES-II/IV) Table I〕</t>
  </si>
  <si>
    <t>S190 Introduction and Section III, printed pp.1–2</t>
  </si>
  <si>
    <t>https://fti.neep.wisc.edu/fti.neep.wisc.edu/pdf/fdm886.pdf</t>
  </si>
  <si>
    <t>整组采用UWFDM-886；原汇总1993版本κ1.84、Ip29.9仅保留为文献差异，未与新δ拼接。R为几何大半径，报告另述磁轴R=8.8m。未明确95%磁面口径。</t>
  </si>
  <si>
    <t>文中语句〔S190〕</t>
  </si>
  <si>
    <t>S174 Table II p.11</t>
  </si>
  <si>
    <t>https://citeseerx.ist.psu.edu/document?doi=7b02b372ef72d1739d0fb8887760d3ca0902ec82&amp;repid=rep1&amp;type=pdf</t>
  </si>
  <si>
    <t>轴上场设计值, 线圈峰值16T; 同表 Ip 6.8(6.5)MA / R 6.1(5.6)m / a 1.5(1.4)m / κ=2 / δ=0.67; pdf2md OCR 自 qedfusion_DOCS/REPORT/CONF/IAEA92/najmabadi.pdf(ARIES-II/IV 唯一在线文本, UCLA-PPG-1461 Final Report 站点标注无电子版)〔qedfusion ARIES 档案 · IAEA CN-56/W-3 (Najmabadi 1992, ARIES-II/IV) Table I〕</t>
  </si>
  <si>
    <t>修正: web 轮推荐值 11.3T 系把 Table I 的 ARIES-I[1] 列值误绑到 R=7.64 设计上; 与 xlsx ARIES-I′(R 7.64/a 1.7/Ip 10.9) 唯一咬合的第五列 Bφ0=10.6T; 同表无 κ/δ 行(I′ 的 δ 真无值); 11.3T 降为并存值(口径=原版 ARIES-I) | CSV 并录值: 21 / 10.6 / 11.3〔OSTI 148666《Evolution of the ARIES-I Design in the ARIES and PULSAR Projects》Table I (pdf2md OCR)〕</t>
  </si>
  <si>
    <t>S204 Table 1 p.60</t>
  </si>
  <si>
    <t>https://citeseerx.ist.psu.edu/document?doi=b3f3cd7397c3a5c413d6139e0a96479f1edd3438&amp;repid=rep1&amp;type=pdf</t>
  </si>
  <si>
    <t>1997最终版本R/a与原1996表相同，κX1.89较先前1.9、Ip11.32较11.3仅精度更细；κ95=1.70、δ95=.50，主表选X点κ1.89/δ.77，未混用95%。</t>
  </si>
  <si>
    <t>S205 Abstract</t>
  </si>
  <si>
    <t>https://www.sciencedirect.com/science/article/abs/pii/S0920379697001105</t>
  </si>
  <si>
    <t>S156 对比语境下明确归属 ARIES-RS (B0=8T)〔S156〕</t>
  </si>
  <si>
    <t>S131 §1</t>
  </si>
  <si>
    <t>https://qedfusion.org/DOCS/ARIES-ST/ENG-BOOK/</t>
  </si>
  <si>
    <t>κ和δ为X点。</t>
  </si>
  <si>
    <t>文中语句〔S133〕</t>
  </si>
  <si>
    <t>S133 Table 1 p.147</t>
  </si>
  <si>
    <t>https://aries.pppl.gov/LIB/REPORT/ARIES-ST/FINAL/ast-1-overview.pdf</t>
  </si>
  <si>
    <t>已取得正文Table1，a直接给出，无需推算；完整表Ip29MA，摘要及§1为28MA。采用整组表值29并保留内部差异，κ95/δ95。</t>
  </si>
  <si>
    <t>S142 Table 1</t>
  </si>
  <si>
    <t>压缩过程中R、a和电流联动；各端点不能任意组合。</t>
  </si>
  <si>
    <t>表格 TF | CSV 并录值: 2 / 4.7 / 2.0–5.0〔S003 Balshaw 2012 表格〕</t>
  </si>
  <si>
    <t>S145 Table 1, PDF p.7 / printed p.6</t>
  </si>
  <si>
    <t>https://aaltodoc.aalto.fi/server/api/core/bitstreams/f1f17a4d-744e-401e-9202-14fc59dd1985/content</t>
  </si>
  <si>
    <t>κ和δ均95%磁面，虽表头sep但脚注明确例外。 表下注明确BPX形状取95%磁面，不能按表头sep泛化。</t>
  </si>
  <si>
    <t>口径: 设计值(10.6 MA 版本 8.1 T); 与 9 T/11.8 MA 为不同设计阶段取值 | CSV 并录值: 9 / 8.1〔OSTI 5831026 — Confinement projections for the Burning Plasma Experiment〕</t>
  </si>
  <si>
    <t>S167 §4 p.A219</t>
  </si>
  <si>
    <t>https://wippl.wisc.edu/pub_files/journal/Fiksel297.pdf</t>
  </si>
  <si>
    <t>选1996热输运实验工况。</t>
  </si>
  <si>
    <t>S203 Table 1 p.14</t>
  </si>
  <si>
    <t>https://bp-pub.pppl.gov/pub_report/2004/PPPL-3988.pdf</t>
  </si>
  <si>
    <t>整组替换2005综述.335/.225/1.7/.07，采用2004原始实验表。OH现有电源限制电流约90kA，PF可支撑150kA不等于实际OH电流。形状参数为边界装置范围，非同一炮极值同时实现。</t>
  </si>
  <si>
    <t>2 kG = 0.2 T。Majeski, Nucl. Fusion 45 (2005) 亦写 "B_toroidal = 2 kG"；Ono et al. (Phys. Plasmas 2015 综述) 给 "BT0 ≤ 2.1 kG"（≤0.21 T）。PPPL 球形环，LTX 前身，勿与 LTX/LTX-β 混用。〔Majeski et al., Fusion Eng. Des. (2003) — Plasma performance improvements with liquid lithium limiters in CDX-U (免费PDF: pst.pppl.gov/ltx/pdf/Majeski_FED_2003.pdf)〕</t>
  </si>
  <si>
    <t>取2020代表设计汇总；早期CIT1.32m方案不同。</t>
  </si>
  <si>
    <t>口径: 设计值(轴上 B_T = 10 T)〔INIS — Compact Ignition Tokamak (CIT) 设计参数〕</t>
  </si>
  <si>
    <t>S128 p.5 §§1–2.1</t>
  </si>
  <si>
    <t>https://d3dfusion.org/wp-content/uploads/diii-d_capabilities_document.pdf</t>
  </si>
  <si>
    <t>形状和电流为能力范围，不保证同时实现；负三角度下限未量化。</t>
  </si>
  <si>
    <t>设计/标称 Bo | CSV 并录值: 2.0 / 2.1 / 2.2 / 1.51 / 2.17 / 0.6–2.2〔S001 IAEA World Survey 2022 表格〕</t>
  </si>
  <si>
    <t>双叶截面原表12×15cm，不能当成一个a。</t>
  </si>
  <si>
    <t>S172 Table I p.34</t>
  </si>
  <si>
    <t>https://www.osti.gov/servlets/purl/5325997</t>
  </si>
  <si>
    <t>截面列14×40cm，为非单一圆形小半径，a保持空；Ip正常.15MA（设计.32MA）。</t>
  </si>
  <si>
    <t>S166 p.37</t>
  </si>
  <si>
    <t>https://nucleus.iaea.org/sites/fusionportal/Shared%20Documents/FEC%20proceedings/1980.pdf</t>
  </si>
  <si>
    <t>2T下典型平台电流；文中2.4T下2.2MA为持续爬升峰值，不与本工况混合。</t>
  </si>
  <si>
    <t>2005表电流40/100kA，依表注选已实现40kA；100kA是当时未实现设计值。2013仍保留真空用于非托卡马克教学等离子体。</t>
  </si>
  <si>
    <t>Balshaw 表 TF 列为 0.25(1.0) T：0.25 T 运行/可达值，括号 1.0 T 为设计值。R=5.0 m, a=1.0 m（大半径极大的装置），Ip=0.045 MA；约 2005 年停运。AIP Conf. Proc. 论文另述运行范围 "toroidal field of 0.08 to 0.25 T"。UCLA（美国），非 ET(European Torus)。〔N.N. Balshaw, "Table of Tokamaks" (April 2012)〕</t>
  </si>
  <si>
    <t>S170 p.4</t>
  </si>
  <si>
    <t>https://thesis.caltech.edu/11306/1/Fredrickson_E_1985.pdf</t>
  </si>
  <si>
    <t>Ip约最大值；探针实验实际&lt;.004MA。与历史名录.45/.16/.02组显著不同，选1985原始论文。</t>
  </si>
  <si>
    <t>S144 Table I</t>
  </si>
  <si>
    <t>https://fire.pppl.gov/FIRE_fesac_4page.pdf</t>
  </si>
  <si>
    <t>表列X点κx=2/δx=.7；另κ95=1.77/δ95≈.4。</t>
  </si>
  <si>
    <t>口径: 设计值(名义 10 T) | CSV 并录值: 10 / 12〔Fusion Engineering and Design 58 (2001) — FIRE TF 线圈(BeCu 内腿)〕</t>
  </si>
  <si>
    <t>S148 §3.3 PDF p.43</t>
  </si>
  <si>
    <t>https://bp-pub.pppl.gov/pub_report/1997/PPPL-3250.pdf</t>
  </si>
  <si>
    <t>κ95和δ95；原文同时写A=3.5与R/a不一致，不另反算。</t>
  </si>
  <si>
    <t>文中语句〔S148〕</t>
  </si>
  <si>
    <t>S125 ohmic parameters</t>
  </si>
  <si>
    <t>https://fusion.columbia.edu/facilities/hbt-ep-tokamak</t>
  </si>
  <si>
    <t>采用机构页面；IAEA表64的R=0.94,a=0.2,Ip=0.32与官网不一致。 κ=1来自2005综述表明确列值，其他参数见各字段来源，非同一放电。 δ=0由原团队对圆形限制器等离子体的描述推算，仅该配置；HBT-EP亦有偏滤器工况。</t>
  </si>
  <si>
    <t>S194 circular limited plasma; 理想圆形推算</t>
  </si>
  <si>
    <t>https://meetings-archive.aps.org/dpp/2015/np12/67</t>
  </si>
  <si>
    <t>【几何推算】AM_S75明示limited circular plasma；δ=(Rgeo-Rtop)/a=0，仅名义限制器几何，非逐炮重建。
采用机构页面；IAEA表64的R=0.94,a=0.2,Ip=0.32与官网不一致。 κ=1来自2005综述表明确列值，其他参数见各字段来源，非同一放电。 δ=0由原团队对圆形限制器等离子体的描述推算，仅该配置；HBT-EP亦有偏滤器工况。</t>
  </si>
  <si>
    <t>S162 §1 p.1</t>
  </si>
  <si>
    <t>https://www-pub.iaea.org/MTCD/publications/PDF/csp_008c/pdf/exp4_16.pdf</t>
  </si>
  <si>
    <t>Ip为CHI已实现最大值。</t>
  </si>
  <si>
    <t>Table C.2 中独立行 'HIT-I(Shutdown)'（=Washington 大学 Helicity Injected Torus 原型），按表头 B_t(T)[Bp(T)] 列 → 0.5 T；同表 HIT-II 行(0.5 T)未转记，二者分别列出〔Committee1999_Opportunities_In_The_Fusion_Energy_Sciences_Program〕</t>
  </si>
  <si>
    <t>S163 Abstract</t>
  </si>
  <si>
    <t>https://nstx.pppl.gov/DragNDrop/Scientific_Conferences/ST_Workshop/STW02-Princeton/Abstracts/ReddA_A1_CHI_Mixing_HITv2.pdf</t>
  </si>
  <si>
    <t>Ip为CHI+OH实现值；2005综述另给κ1.9、Ip.37，未混用。</t>
  </si>
  <si>
    <t>实验论文口径 up to 0.5 T（APS-DPP 2000 摘要同给 B0=0.5 T）；另有报告称 HIT-II 升级后运行范围 0.15–0.6 T。两口径（0.5/0.67 T）并存，引用需注明来源。 | CSV 并录值: 0.5 / 0.67〔Raman et al., Phys. Plasmas 9, 2006 (2002) — Current drive experiments in the helicity injected torus (HIT-II)〕</t>
  </si>
  <si>
    <t>S150 Table 1.1 p.5</t>
  </si>
  <si>
    <t>https://www.osti.gov/servlets/purl/6752774</t>
  </si>
  <si>
    <t>改用同一报告Table1.1完整装置参数组：最大电流200kA；原AM_S28单次123kA是实验工况，保留为差异。原表明示plasma cross section circular。</t>
  </si>
  <si>
    <t>【几何推算】S150 Table1.1 a=b=.26m，κ=b/a=1；名义几何非逐炮重建
改用同一报告Table1.1完整装置参数组：最大电流200kA；原AM_S28单次123kA是实验工况，保留为差异。原表明示plasma cross section circular。</t>
  </si>
  <si>
    <t>【几何推算】S150 Table1.1 明示plasma cross section circular，理想δ=0，非逐炮重建
改用同一报告Table1.1完整装置参数组：最大电流200kA；原AM_S28单次123kA是实验工况，保留为差异。原表明示plasma cross section circular。</t>
  </si>
  <si>
    <t>整组为1980报告表1.1的名义椭圆能力，a=.27m、b=.495m、Ip最大200kA；R .92m与其他装置概述.93m有差异，采用同表。并非实测每炮形状；原实验还可有圆形和D形，1980塑形案例κ1.43 δ-.1不混入。</t>
  </si>
  <si>
    <t>【几何推算】S150 Table1.1 明示horizontal semiminor a=.27m、vertical semimajor b=.495m；κ=b/a=1.833333，非逐炮重建
整组为1980报告表1.1的名义椭圆能力，a=.27m、b=.495m、Ip最大200kA；R .92m与其他装置概述.93m有差异，采用同表。并非实测每炮形状；原实验还可有圆形和D形，1980塑形案例κ1.43 δ-.1不混入。</t>
  </si>
  <si>
    <t>【几何推算】S150 Table1.1 明示plasma cross section elliptical；理想椭圆δ=0，非逐炮重建
整组为1980报告表1.1的名义椭圆能力，a=.27m、b=.495m、Ip最大200kA；R .92m与其他装置概述.93m有差异，采用同表。并非实测每炮形状；原实验还可有圆形和D形，1980塑形案例κ1.43 δ-.1不混入。</t>
  </si>
  <si>
    <t>S192 p.1, Introduction</t>
  </si>
  <si>
    <t>https://www-pub.iaea.org/MTCD/Meetings/PDFplus/2010/cn180/cn180_papers/icc_p3-01.pdf</t>
  </si>
  <si>
    <t>2010原始报告给出的设计目标Ip&lt;400kA；初期调试限制Ip&lt;150kA，不能声称已实现400kA。限制器边界，未给95%磁面。</t>
  </si>
  <si>
    <t>S153 §2.1 p.3</t>
  </si>
  <si>
    <t>https://m3dc1.pppl.gov/Papers/banerjee_NF_24.pdf</t>
  </si>
  <si>
    <t>Ip为论文所述迄今最大实现值，非指定放电；IAEA175kA不作为实现值。</t>
  </si>
  <si>
    <t>3.4 kG = 0.34 T（升级后设计/安装值，约为 LTX 的 2 倍）。交叉印证：IOP Nucl. Fusion (2024, DOI 10.1088/1741-4326/ad2ca7) 写 "toroidal field of 3 kG on the axis"（0.3 T 轴上运行值）。冲突提示：Wikipedia 称升级"提高约 2/3"，与"约翻倍"矛盾；NASEM 报告的 0.17 T 实为 LTX 原始值（1.7 kG），疑被误标为 LTX-β。勿与 LTX (0.17 T) 混用。〔Majeski et al., APS DPP 2017 (UP11.102) — LTX-β 装置概述〕</t>
  </si>
  <si>
    <t>S199 Taylor et al. apparatus parameters</t>
  </si>
  <si>
    <t>https://info.fusion.ciemat.es/IAEA/IAEA_1980_VOL2.pdf</t>
  </si>
  <si>
    <t>采用1980原实验R=.9 a=.4；2013结项回顾写R=1.5m，既非diameter亦无法据其确认另一版本，保留冲突。1981理论模拟a=.45m属于另一边界，未混入。κ/δ待证据。</t>
  </si>
  <si>
    <t>表格 TF | CSV 并录值: 0.3 / 0.4〔S003 Balshaw 2012 表格〕</t>
  </si>
  <si>
    <t>S179 Table 1</t>
  </si>
  <si>
    <t>https://arxiv.org/html/2405.20243v1</t>
  </si>
  <si>
    <t>拟址未公开，依牵头设计团队列美国；上下对称双零、δ取上下平均。</t>
  </si>
  <si>
    <t>设计值：B0 = 11 T（Table 1；偏滤器对比表列 B_T = 11.1 T）。R0 = 4.55 m, a = 1.2 m, Ip = 10 MA, Pfus = 450 MW，18 个非绝缘 REBCO TF 线圈 @47.2 kA（20 K, LH2 冷却），负三角形度 δ=-0.5，ARC-class FPP 概念（MIT/Columbia/GA 课程设计研究，DOI 10.1088/1361-6587/ad6708）。注意：arXiv 2501.14682 的"3 T on-axis、16 个可拆卸铜 TF 线圈"是另一台 NT 实验装置，不是 MANTA。〔Rutherford et al. (MANTA Collaboration), "MANTA: A Negative-Triangularity NASEM-Compliant Fusion Pilot Plant", PPCF 66, 105006 (2024) / arXiv:2405.20243, Table 1〕</t>
  </si>
  <si>
    <t>S139 项目说明</t>
  </si>
  <si>
    <t>https://www.tec.ac.cr/implementacion-investigacion-plasmas-futura-fuente-energia-dispositivo-confinamiento-magnetico-tipo</t>
  </si>
  <si>
    <t>参数由接收机构追述。</t>
  </si>
  <si>
    <t>BT = 0.2–0.45 T（运行范围，脉冲 1–2 ms）。MEDUSA 为威斯康星大学 PEGASUS 的前身（1994–1999）；勿与哥斯达黎加 MEDUSA-CR 混用。〔UW-Madison PEGASUS 官网 — About Pegasus（历史装置）〕</t>
  </si>
  <si>
    <t>采用1980原实验R=.3 a=.1；2013结项回顾R=.4m，无法确定版本变更，原回顾数保留为差异。κ/δ无直接证据。</t>
  </si>
  <si>
    <t>表格 TF | CSV 并录值: 2 / 2.5〔S003 Balshaw 2012 表格〕</t>
  </si>
  <si>
    <t>S164 Table 1 PDF p.3</t>
  </si>
  <si>
    <t>https://www.osti.gov/servlets/purl/5587301</t>
  </si>
  <si>
    <t>低置信推断：MTX=LLNL 微波托卡马克实验，硬件即 MIT 转让的 Alcator C（Bitter 线圈，OSTI 5637584）。13 T 为捐出前 Alcator C 的设计最高场，非 MTX 运行值；MTX 自身运行 Bt 未查到（3 个查询变体均无）。〔Table of Tokamaks (GOLEM wiki) / OSTI 5637584 / nuclear-fusion.com.cn Alcator C〕</t>
  </si>
  <si>
    <t>S137 Facility Capabilities</t>
  </si>
  <si>
    <t>https://nstx.pppl.gov/DragNDrop/Scientific_Conferences/IAEA/IAEA_2010/Orals/Maingi_IAEA2010_talk_v4.pdf</t>
  </si>
  <si>
    <t>a为最大小半径；参数为2010能力范围。</t>
  </si>
  <si>
    <t>文中语句 | CSV 并录值: 0.3 / 0.45 / 0.55 / ≤0.6〔S176〕</t>
  </si>
  <si>
    <t>S073 Table 1 p.40</t>
  </si>
  <si>
    <t>采用同一2022综述表完整参数组；IAEA2022另列R=.934、a=.68，未混拼。2026恢复工程组装中，预期2027实验，2MA为设计额定值。</t>
  </si>
  <si>
    <t>电流是给定q=2.4时的设计值。</t>
  </si>
  <si>
    <t>表格 TF | CSV 并录值: 1.8 / 2.5〔S003 Balshaw 2012 表格〕</t>
  </si>
  <si>
    <t>S169 Table I</t>
  </si>
  <si>
    <t>https://citeseerx.ist.psu.edu/document?doi=3b9daf72322f57368746ee66a7c1d519c76d4956&amp;repid=rep1&amp;type=pdf</t>
  </si>
  <si>
    <t>S003 表格原文人工直读(原解析漏值); 列序 R a B Ip; 下一行 PBX-M 为 2T 勿混〔S003 Balshaw 2012 表格(人工直读补漏)〕</t>
  </si>
  <si>
    <t>S148 PDF p.56 Table 1, shot260678</t>
  </si>
  <si>
    <t>原.30m为装置bean中平面腰部名义a；现采用完整放电260678同表a=.28m。κ/δ为该表值，未注95%磁面；indentation=.18另列备注，未混同δ。表援引LeBlanc NF33(1993)1645。</t>
  </si>
  <si>
    <t>表格 TF | CSV 并录值: 2 / 1.5 / 1.06〔S003 Balshaw 2012 表格〕</t>
  </si>
  <si>
    <t>κ/δ仅对应原始论文的initial PDX circular plasma实验模型，非所有偏滤器工况的平衡实测。原R/a/Ip为既有装置参数，不宣称与所有工况同时实现。</t>
  </si>
  <si>
    <t>S207 Abstract</t>
  </si>
  <si>
    <t>https://digital.library.unt.edu/ark:/67531/metadc1055883/</t>
  </si>
  <si>
    <t>【几何推算】S207 明示initial PDX circular plasma；理想κ=b/a=1，非逐炮实测
κ/δ仅对应原始论文的initial PDX circular plasma实验模型，非所有偏滤器工况的平衡实测。原R/a/Ip为既有装置参数，不宣称与所有工况同时实现。</t>
  </si>
  <si>
    <t>【几何推算】S207 明示initial PDX circular plasma；理想δ=0，非逐炮实测
κ/δ仅对应原始论文的initial PDX circular plasma实验模型，非所有偏滤器工况的平衡实测。原R/a/Ip为既有装置参数，不宣称与所有工况同时实现。</t>
  </si>
  <si>
    <t>2022综述代表参数；2005综述另列R=.45、a=.41、κ3.7、已达.16/设计.30MA，版本/参数定义不同，未混填。</t>
  </si>
  <si>
    <t>0.17 T 为原 PEGASUS（UW-Madison）运行口径；勿与 PEGASUS-III（0.2 T 设计）混用。〔NASEM "Bringing Fusion to the U.S. Grid" (2021) — 装置附录 Pegasus 条目〕</t>
  </si>
  <si>
    <t>S154 Introduction</t>
  </si>
  <si>
    <t>https://www.tandfonline.com/doi/full/10.1080/15361055.2025.2456893</t>
  </si>
  <si>
    <t>R约值；IAEA的a=.37和Ip=1MA不同版本/疑误，不混填。</t>
  </si>
  <si>
    <t>S175 §III</t>
  </si>
  <si>
    <t>https://www.researchgate.net/publication/258081070_Alfven_ion-ion_hybrid_wave_heating_in_the_Phaedrus-T_tokamak</t>
  </si>
  <si>
    <t>70kA为论文加热实验工况，不代表装置最大值。</t>
  </si>
  <si>
    <t>S171 Table 1</t>
  </si>
  <si>
    <t>https://www.osti.gov/servlets/purl/6290075</t>
  </si>
  <si>
    <t>R原文标vessel major radius，a标limiter radius；Ip1981已达值，设计80kA未混用。 κ/δ由原文15cm半径annular limiter几何推算，非逐炮边界重建。</t>
  </si>
  <si>
    <t>S171 PDFp63 名义几何推算</t>
  </si>
  <si>
    <t>【几何推算】S171 PDFp63 annular limiter radius15cm；理想圆形限制器κ=b/a=1，非逐炮重建
R原文标vessel major radius，a标limiter radius；Ip1981已达值，设计80kA未混用。 κ/δ由原文15cm半径annular limiter几何推算，非逐炮边界重建。</t>
  </si>
  <si>
    <t>【几何推算】S171 PDFp63 annular limiter radius15cm；理想圆形限制器δ=0，非逐炮重建
R原文标vessel major radius，a标limiter radius；Ip1981已达值，设计80kA未混用。 κ/δ由原文15cm半径annular limiter几何推算，非逐炮边界重建。</t>
  </si>
  <si>
    <t>S142 Table 2</t>
  </si>
  <si>
    <t>1974未来机设计表，非已实现最大值。</t>
  </si>
  <si>
    <t>表格 TF | CSV 并录值: 4 / 3.5〔S003 Balshaw 2012 表格〕</t>
  </si>
  <si>
    <t>S200 D. Special Equipment and Facilities</t>
  </si>
  <si>
    <t>https://library.psfc.mit.edu/catalog/reports/1980/80rr/80rr018/80rr018_full.pdf</t>
  </si>
  <si>
    <t>R=58cm直接给出；35×70cm minor cross-section未明确等离子体边界，不据此推a/κ/δ。2013回顾仅确认Rector存在。</t>
  </si>
  <si>
    <t>κsep、δsep为分离面；名义DT H-mode，不是已实现放电。</t>
  </si>
  <si>
    <t>设计/标称 Bo | CSV 并录值: 12 / 12.2 / 12.2 / 8.0〔S001 IAEA World Survey 2022 表格; S202〕</t>
  </si>
  <si>
    <t>S208 Table II.C-IA p.56</t>
  </si>
  <si>
    <t>https://www.osti.gov/servlets/purl/6332214</t>
  </si>
  <si>
    <t>同表完整工程参考组；水平a=R/A=1.94444m，表内average minor radius2.38m不能当水平a。原1980早期Table2 Ip11MA、R7/a1.94/κ1.6与此后续Ip10.1不同，已保留差异；不把后续δ硬拼到早期电流上。</t>
  </si>
  <si>
    <t>S208 TableII.C-IA R/A换算</t>
  </si>
  <si>
    <t>【几何推算】S208 TableII.C-IA R=7m、A=3.6；a=R/A=1.944444m，换算非实测；表中2.38m为average minor radius不同定义
同表完整工程参考组；水平a=R/A=1.94444m，表内average minor radius2.38m不能当水平a。原1980早期Table2 Ip11MA、R7/a1.94/κ1.6与此后续Ip10.1不同，已保留差异；不把后续δ硬拼到早期电流上。</t>
  </si>
  <si>
    <t>11T 为 TF 线圈导体峰值(非轴上)〔S157〕</t>
  </si>
  <si>
    <t>2009论文讨论托卡马克控制；2011改用于低温微波环形等离子体，未将加拿大1986运行值复制为美国实现值。</t>
  </si>
  <si>
    <t>表格 TF | CSV 并录值: 1 / 0.8〔S003 Balshaw 2012 表格; S151〕</t>
  </si>
  <si>
    <t>给定q=3设计电流。</t>
  </si>
  <si>
    <t>口径: 双源冲突并录——Wesson Table 11.23 参数表 4.4 T vs Balshaw 2012 表 5 T(R=1.09/a=0.13/Ip=0.13 与调研行指纹逐位吻合)+Taylor 1987 表Ⅰ 50 kG=5 T 双印证; PPPL Princeton, Model C 改造, 1970-1974</t>
  </si>
  <si>
    <t>q=2.4设计值。</t>
  </si>
  <si>
    <t>Balshaw 名 TTT/Texas Turbulent Torus; TF 由 16 个 Bitter 线圈产生〔S003 Balshaw 2012 表格(人工直读补漏)〕</t>
  </si>
  <si>
    <t>S167 §4 pp.A220–A221</t>
  </si>
  <si>
    <t>p.A220小半径单位误排成cm；p.A221明确limiter r=.27m、探针r=.283m，故按.27m记录。</t>
  </si>
  <si>
    <t>表格 TF | CSV 并录值: 2.8 / 0.25〔S003 Balshaw 2012 表格; Wesson2011_Tokamak_edition4〕</t>
  </si>
  <si>
    <t>S188 TIME 3.760 s; RGEO/AMIN/KAPPA/DELTA/IP</t>
  </si>
  <si>
    <t>https://tokamak-profiledb.ukaea.org.uk/PR08/itpa_pr08/tftr/80539/pr08_tftr_80539_0d.dat</t>
  </si>
  <si>
    <t>80539号，1994-11-02，t=3.760 s；采用PR08公开数据整组替换原官方历史页面四舍五入的R=2.52/a=.87/Ip=2.7。δ为上下平均，δ下=.02115、δ上=.02117；κ95/δ95无有效值。CONFIG虽为CIRC，真实重建κ=1.020、δ=.02116，因此不强制理想圆形。参数不是工程极限；磁轴RMAG=2.708m未冒充几何大半径。</t>
  </si>
  <si>
    <t>运行值(on-axis) | CSV 并录值: 4.8 / 5.0 / 4.75〔Snyder1999_thesis_Gyrofluid Theory and Simulation of Electromagnetic Turbulence annd Transport in Tokamak Plasmas〕</t>
  </si>
  <si>
    <t>S146 Table I p.1578</t>
  </si>
  <si>
    <t>https://w3.pppl.gov/~fisch/fisch_b2.pdf</t>
  </si>
  <si>
    <t>κ=1为AM_S25原表直接值；δ=0仅名义圆形模型推算。同机80539号真实重建δ=.02116，已另列，不以推算替代实际重建。</t>
  </si>
  <si>
    <t>S193 plasma shape; 理想圆形几何推算</t>
  </si>
  <si>
    <t>https://news.mit.edu/1994/fusion-0105</t>
  </si>
  <si>
    <t>【几何推算】AM_S74明确TFTR等离子体截面为圆形；理想模型δ=(Rgeo-Rtop)/a=0，非磁平衡实测。
κ=1为AM_S25原表直接值；δ=0仅名义圆形模型推算。同机80539号真实重建δ=.02116，已另列，不以推算替代实际重建。</t>
  </si>
  <si>
    <t>S165 Table 3-1</t>
  </si>
  <si>
    <t>https://wippl.wisc.edu/pub_files/theses/thesisKortbawi50_1987.pdf</t>
  </si>
  <si>
    <t>R=0.50 a=0.10 Ip=0.025MA; 极向偏滤器构型(八极场线圈) | CSV 并录值: 0.1 / 0.5 / 0.45〔S003 Balshaw 2012 表格(人工直读补漏)〕</t>
  </si>
  <si>
    <t>S143 Table I</t>
  </si>
  <si>
    <t>https://fire.pppl.gov/tpx_1995.pdf</t>
  </si>
  <si>
    <t>κx=2、δx=.8；未建。</t>
  </si>
  <si>
    <t>口径: 设计值(轴上 4 T)〔The design of the Tokamak Physics Experiment (TPX)〕</t>
  </si>
  <si>
    <t>S158 Table 1 p.12</t>
  </si>
  <si>
    <t>https://www.osti.gov/servlets/purl/6181362</t>
  </si>
  <si>
    <t>表格 TF | CSV 并录值: 1 / 1.5〔S003 Balshaw 2012 表格〕</t>
  </si>
  <si>
    <t>S191 PDF p.13 parameter table</t>
  </si>
  <si>
    <t>https://jenkins.mdsplus.org/research/alcator/pubs/Porkolab.HTSC.Villigen.2014.Final-1.pdf</t>
  </si>
  <si>
    <t>原团队2014展示的Vulcan2012概念整组；原2011低杂波论文形状口径κ95/δ95；展示表未重复下标。</t>
  </si>
  <si>
    <t>文中语句 | CSV 并录值: 7 / 7.0〔S156; S176〕</t>
  </si>
  <si>
    <t>S151 Thesis abstract</t>
  </si>
  <si>
    <t>https://harvest.usask.ca/items/2a1ea49c-0e0a-4861-85ea-4192c28c844e/full</t>
  </si>
  <si>
    <t>典型电流5kA。</t>
  </si>
  <si>
    <t>S124 STOR-M table</t>
  </si>
  <si>
    <t>https://research-groups.usask.ca/plasma-physics/research-programs.php</t>
  </si>
  <si>
    <t>官网电流30–60 kA；IAEA表10误列30–60 MA，不采用。κ=1来自2005综述表明确列值，其他参数见各字段来源，非同一放电。δ按原文明示的名义圆形等离子体模型推算，不能视为实际重建值。该原始实验a=.12m；主表a=.125m为既有装置汇总，形状采用名义圆形模型，非组合成同一炮。</t>
  </si>
  <si>
    <t>S195 Introduction；名义圆形几何推算</t>
  </si>
  <si>
    <t>https://arxiv.org/abs/1911.03344</t>
  </si>
  <si>
    <t>【几何推算】S195 Introduction 明示圆形等离子体截面；理想模型δ=(Rgeo-Rtop)/a=0，非逐炮平衡实测。
官网电流30–60 kA；IAEA表10误列30–60 MA，不采用。κ=1来自2005综述表明确列值，其他参数见各字段来源，非同一放电。δ按原文明示的名义圆形等离子体模型推算，不能视为实际重建值。该原始实验a=.12m；主表a=.125m为既有装置汇总，形状采用名义圆形模型，非组合成同一炮。</t>
  </si>
  <si>
    <t>表格 TF | CSV 并录值: 1 / 0.7〔S003 Balshaw 2012 表格〕</t>
  </si>
  <si>
    <t>S152 §2.2 p.5</t>
  </si>
  <si>
    <t>https://fusion.gat.com/pubs-ext/PSI96/A22359.pdf</t>
  </si>
  <si>
    <t>1996上单零实验；停止年份由AM_S02。</t>
  </si>
  <si>
    <t>表格 TF | CSV 并录值: 1.7 / 2.1〔S003 Balshaw 2012 表格〕</t>
  </si>
  <si>
    <t>S140 Abstract</t>
  </si>
  <si>
    <t>https://www.sciencedirect.com/science/article/abs/pii/S0022311502009005</t>
  </si>
  <si>
    <t>a_p=0.06为等离子体，a_v=0.08为真空室，不能混用。 κ=1来自2005综述表明确列值，其他参数见各字段来源，非同一放电。 缺失形状参数以原文明示的名义圆形等离子体模型推算，不能视为实际重建值。</t>
  </si>
  <si>
    <t>S197 Results；名义圆形几何推算</t>
  </si>
  <si>
    <t>https://www.sciencedirect.com/science/article/abs/pii/S0920379600000995</t>
  </si>
  <si>
    <t>【几何推算】S197 Results 明示圆形等离子体截面；理想模型δ=(Rgeo-Rtop)/a=0，非逐炮平衡实测。
a_p=0.06为等离子体，a_v=0.08为真空室，不能混用。 κ=1来自2005综述表明确列值，其他参数见各字段来源，非同一放电。 缺失形状参数以原文明示的名义圆形等离子体模型推算，不能视为实际重建值。</t>
  </si>
  <si>
    <t>表格 TF | CSV 并录值: 0.5 / 0.47〔S003 Balshaw 2012 表格〕</t>
  </si>
  <si>
    <t>S178 Abstract</t>
  </si>
  <si>
    <t>https://conferences.iaea.org/event/10/contributions/555/</t>
  </si>
  <si>
    <t>D形低环径比设计；未从D形文字推定κ或δ。</t>
  </si>
  <si>
    <t>口径: 设计值未建成; INIS 2010 'Mexican Design of a Tokamak Experimental Facility'; 引句同句 R=41cm/a=18.5cm/Ip=277kA/toroidal field 1.3T; conf 0.6</t>
  </si>
  <si>
    <t>口径: 升级型 TPM-1U 设计值(环心最大 0.5 T, ≥2ms; 墨西哥 ININ设计/IPN组装); TPM-1 原始运行值未定位; Nieto-Perez JPCS 370 (2012); conf 0.5</t>
  </si>
  <si>
    <t>S176 Table I p.2</t>
  </si>
  <si>
    <t>https://rmf.smf.mx/ojs/index.php/rmf/article/download/7241/6885/26427</t>
  </si>
  <si>
    <t>Table I设计值；同文Table II磁场计算却用Rp=.45m、rp=.10m，且2015设计摘要R=.45m/a=.15m；属于来源内部几何差异，不宣称当前已建成。</t>
  </si>
  <si>
    <t>口径: 设计值范围(中心磁场 0.5-1.0 T); INIS b4vy7-4kj61 称 'expected magnetic field in the ...'〔Rev. Mex. Fis. 70(2) — prototype coil with demountable contacts for TPM-1U (CICATA Queretaro)〕</t>
  </si>
  <si>
    <t>S206 ETE project parameter table</t>
  </si>
  <si>
    <t>https://indico.ictp.it/event/a02010/contribution/22/material/0/0.pdf</t>
  </si>
  <si>
    <t>整组采用早期ETE项目表，Ip220kA为目标，原IAEA2022列表45kA及2003原始报告初期40–60kA属于已实现低能量运行，保留差异，不能把220kA声称已实现。a由同表R/A推算。</t>
  </si>
  <si>
    <t>S206 R/A几何推算</t>
  </si>
  <si>
    <t>【几何推算】S206 同一表R=.30m、A=1.5；a=R/A=.20m，换算非实测
整组采用早期ETE项目表，Ip220kA为目标，原IAEA2022列表45kA及2003原始报告初期40–60kA属于已实现低能量运行，保留差异，不能把220kA声称已实现。a由同表R/A推算。</t>
  </si>
  <si>
    <t>S001 Table 7 / p.19</t>
  </si>
  <si>
    <t>仅2022汇总，需按原始设计/实验工况补核。 κ=1来自2005综述表明确列值，其他参数见各字段来源，非同一放电。 2017官方FURG迁移/运行证明与IAEA2022机构不同，名称不代表当前地点。 δ0由IAEA表7明确圆形限制器配置推算，非磁平衡实测。</t>
  </si>
  <si>
    <t>S001 Table7, circular limiter名义几何推算</t>
  </si>
  <si>
    <t>【几何推算】S001 Table7 明示 magnetic field configuration=circular limiter；理想限制器边界δ=0，非逐炮重建
仅2022汇总，需按原始设计/实验工况补核。 κ=1来自2005综述表明确列值，其他参数见各字段来源，非同一放电。 2017官方FURG迁移/运行证明与IAEA2022机构不同，名称不代表当前地点。 δ0由IAEA表7明确圆形限制器配置推算，非磁平衡实测。</t>
  </si>
  <si>
    <t>S141 §2</t>
  </si>
  <si>
    <t>https://web.if.usp.br/controle/sites/portal.if.usp.br.ifusp/files/Heller%20NF%201995.pdf</t>
  </si>
  <si>
    <t>a=限制器半径；真空室半径0.11m不填等离子体a。</t>
  </si>
  <si>
    <t>S001 Table 9 / p.21</t>
  </si>
  <si>
    <t>仅2022汇总，需按原始设计/实验工况补核。 κ=1来自2005综述表明确列值，其他参数见各字段来源，非同一放电。 缺失形状参数以原文明示的名义圆形等离子体模型推算，不能视为实际重建值。</t>
  </si>
  <si>
    <t>S196 Section II；名义圆形几何推算</t>
  </si>
  <si>
    <t>https://fisica.ufpr.br/viana/artigos/2008/synchronization.pdf</t>
  </si>
  <si>
    <t>【几何推算】S196 Section II 明示圆形等离子体截面；理想模型δ=(Rgeo-Rtop)/a=0，非逐炮平衡实测。
仅2022汇总，需按原始设计/实验工况补核。 κ=1来自2005综述表明确列值，其他参数见各字段来源，非同一放电。 缺失形状参数以原文明示的名义圆形等离子体模型推算，不能视为实际重建值。</t>
  </si>
  <si>
    <t>设计/标称 Bo | CSV 并录值: 1.1 / 1.07〔S001 IAEA World Survey 2022 表格〕</t>
  </si>
  <si>
    <t>官网列上限；迁移后的重建状态需新证据。</t>
  </si>
  <si>
    <t>原表Ip=45/100kA，100kA为当时未达设计值；2022目录给0.05MA。 1996原团队另报告R=.3m、a=.1m、Ip=.036MA，晚于/早于其他表的运行点不同；不将德国UNITOR的理想圆截面机械赋给当前κ=1.25的埃及版本。</t>
  </si>
  <si>
    <t>设计/标称 Bo〔S001 IAEA World Survey 2022 表格; S002 Gryaznevich 2005 ST综述 表格; S003 Balshaw 2012 表格〕</t>
  </si>
  <si>
    <t xml:space="preserve">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</si>
  <si>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S003 历史汇编p6该装置行/截面类型列；名义圆形几何换算</t>
  </si>
  <si>
    <t>【几何推算】S003 历史汇编p6该装置行/截面类型列：历史汇编明示名义圆截面；尚缺同版本原始平衡测量；采用理想圆形边界，δ=(Rgeo−Rtop)/a=0。名义几何推算，非逐炮平衡实测。
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</si>
  <si>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S224 §3.1 p.21；Table4.1 p.47</t>
  </si>
  <si>
    <t>https://researchspace.ukzn.ac.za/server/api/core/bitstreams/0982d234-6ae2-489b-9e1e-b8796f53000e/content</t>
  </si>
  <si>
    <t>R为腔体主半径；a为限制器定义等离子体半径，区别腔体aw0.28m。Ip120kA为参考炮最大值；另有图注160kA，未混同。 几何推算只表示文献所述名义截面；有限β、Shafranov位移、限制器位置变化及实际放电可能产生非零δ或κ偏离1。</t>
  </si>
  <si>
    <t>S224 p21 §3.1；名义圆形几何换算</t>
  </si>
  <si>
    <t>【几何推算】S224 p21 §3.1：实际限制器由两个180°半环构成完整极向圆孔，限定名义等离子体截面；采用理想圆形边界，κ=b/a=1。名义几何推算，非逐炮平衡实测。
R为腔体主半径；a为限制器定义等离子体半径，区别腔体aw0.28m。Ip120kA为参考炮最大值；另有图注160kA，未混同。 几何推算只表示文献所述名义截面；有限β、Shafranov位移、限制器位置变化及实际放电可能产生非零δ或κ偏离1。</t>
  </si>
  <si>
    <t>【几何推算】S224 p21 §3.1：实际限制器由两个180°半环构成完整极向圆孔，限定名义等离子体截面；采用理想圆形边界，δ=(Rgeo−Rtop)/a=0。名义几何推算，非逐炮平衡实测。
R为腔体主半径；a为限制器定义等离子体半径，区别腔体aw0.28m。Ip120kA为参考炮最大值；另有图注160kA，未混同。 几何推算只表示文献所述名义截面；有限β、Shafranov位移、限制器位置变化及实际放电可能产生非零δ或κ偏离1。</t>
  </si>
  <si>
    <t>表列运行期1998–2001。</t>
  </si>
  <si>
    <t>S225 printed p.16</t>
  </si>
  <si>
    <t>https://lac913.epfl.ch/epsppd3/1975/EPS_07_Vol1_1975.pdf</t>
  </si>
  <si>
    <t>a取aperture radius；原文电流≤25kA。不同于后续腔体尺寸/改造。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</si>
  <si>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历史汇编p6该装置行/截面类型列：历史汇编明示名义圆截面；尚缺同版本原始平衡测量；采用理想圆形边界，κ=b/a=1。名义几何推算，非逐炮平衡实测。
a取aperture radius；原文电流≤25kA。不同于后续腔体尺寸/改造。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</si>
  <si>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历史汇编p6该装置行/截面类型列：历史汇编明示名义圆截面；尚缺同版本原始平衡测量；采用理想圆形边界，δ=(Rgeo−Rtop)/a=0。名义几何推算，非逐炮平衡实测。
a取aperture radius；原文电流≤25kA。不同于后续腔体尺寸/改造。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</si>
  <si>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Balshaw记1978–1984；数值近似最优且不一定同时达到。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</si>
  <si>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历史汇编p6该装置行/截面类型列：历史汇编明示名义圆截面；尚缺同版本原始平衡测量；采用理想圆形边界，κ=b/a=1。名义几何推算，非逐炮平衡实测。
Balshaw记1978–1984；数值近似最优且不一定同时达到。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</si>
  <si>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历史汇编p6该装置行/截面类型列：历史汇编明示名义圆截面；尚缺同版本原始平衡测量；采用理想圆形边界，δ=(Rgeo−Rtop)/a=0。名义几何推算，非逐炮平衡实测。
Balshaw记1978–1984；数值近似最优且不一定同时达到。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</si>
  <si>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表格 TF | CSV 并录值: 2.1 / 3.0〔S003 Balshaw 2012 表格〕</t>
  </si>
  <si>
    <t>S226 §3 p.687</t>
  </si>
  <si>
    <t>https://users.cecs.anu.edu.au/~Gerard.Borg/public/Borg_PUB2.pdf</t>
  </si>
  <si>
    <t>R44cm、限制器等离子体半径10.5cm、放电峰值20kA；非腔体矩形截面尺寸。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</si>
  <si>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历史汇编p10该装置行/截面类型列：历史汇编明示名义圆截面；尚缺同版本原始平衡测量；采用理想圆形边界，κ=b/a=1。名义几何推算，非逐炮平衡实测。
R44cm、限制器等离子体半径10.5cm、放电峰值20kA；非腔体矩形截面尺寸。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</si>
  <si>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【几何推算】S003 历史汇编p10该装置行/截面类型列：历史汇编明示名义圆截面；尚缺同版本原始平衡测量；采用理想圆形边界，δ=(Rgeo−Rtop)/a=0。名义几何推算，非逐炮平衡实测。
R44cm、限制器等离子体半径10.5cm、放电峰值20kA；非腔体矩形截面尺寸。 几何推算只表示文献所述名义截面；有限β、Shafranov位移、限制器位置变化及实际放电可能产生非零δ或κ偏离1。 形状推算的证据层级为历史汇编，仍待原始装置文献核验；数值参数原有来源不变。</t>
  </si>
  <si>
    <t>来源文献 · 引用索引</t>
  </si>
  <si>
    <t>241 条按DOI或URL去重的来源；原始索引保留在末列。全文、官方页面、摘要及检索摘要分别标记。</t>
  </si>
  <si>
    <t>文献／资料标题</t>
  </si>
  <si>
    <t>作者／机构</t>
  </si>
  <si>
    <t>年份</t>
  </si>
  <si>
    <t>类型</t>
  </si>
  <si>
    <t>访问证据</t>
  </si>
  <si>
    <t>DOI</t>
  </si>
  <si>
    <t>页码／表号／章节</t>
  </si>
  <si>
    <t>原始索引</t>
  </si>
  <si>
    <t>World Survey of Fusion Devices 2022</t>
  </si>
  <si>
    <t>IAEA</t>
  </si>
  <si>
    <t>官方目录</t>
  </si>
  <si>
    <t>全文</t>
  </si>
  <si>
    <t>各装置章及参数表；各装置章节及参数表；pp.19–22,76–81,152–153；各装置章节/参数表</t>
  </si>
  <si>
    <t>AS_S01; EU_S01; AM_S01; RW_S01</t>
  </si>
  <si>
    <t>Joint research using small tokamaks</t>
  </si>
  <si>
    <t>M. P. Gryaznevich et al.</t>
  </si>
  <si>
    <t>综述</t>
  </si>
  <si>
    <t>10.1088/0029-5515/45/10/S20</t>
  </si>
  <si>
    <t>Table 1 pp. S247–S248；p. S246口径说明；Table 1 continued p.S248；§2 p.S246；Table 1, pp. S247–S248；斜杠定义见S246</t>
  </si>
  <si>
    <t>AS_S02; AM_S42; RW_S02</t>
  </si>
  <si>
    <t>Comparison table of 'Conventional' Tokamaks</t>
  </si>
  <si>
    <t>N. H. Balshaw</t>
  </si>
  <si>
    <t>历史资料</t>
  </si>
  <si>
    <t>各装置行，末页口径；12页；2012年4月版；12页历史名录；各装置条目；2012-04版</t>
  </si>
  <si>
    <t>AS_S03; EU_S02; AM_S20; RW_S10</t>
  </si>
  <si>
    <t>S004</t>
  </si>
  <si>
    <t>3D passive stabilization of n=0 MHD modes in EAST tokamak</t>
  </si>
  <si>
    <t>原始论文</t>
  </si>
  <si>
    <t>检索摘要</t>
  </si>
  <si>
    <t>10.1038/srep32440</t>
  </si>
  <si>
    <t>The EAST tokamak section</t>
  </si>
  <si>
    <t>AS_S04</t>
  </si>
  <si>
    <t>S005</t>
  </si>
  <si>
    <t>EXL Fusion Power Technology R&amp;D</t>
  </si>
  <si>
    <t>Y.-K. M. Peng</t>
  </si>
  <si>
    <t>设计报告</t>
  </si>
  <si>
    <t>https://firefusionpower.org/FPA20_Peng_EXL_fusion_ENN.pdf</t>
  </si>
  <si>
    <t>slide 6</t>
  </si>
  <si>
    <t>AS_S05</t>
  </si>
  <si>
    <t>S006</t>
  </si>
  <si>
    <t>The KSTAR Tokamak</t>
  </si>
  <si>
    <t>D. I. Choi et al.</t>
  </si>
  <si>
    <t>Table I p.216</t>
  </si>
  <si>
    <t>AS_S06</t>
  </si>
  <si>
    <t>Living with Plasmas</t>
  </si>
  <si>
    <t>官方页面</t>
  </si>
  <si>
    <t>SST-1 device description</t>
  </si>
  <si>
    <t>AS_S07</t>
  </si>
  <si>
    <t>S008</t>
  </si>
  <si>
    <t>Recent progress of JT-60SA project for the promotion of fusion research and development</t>
  </si>
  <si>
    <t>H. Shirai, P. Barabaschi, Y. Kamada and JT-60SA team</t>
  </si>
  <si>
    <t>Table 1</t>
  </si>
  <si>
    <t>AS_S08</t>
  </si>
  <si>
    <t>S009</t>
  </si>
  <si>
    <t>JT-60SA増力作業</t>
  </si>
  <si>
    <t>QST</t>
  </si>
  <si>
    <t>https://www.qst.go.jp/site/jt60/progress.html</t>
  </si>
  <si>
    <t>2026-08-06更新</t>
  </si>
  <si>
    <t>AS_S09</t>
  </si>
  <si>
    <t>S010</t>
  </si>
  <si>
    <t>Changes in the JT-60SA project organization</t>
  </si>
  <si>
    <t>https://www.jt60sa.org/wp/changes-in-the-jt-60sa-project-organization/</t>
  </si>
  <si>
    <t>AS_S10</t>
  </si>
  <si>
    <t>S011</t>
  </si>
  <si>
    <t>The Preliminary design of SUNIST-2:A Spherical Tokamak</t>
  </si>
  <si>
    <t>https://www.sciencedirect.com/science/article/pii/S0920379625000675</t>
  </si>
  <si>
    <t>10.1016/j.fusengdes.2025.114865</t>
  </si>
  <si>
    <t>Abstract; Introduction</t>
  </si>
  <si>
    <t>AS_S11</t>
  </si>
  <si>
    <t>S012</t>
  </si>
  <si>
    <t>Startorus Successfully Operates the First Experimental Fusion Device</t>
  </si>
  <si>
    <t>Startorus Fusion</t>
  </si>
  <si>
    <t>https://startorus.com/progress-news/154.html</t>
  </si>
  <si>
    <t>first-round operation</t>
  </si>
  <si>
    <t>AS_S12</t>
  </si>
  <si>
    <t>Overview of EXL-50 research progress</t>
  </si>
  <si>
    <t>10.1088/1741-4326/adf239</t>
  </si>
  <si>
    <t>Table 3; EXL-50U section</t>
  </si>
  <si>
    <t>AS_S13</t>
  </si>
  <si>
    <t>Development and construction of magnet system for world’s first full high temperature superconducting tokamak</t>
  </si>
  <si>
    <t>Z. Y. Li et al.</t>
  </si>
  <si>
    <t>10.1016/j.supcon.2024.100137</t>
  </si>
  <si>
    <t>Abstract</t>
  </si>
  <si>
    <t>AS_S14</t>
  </si>
  <si>
    <t>S015</t>
  </si>
  <si>
    <t>Simulation and Comparative Analysis of Advanced Scenarios for High- and Low-Temperature Superconducting Tokamak Using METIS Code</t>
  </si>
  <si>
    <t>Table 2 BEST Q≈5 column</t>
  </si>
  <si>
    <t>AS_S15</t>
  </si>
  <si>
    <t>S016</t>
  </si>
  <si>
    <t>BEST装置建设阶段性进展</t>
  </si>
  <si>
    <t>ASIPP</t>
  </si>
  <si>
    <t>https://www.ipp.cas.cn/xwdt/tpxw/202605/t20260501_835977.html</t>
  </si>
  <si>
    <t>AS_S16</t>
  </si>
  <si>
    <t>NTST, a negative triangularity spherical tokamak</t>
  </si>
  <si>
    <t>Yi Tan; Shouzhi Wang et al.</t>
  </si>
  <si>
    <t>§2 pp.1–2</t>
  </si>
  <si>
    <t>AS_S17</t>
  </si>
  <si>
    <t>S018</t>
  </si>
  <si>
    <t>The first plasma breakdown in Thailand Tokamak-1 using the Ohmic heating and double swing flux methods based on magnetic field analysis</t>
  </si>
  <si>
    <t>10.1016/j.fusengdes.2024.114781</t>
  </si>
  <si>
    <t>AS_S18</t>
  </si>
  <si>
    <t>Conceptual Design of Formosa Integrated Research Spherical Tokamak</t>
  </si>
  <si>
    <t>WenYi Chen et al.</t>
  </si>
  <si>
    <t>摘要</t>
  </si>
  <si>
    <t>APS DPP 2025 abstract</t>
  </si>
  <si>
    <t>AS_S19</t>
  </si>
  <si>
    <t>FAST Project</t>
  </si>
  <si>
    <t>Starlight Engine</t>
  </si>
  <si>
    <t>页面</t>
  </si>
  <si>
    <t>Specification of FAST table</t>
  </si>
  <si>
    <t>AS_S20</t>
  </si>
  <si>
    <t>S021</t>
  </si>
  <si>
    <t>Design and Analysis of SST-2 Vacuum Vessel</t>
  </si>
  <si>
    <t>https://nucleus.iaea.org/sites/fusionportal/Shared%20Documents/FEC%202016/fec2016-preprints/preprint0496.pdf</t>
  </si>
  <si>
    <t>AS_S21</t>
  </si>
  <si>
    <t>K-DEMO and CPD</t>
  </si>
  <si>
    <t>Key parameters for a preliminary K-DEMO system design</t>
  </si>
  <si>
    <t>AS_S22</t>
  </si>
  <si>
    <t>S023</t>
  </si>
  <si>
    <t>Observation of High Recycling Steady H-mode Edge and Compatibility with Improved Core Confinement Mode on JFT-2M</t>
  </si>
  <si>
    <t>K. Kamiya et al.</t>
  </si>
  <si>
    <t>p.1 §1–2</t>
  </si>
  <si>
    <t>AS_S23</t>
  </si>
  <si>
    <t>S024</t>
  </si>
  <si>
    <t>JFT-2Mの紹介</t>
  </si>
  <si>
    <t>https://www.qst.go.jp/site/jt60/5125.html</t>
  </si>
  <si>
    <t>装置の大きさ table; page title</t>
  </si>
  <si>
    <t>AS_S24</t>
  </si>
  <si>
    <t>三大トカマク装置の特徴と研究成果</t>
  </si>
  <si>
    <t>JAEA ATOMICA</t>
  </si>
  <si>
    <t>§1(1)</t>
  </si>
  <si>
    <t>AS_S25</t>
  </si>
  <si>
    <t>S026</t>
  </si>
  <si>
    <t>LHD glossary: JIPP T-IIU</t>
  </si>
  <si>
    <t>NIFS</t>
  </si>
  <si>
    <t>AS_S26</t>
  </si>
  <si>
    <t>Frontier Issues and Progress of Controlled Nuclear Fusion Science and Technology</t>
  </si>
  <si>
    <t>https://www.engineering.org.cn/sscae/EN/1160078617508110927</t>
  </si>
  <si>
    <t>中国装置历史段</t>
  </si>
  <si>
    <t>AS_S27</t>
  </si>
  <si>
    <t>Parameter Comparison of TST-M and TST-2</t>
  </si>
  <si>
    <t>University of Tokyo</t>
  </si>
  <si>
    <t>Plasma Parameters comparison</t>
  </si>
  <si>
    <t>AS_S28</t>
  </si>
  <si>
    <t>Plasma Shape Reconstruction of Spherical Tokamak using CCS Method</t>
  </si>
  <si>
    <t>F. Wang et al.</t>
  </si>
  <si>
    <t>10.1585/pfr.2.S1095</t>
  </si>
  <si>
    <t>p.S1095-2 §3</t>
  </si>
  <si>
    <t>AS_S29</t>
  </si>
  <si>
    <t>Conceptual Design Activities of FDS Series Fusion Power Plants</t>
  </si>
  <si>
    <t>Yican Wu and FDS Team</t>
  </si>
  <si>
    <t>slide 20 (PDF p.20); slides 3,17</t>
  </si>
  <si>
    <t>AS_S30</t>
  </si>
  <si>
    <t>Design Issues on Compact Low Aspect Ratio DEMO Reactor, SlimCS</t>
  </si>
  <si>
    <t>K. Tobita et al.</t>
  </si>
  <si>
    <t>p.1 Table 1</t>
  </si>
  <si>
    <t>AS_S31</t>
  </si>
  <si>
    <t>Design and mechanical analysis of the PRAGYA tokamak vacuum vessel</t>
  </si>
  <si>
    <t>Ravi Gupta et al.</t>
  </si>
  <si>
    <t>10.48550/arXiv.2603.11549</t>
  </si>
  <si>
    <t>Abstract, arXiv:2603.11549</t>
  </si>
  <si>
    <t>AS_S32</t>
  </si>
  <si>
    <t>S033</t>
  </si>
  <si>
    <t>EHL-2</t>
  </si>
  <si>
    <t>ENN Energy Research Institute</t>
  </si>
  <si>
    <t>https://en.ennresearch.com/researchfield/Compactfusion/EHL_2/</t>
  </si>
  <si>
    <t>EHL-2 parameters</t>
  </si>
  <si>
    <t>AS_S33</t>
  </si>
  <si>
    <t>Devices</t>
  </si>
  <si>
    <t>Energy Singularity</t>
  </si>
  <si>
    <t>HH170 section</t>
  </si>
  <si>
    <t>AS_S34</t>
  </si>
  <si>
    <t>The Ideal MHD Stability in the Large Aspect Ratio KT-2 Tokamak</t>
  </si>
  <si>
    <t>KAERI/TR-608/96, Table 1.1,1.2</t>
  </si>
  <si>
    <t>AS_S35</t>
  </si>
  <si>
    <t>[KFE presentation on Blanket Test Infrastructure and Compact Pilot Device]</t>
  </si>
  <si>
    <t>Mu Young Ahn, KFE</t>
  </si>
  <si>
    <t>table Parameters: CPD draft (Tokamak)/(Spherical)</t>
  </si>
  <si>
    <t>AS_S36</t>
  </si>
  <si>
    <t>Evolution of the ITER program and prospect for the next-step fusion DEMO reactors: status of the fusion energy R&amp;D as ultimate source of energy</t>
  </si>
  <si>
    <t>S. Matsuda and K. Tobita</t>
  </si>
  <si>
    <t>10.1080/00223131.2013.773166</t>
  </si>
  <si>
    <t>p.336 Table 3</t>
  </si>
  <si>
    <t>AS_S37</t>
  </si>
  <si>
    <t>S038</t>
  </si>
  <si>
    <t>Goals and Initial Progress of EXL-50 Experimental Plasma Physics Research</t>
  </si>
  <si>
    <t>Y.-K. M. Peng et al.</t>
  </si>
  <si>
    <t>p.1 Table: Design Parameter Goals</t>
  </si>
  <si>
    <t>AS_S38</t>
  </si>
  <si>
    <t>核融合炉における課題</t>
  </si>
  <si>
    <t>Satoshi Konishi（小西哲之）</t>
  </si>
  <si>
    <t>2012-07-23 talk, reactor comparison table GNOME column</t>
  </si>
  <si>
    <t>AS_S39</t>
  </si>
  <si>
    <t>S040</t>
  </si>
  <si>
    <t>First Plasma Commissioning and Operational Highlights from India's First Spherical Tokamak at IPR</t>
  </si>
  <si>
    <t>Kishore Mishra et al.</t>
  </si>
  <si>
    <t>https://arxiv.org/pdf/2608.26024</t>
  </si>
  <si>
    <t>10.48550/arXiv.2608.26024</t>
  </si>
  <si>
    <t>Table 1 p.4; §3.3 p.21; conclusion p.26</t>
  </si>
  <si>
    <t>AS_S40</t>
  </si>
  <si>
    <t>S041</t>
  </si>
  <si>
    <t>HL-3 innovation selected as one of China's Top 10 Scientific Advances in 2025</t>
  </si>
  <si>
    <t>CNNC</t>
  </si>
  <si>
    <t>https://en.cnnc.com.cn/2026-04/08/c_1173805.htm</t>
  </si>
  <si>
    <t>2026-04-08 news</t>
  </si>
  <si>
    <t>AS_S41</t>
  </si>
  <si>
    <t>S042</t>
  </si>
  <si>
    <t>Tokamak Research Around the World | ITER</t>
  </si>
  <si>
    <t>ITER Organization</t>
  </si>
  <si>
    <t>https://www.iter.org/fusion-energy/international-tokamak-research</t>
  </si>
  <si>
    <t>HL-3 / China</t>
  </si>
  <si>
    <t>AS_S42</t>
  </si>
  <si>
    <t>S043</t>
  </si>
  <si>
    <t>Design updates and thermo-hydraulic analysis of K-DEMO CS magnets</t>
  </si>
  <si>
    <t>H. J. Lee et al.</t>
  </si>
  <si>
    <t>10.1016/j.fusengdes.2020.111660</t>
  </si>
  <si>
    <t>Table 1 p.2</t>
  </si>
  <si>
    <t>AS_S43</t>
  </si>
  <si>
    <t>S044</t>
  </si>
  <si>
    <t>Recent progress on the SUNIST-2 spherical tokamak</t>
  </si>
  <si>
    <t>SUNIST-2 Team</t>
  </si>
  <si>
    <t>p.1 §2</t>
  </si>
  <si>
    <t>AS_S44</t>
  </si>
  <si>
    <t>S045</t>
  </si>
  <si>
    <t>Evaluation of plasma performance in JA DEMO steady-state operation</t>
  </si>
  <si>
    <t>S. Sugiyama et al.</t>
  </si>
  <si>
    <t>§3 JA DEMO parameter table</t>
  </si>
  <si>
    <t>AS_S45</t>
  </si>
  <si>
    <t>S046</t>
  </si>
  <si>
    <t>Preliminary Design of MHD Equilibrium Configuration for a new scheme of HL-2M</t>
  </si>
  <si>
    <t>J. X. Li et al.</t>
  </si>
  <si>
    <t>AS_S46</t>
  </si>
  <si>
    <t>S047</t>
  </si>
  <si>
    <t>Progress in Conceptual Study of China Fusion-Based Hydrogen Production Reactor</t>
  </si>
  <si>
    <t>p.3 Table 1</t>
  </si>
  <si>
    <t>AS_S47</t>
  </si>
  <si>
    <t>S048</t>
  </si>
  <si>
    <t>Uncertainty analysis of an SST-2 fusion reactor design</t>
  </si>
  <si>
    <t>10.1016/j.fusengdes.2018.12.066</t>
  </si>
  <si>
    <t>p.354 Table 1</t>
  </si>
  <si>
    <t>AS_S48</t>
  </si>
  <si>
    <t>S049</t>
  </si>
  <si>
    <t>高経済性核融合実用炉CRESTとシステム統合設計</t>
  </si>
  <si>
    <t>slide 7（PDF p.7）</t>
  </si>
  <si>
    <t>AS_S49</t>
  </si>
  <si>
    <t>S050</t>
  </si>
  <si>
    <t>Sustained reversed magnetic shear mode of operation in the HL2A tokamak</t>
  </si>
  <si>
    <t>10.1088/0029-5515/40/11/309</t>
  </si>
  <si>
    <t>p.1898 Table 1，Fig.1(a)列</t>
  </si>
  <si>
    <t>AS_S50</t>
  </si>
  <si>
    <t>S051</t>
  </si>
  <si>
    <t>Controlling the Rotation of Drift Tearing Modes by Biased Electrode in ADITYA-U Tokamak</t>
  </si>
  <si>
    <t>p.3 §2 Experimental Set-up</t>
  </si>
  <si>
    <t>AS_S51</t>
  </si>
  <si>
    <t>S052</t>
  </si>
  <si>
    <t>Status of SST-1 Project and Fusion Research in India</t>
  </si>
  <si>
    <t>slide 3 Indian Tokamaks，slide 4</t>
  </si>
  <si>
    <t>AS_S52</t>
  </si>
  <si>
    <t>S053</t>
  </si>
  <si>
    <t>JAERI-M 92-056：SSTR steady-state reactor operating-point system analysis</t>
  </si>
  <si>
    <t>printed p.7（PDF p.13）§2-2</t>
  </si>
  <si>
    <t>AS_S53</t>
  </si>
  <si>
    <t>S054</t>
  </si>
  <si>
    <t>Fusion Plasma Research toward Fusion Power Plants</t>
  </si>
  <si>
    <t>Y. Kamada et al.</t>
  </si>
  <si>
    <t>p.852 Table 1，JT-60 weak shear E36715列</t>
  </si>
  <si>
    <t>AS_S54</t>
  </si>
  <si>
    <t>S055</t>
  </si>
  <si>
    <t>Preliminary Experiments on the Vertical Stability with Helical Coils in a Small Tokamak, HYBTOK-II</t>
  </si>
  <si>
    <t>S. Hatakeyama et al.</t>
  </si>
  <si>
    <t>p.1 Experimental Setup</t>
  </si>
  <si>
    <t>AS_S55</t>
  </si>
  <si>
    <t>S056</t>
  </si>
  <si>
    <t>Analyses and Experiments of Compact Spherical Tokamak-Stellarator TOKASTAR</t>
  </si>
  <si>
    <t>K. Yamazaki et al.</t>
  </si>
  <si>
    <t>pp.1045,1047 §2-1,§3-1</t>
  </si>
  <si>
    <t>AS_S56</t>
  </si>
  <si>
    <t>S057</t>
  </si>
  <si>
    <t>Construction and Plasma Initiation of the Tokamak-Helical Hybrid Device TOKASTAR-2</t>
  </si>
  <si>
    <t>10.1585/pfr.5.S2037</t>
  </si>
  <si>
    <t>p.S2037-3 Table 2</t>
  </si>
  <si>
    <t>AS_S57</t>
  </si>
  <si>
    <t>S058</t>
  </si>
  <si>
    <t>Stabilization of vertical plasma position in the PHiX tokamak with saddle coils</t>
  </si>
  <si>
    <t>p.1</t>
  </si>
  <si>
    <t>AS_S58</t>
  </si>
  <si>
    <t>S059</t>
  </si>
  <si>
    <t>Preliminary design of optical emission spectroscopic diagnostics for Thailand Tokamak 1 (TT-1)</t>
  </si>
  <si>
    <t>10.14311/ppt.2025.2.90</t>
  </si>
  <si>
    <t>p.90 Abstract</t>
  </si>
  <si>
    <t>AS_S59</t>
  </si>
  <si>
    <t>Recent HL-1M Results（IAEA-TECDOC-969）</t>
  </si>
  <si>
    <t>p.87 Abstract and §1；1996技术会议原文集；TUMAN-3M pp7–8，Egytor pp139–140，JUST pp149–156</t>
  </si>
  <si>
    <t>AS_S60; RW_S32</t>
  </si>
  <si>
    <t>S061</t>
  </si>
  <si>
    <t>Edge Localized Mode Characteristics and Divertor Heat Flux during Stationary and Transient Phase for CFETR Hybrid Scenario</t>
  </si>
  <si>
    <t>Appendix A Table 2，LLNL-JRNL-829024</t>
  </si>
  <si>
    <t>AS_S61</t>
  </si>
  <si>
    <t>S062</t>
  </si>
  <si>
    <t>Preliminary Measurements of Tokamak KT-5（原1987论文英文摘要，JPRS-CST-88-003译载）</t>
  </si>
  <si>
    <t>p.71；原《核聚变与等离子体物理》7(1),27–30,1987</t>
  </si>
  <si>
    <t>AS_S62</t>
  </si>
  <si>
    <t>S063</t>
  </si>
  <si>
    <t>Factors Determining Decay-Index Distribution and Contribution of a Central Solenoid on a Spherical Tokamak</t>
  </si>
  <si>
    <t>10.1585/pfr.1.036</t>
  </si>
  <si>
    <t>pp.036-1–036-2，Fig.1(a)设计工况</t>
  </si>
  <si>
    <t>AS_S63</t>
  </si>
  <si>
    <t>S064</t>
  </si>
  <si>
    <t>Fast Wave Heating at Intermediate Ion Cyclotron Harmonics on the JIPP T-IIU Tokamak</t>
  </si>
  <si>
    <t>p.3 §2；NIFS-21（PDF p.4）</t>
  </si>
  <si>
    <t>AS_S64</t>
  </si>
  <si>
    <t>S065</t>
  </si>
  <si>
    <t>Experimental Results on JAERI Tokamaks</t>
  </si>
  <si>
    <t>p.81 Table 1</t>
  </si>
  <si>
    <t>AS_S65</t>
  </si>
  <si>
    <t>S066</t>
  </si>
  <si>
    <t>Poloidal field system and advanced divertor equilibrium configuration design of the EHL-2 spherical torus</t>
  </si>
  <si>
    <t>Xiang Gu et al.</t>
  </si>
  <si>
    <t>10.1088/2058-6272/adae72</t>
  </si>
  <si>
    <t>p.7 Table 2，V43</t>
  </si>
  <si>
    <t>AS_S66</t>
  </si>
  <si>
    <t>Annex 2: Tentative schedule and Overview of the WPTE devices for 2026–2027</t>
  </si>
  <si>
    <t>pp.1–8，Technical data tables</t>
  </si>
  <si>
    <t>EU_S03</t>
  </si>
  <si>
    <t>S068</t>
  </si>
  <si>
    <t>Neutron Emission Measurements on FTU Tokamak</t>
  </si>
  <si>
    <t>https://www.afs.enea.it/basilio/neutronica/Neutroni.html</t>
  </si>
  <si>
    <t>Introduction</t>
  </si>
  <si>
    <t>EU_S04</t>
  </si>
  <si>
    <t>S069</t>
  </si>
  <si>
    <t>TEXTOR</t>
  </si>
  <si>
    <t>https://www.fz-juelich.de/en/ifn/ifn-1/forschung/textor</t>
  </si>
  <si>
    <t>Data of TEXTOR；更新2026-03-05</t>
  </si>
  <si>
    <t>EU_S05</t>
  </si>
  <si>
    <t>S070</t>
  </si>
  <si>
    <t>TCV: A short presentation</t>
  </si>
  <si>
    <t>https://crppwww.epfl.ch/~weisen/TCV_PRESENTATION.HTML</t>
  </si>
  <si>
    <t>TCV Parameters</t>
  </si>
  <si>
    <t>EU_S06</t>
  </si>
  <si>
    <t>S071</t>
  </si>
  <si>
    <t>ITER-FEAT Operation</t>
  </si>
  <si>
    <t>Table II</t>
  </si>
  <si>
    <t>EU_S07</t>
  </si>
  <si>
    <t>S072</t>
  </si>
  <si>
    <t>ASDEX Upgrade &amp; Diagnostics</t>
  </si>
  <si>
    <t>Chapter 3 Table 3.1</t>
  </si>
  <si>
    <t>EU_S08</t>
  </si>
  <si>
    <t>S073</t>
  </si>
  <si>
    <t>Confinement and Transport in Spherical Tokamaks: A Review</t>
  </si>
  <si>
    <t>S. M. Kaye; J. W. Connor; C. M. Roach</t>
  </si>
  <si>
    <t>p.40 Table 1（PDF页44）；Table 1，PDF p.44 / printed p.40</t>
  </si>
  <si>
    <t>EU_S09; AM_S40</t>
  </si>
  <si>
    <t>COMPASS Upgrade overview, 12/2025</t>
  </si>
  <si>
    <t>slides 2–7</t>
  </si>
  <si>
    <t>EU_S10</t>
  </si>
  <si>
    <t>S075</t>
  </si>
  <si>
    <t>Pioneering JET delivers final plasma</t>
  </si>
  <si>
    <t>https://www.gov.uk/government/news/pioneering-jet-delivers-final-plasma</t>
  </si>
  <si>
    <t>20 December 2023</t>
  </si>
  <si>
    <t>EU_S11</t>
  </si>
  <si>
    <t>S076</t>
  </si>
  <si>
    <t>Behavior of heavy metal ions in FTU plasma</t>
  </si>
  <si>
    <t>https://conferences.iaea.org/event/214/contributions/17472/attachments/9949/13998/Poster981.pdf</t>
  </si>
  <si>
    <t>IAEA FEC2020/2021 poster 981 Abstract</t>
  </si>
  <si>
    <t>EU_S12</t>
  </si>
  <si>
    <t>Chapter 1: The FTU Program</t>
  </si>
  <si>
    <t>C. Gormezano et al.</t>
  </si>
  <si>
    <t>p.298 Table I；p.302 Table IV</t>
  </si>
  <si>
    <t>EU_S13</t>
  </si>
  <si>
    <t>The Fusion Advanced Studies Torus (FAST): a Proposal for an ITER Satellite Facility in Support of the Development of Fusion Energy</t>
  </si>
  <si>
    <t>p.2 Section 2 and Table I</t>
  </si>
  <si>
    <t>EU_S14</t>
  </si>
  <si>
    <t>S079</t>
  </si>
  <si>
    <t>DTT Project design</t>
  </si>
  <si>
    <t>https://dtt-project.it/index.php/about/what.html</t>
  </si>
  <si>
    <t>EU_S15</t>
  </si>
  <si>
    <t>DTT Divertor Tokamak Test facility – Interim Design Report</t>
  </si>
  <si>
    <t>pp.7–8 Table I.I；p.28</t>
  </si>
  <si>
    <t>EU_S16</t>
  </si>
  <si>
    <t>S081</t>
  </si>
  <si>
    <t>Analysis and design of the central stack for the SMART tokamak</t>
  </si>
  <si>
    <t>10.1016/j.fusengdes.2023.113832</t>
  </si>
  <si>
    <t>EU_S17</t>
  </si>
  <si>
    <t>S082</t>
  </si>
  <si>
    <t>El Tokamak SMART de la US aspira a ser el proyecto más transformador para Andalucía en 2025</t>
  </si>
  <si>
    <t>https://www.us.es/actualidad-de-la-us/el-tokamak-smart-de-la-us-aspira-ser-el-proyecto-mas-transformador-para</t>
  </si>
  <si>
    <t>EU_S18</t>
  </si>
  <si>
    <t>S083</t>
  </si>
  <si>
    <t>Concept design overview: a question of choices and compromise</t>
  </si>
  <si>
    <t>Table 2</t>
  </si>
  <si>
    <t>EU_S19</t>
  </si>
  <si>
    <t>S084</t>
  </si>
  <si>
    <t>Local plasma shape modification to facilitate access to quasi continuous exhaust (QCE) regime</t>
  </si>
  <si>
    <t>10.1088/1741-4326/add27c</t>
  </si>
  <si>
    <t>Section 4.1</t>
  </si>
  <si>
    <t>EU_S20</t>
  </si>
  <si>
    <t>EU-DEMO design space exploration and design drivers</t>
  </si>
  <si>
    <t>10.1016/j.fusengdes.2022.113080</t>
  </si>
  <si>
    <t>Section 7 Table 1</t>
  </si>
  <si>
    <t>EU_S21</t>
  </si>
  <si>
    <t>S086</t>
  </si>
  <si>
    <t>The ST25 and ST25(HTS) tokamaks</t>
  </si>
  <si>
    <t>pp.1–3</t>
  </si>
  <si>
    <t>EU_S22</t>
  </si>
  <si>
    <t>S087</t>
  </si>
  <si>
    <t>Tokamak Energy presentation at Cambridge Energy</t>
  </si>
  <si>
    <t>https://www.energy.cam.ac.uk/files/tokamak_energy_ltd_-_10_nov_2023.pdf</t>
  </si>
  <si>
    <t>slide 24</t>
  </si>
  <si>
    <t>EU_S23</t>
  </si>
  <si>
    <t>S088</t>
  </si>
  <si>
    <t>Fusion energy technology – Tokamak Energy</t>
  </si>
  <si>
    <t>https://tokamakenergy.com/our-fusion-energy-and-hts-technology/fusion-energy-technology/</t>
  </si>
  <si>
    <t>ST40 and LEAPS</t>
  </si>
  <si>
    <t>EU_S24</t>
  </si>
  <si>
    <t>S089</t>
  </si>
  <si>
    <t>Real time assessment of the magnetic diagnostic system in RFX-mod</t>
  </si>
  <si>
    <t>RFX-mod magnetic diagnostic system</t>
  </si>
  <si>
    <t>EU_S25</t>
  </si>
  <si>
    <t>Implementation and Review of the Axisymmetric Equilibrium System of RFX-Mod2 within the MARTe2 Framework</t>
  </si>
  <si>
    <t>N. Ferron et al.</t>
  </si>
  <si>
    <t>10.3390/electronics11172751</t>
  </si>
  <si>
    <t>Introduction, Figure1, §3.2.1</t>
  </si>
  <si>
    <t>EU_S26</t>
  </si>
  <si>
    <t>S091</t>
  </si>
  <si>
    <t>PROTO-SPHERA Full Report</t>
  </si>
  <si>
    <t>Parameters of PROTO-SPHERA, PDF p.7; §4.8</t>
  </si>
  <si>
    <t>EU_S27</t>
  </si>
  <si>
    <t>S092</t>
  </si>
  <si>
    <t>PROTO-SPHERA: a magnetic confinement experiment which emulates the jet + torus astrophysical plasmas</t>
  </si>
  <si>
    <t>https://doi.org/10.1088/1361-6587/ad20f6</t>
  </si>
  <si>
    <t>10.1088/1361-6587/ad20f6</t>
  </si>
  <si>
    <t>EU_S28</t>
  </si>
  <si>
    <t>Disruption Modelling for Engineering and Physics Design of Tokamak Energy’s ST-E1 Fusion Power Plant</t>
  </si>
  <si>
    <t>M. Scarpari et al.</t>
  </si>
  <si>
    <t>p.3 Table 1；Section 3.3</t>
  </si>
  <si>
    <t>EU_S29</t>
  </si>
  <si>
    <t>Electromagnetic System Conceptual Design for a Negative Triangularity Tokamak</t>
  </si>
  <si>
    <t>S. Guizzo et al.</t>
  </si>
  <si>
    <t>Abstract；Table 1；Section 2</t>
  </si>
  <si>
    <t>EU_S30</t>
  </si>
  <si>
    <t>S095</t>
  </si>
  <si>
    <t>Characteristics of the divertor plasma</t>
  </si>
  <si>
    <t>ASDEX chapter Introduction</t>
  </si>
  <si>
    <t>EU_S31</t>
  </si>
  <si>
    <t>S096</t>
  </si>
  <si>
    <t>Tokamak Energy and Furukawa Electric Group strengthen relationship to progress commercial fusion energy</t>
  </si>
  <si>
    <t>https://tokamakenergy.com/2023/01/11/tokamak-energy-and-furukawa-electric-group-strengthen-relationship-to-progress-commercial-fusion-energy/</t>
  </si>
  <si>
    <t>2023-01-11</t>
  </si>
  <si>
    <t>EU_S32</t>
  </si>
  <si>
    <t>S097</t>
  </si>
  <si>
    <t>GOLEM Tokamak Wiki: Introduction</t>
  </si>
  <si>
    <t>GOLEM team / FNSPE CTU</t>
  </si>
  <si>
    <t>EU_S33</t>
  </si>
  <si>
    <t>S098</t>
  </si>
  <si>
    <t>NORTH Tokamak and Plasma Laboratory</t>
  </si>
  <si>
    <t>DTU Physics</t>
  </si>
  <si>
    <t>https://physics.dtu.dk/research/sections/ppfe/research-at-ppfe/north-tokamak-and-plasma-laboratory</t>
  </si>
  <si>
    <t>NORTH research strategy</t>
  </si>
  <si>
    <t>EU_S34</t>
  </si>
  <si>
    <t>S099</t>
  </si>
  <si>
    <t>Developing a machine learning based plasma control system for ISTTOK</t>
  </si>
  <si>
    <t>R. B. Henriques et al.</t>
  </si>
  <si>
    <t>p.1 Introduction; p.2 Fig.1</t>
  </si>
  <si>
    <t>EU_S35</t>
  </si>
  <si>
    <t>S100</t>
  </si>
  <si>
    <t>Summary of the 17th Conference on Controlled Fusion and Plasma Heating, Amsterdam, The Netherlands, June 25–29, 1990</t>
  </si>
  <si>
    <t>A. A. M. Oomens; A. G. A. Verhoeven</t>
  </si>
  <si>
    <t>https://www.ans.org/pubs/journals/download/article-29265/</t>
  </si>
  <si>
    <t>Fusion Technology 18 (1990), pp.686–690; p.688 NET/ITER</t>
  </si>
  <si>
    <t>EU_S36</t>
  </si>
  <si>
    <t>S101</t>
  </si>
  <si>
    <t>Plasma magnétisé torique TORIX</t>
  </si>
  <si>
    <t>Laboratoire de Physique des Plasmas, École Polytechnique</t>
  </si>
  <si>
    <t>https://www.lpp.polytechnique.fr/-plasma-magnetise-torique-TORIX-</t>
  </si>
  <si>
    <t>EU_S37</t>
  </si>
  <si>
    <t>S102</t>
  </si>
  <si>
    <t>Physics Department: Annual Progress Report 1 January–31 December 1976 (Risø Report 352)</t>
  </si>
  <si>
    <t>Research Establishment Risø</t>
  </si>
  <si>
    <t>https://backend.orbit.dtu.dk/ws/portalfiles/portal/12843226/ris_r_352.pdf</t>
  </si>
  <si>
    <t>§2.11，printed pp.55–56 / PDF pp.57–58</t>
  </si>
  <si>
    <t>EU_S38</t>
  </si>
  <si>
    <t>European Power Plant Conceptual Study: Final Report</t>
  </si>
  <si>
    <t>European Fusion Development Agreement / PPCS team</t>
  </si>
  <si>
    <t>Table 1，PDF p.22（printed p.8）；Annex 3 Table 1</t>
  </si>
  <si>
    <t>EU_S39</t>
  </si>
  <si>
    <t>US SWG Delegation: Task 2 contribution (Draft, May 14 1998)</t>
  </si>
  <si>
    <t>US SWG Delegation</t>
  </si>
  <si>
    <t>p.3，§II.1 The present ITER EDA Design / Burning Plasma Physics</t>
  </si>
  <si>
    <t>EU_S40</t>
  </si>
  <si>
    <t>S105</t>
  </si>
  <si>
    <t>DANTE Fusion: The DANTE Device / Risø campus / Timeline</t>
  </si>
  <si>
    <t>DANTE Fusion ApS</t>
  </si>
  <si>
    <t>https://dantefusion.com/</t>
  </si>
  <si>
    <t>The DANTE Device（2025-12-16）；Risø campus DTU Denmark（2025-04-17）；Timeline</t>
  </si>
  <si>
    <t>EU_S41</t>
  </si>
  <si>
    <t>S106</t>
  </si>
  <si>
    <t>Antecedentes del TJ-II</t>
  </si>
  <si>
    <t>Laboratorio Nacional de Fusión, CIEMAT</t>
  </si>
  <si>
    <t>https://www.fusion.ciemat.es/inicio/tj-ii/antecedentes-del-tj-ii/</t>
  </si>
  <si>
    <t>TJ-IU历史说明</t>
  </si>
  <si>
    <t>EU_S42</t>
  </si>
  <si>
    <t>S107</t>
  </si>
  <si>
    <t>Physics basis for the divertor tokamak test facility</t>
  </si>
  <si>
    <t>F. Crisanti et al.</t>
  </si>
  <si>
    <t>10.1088/1741-4326/ad6e06</t>
  </si>
  <si>
    <t>§1，article p.2 / PDF p.5</t>
  </si>
  <si>
    <t>EU_S43</t>
  </si>
  <si>
    <t>S108</t>
  </si>
  <si>
    <t>From theory to hands-on: teaching experimental plasma physics using small plasma devices at DTU</t>
  </si>
  <si>
    <t>Jesper Rasmussen; Olaf Grulke; Stefan Kragh Nielsen</t>
  </si>
  <si>
    <t>10.1088/1361-6404/ac93c4</t>
  </si>
  <si>
    <t>§2，article p.2 / PDF p.3</t>
  </si>
  <si>
    <t>EU_S44</t>
  </si>
  <si>
    <t>S109</t>
  </si>
  <si>
    <t>International Multi-Tokamak Confinement Profile Database, public-release variable definitions</t>
  </si>
  <si>
    <t>International Profile Database collaboration</t>
  </si>
  <si>
    <t>https://tokamak-profiledb.ccfe.ac.uk/DOCS/wdb_variables.htm</t>
  </si>
  <si>
    <t>RGEO, AMIN, KAPPA, DELTA, IP definitions</t>
  </si>
  <si>
    <t>EU_S45</t>
  </si>
  <si>
    <t>S110</t>
  </si>
  <si>
    <t>FTU shot 12658: PR98 0d data and companion comment file</t>
  </si>
  <si>
    <t>FTU / G. Bracco</t>
  </si>
  <si>
    <t>0d TIME=0.09s；同目录_com.dat</t>
  </si>
  <si>
    <t>EU_S46</t>
  </si>
  <si>
    <t>S111</t>
  </si>
  <si>
    <t>JET shot 19649: PR98 0d data and companion comment file</t>
  </si>
  <si>
    <t>JET / P. Stubberfield; B. Balet; K. Thomsen</t>
  </si>
  <si>
    <t>0d TIME=48.7s；同目录_com.dat</t>
  </si>
  <si>
    <t>EU_S47</t>
  </si>
  <si>
    <t>S112</t>
  </si>
  <si>
    <t>RTP shot 96040237: PR98 0d data and companion comment file</t>
  </si>
  <si>
    <t>RTP / G. M. D. Hogeweij</t>
  </si>
  <si>
    <t>0d TIME=0.19s；同目录_com.dat</t>
  </si>
  <si>
    <t>EU_S48</t>
  </si>
  <si>
    <t>S113</t>
  </si>
  <si>
    <t>Tore Supra shot 14234: PR98 0d data and companion comment file</t>
  </si>
  <si>
    <t>Tore Supra / Tuong Hoang; R. Budny</t>
  </si>
  <si>
    <t>0d TIME=6.015s；同目录_com.dat</t>
  </si>
  <si>
    <t>EU_S49</t>
  </si>
  <si>
    <t>S114</t>
  </si>
  <si>
    <t>TEXTOR shot 44566: PR98 0d data and companion comment file</t>
  </si>
  <si>
    <t>TEXTOR / J. Ongena</t>
  </si>
  <si>
    <t>0d TIME=1.65s；同目录_com.dat</t>
  </si>
  <si>
    <t>EU_S50</t>
  </si>
  <si>
    <t>S115</t>
  </si>
  <si>
    <t>Possibilities for Breakeven and Ignition of D-3He Fusion Fuel in a Near Term Tokamak, KfK 4433 / FPA-88-2</t>
  </si>
  <si>
    <t>G. A. Emmert et al.</t>
  </si>
  <si>
    <t>Chapter 2 Table 2-1, printed p.2-2</t>
  </si>
  <si>
    <t>EU_S51</t>
  </si>
  <si>
    <t>S116</t>
  </si>
  <si>
    <t>Computation of Thomson spectra for anisotropic relativistic electron-velocity distributions</t>
  </si>
  <si>
    <t>Q. C. van Est</t>
  </si>
  <si>
    <t>printed p.3 / PDF p.6, §I.1 and Table1.1</t>
  </si>
  <si>
    <t>EU_S52</t>
  </si>
  <si>
    <t>S117</t>
  </si>
  <si>
    <t>Progress in Magnetic Confinement Fusion Research</t>
  </si>
  <si>
    <t>T. N. Todd; C. G. Windsor</t>
  </si>
  <si>
    <t>Contemporary Physics 39(4)255–282, Figure8 caption</t>
  </si>
  <si>
    <t>EU_S53</t>
  </si>
  <si>
    <t>S118</t>
  </si>
  <si>
    <t>History of the CASTOR Tokamak</t>
  </si>
  <si>
    <t>Institute of Plasma Physics CAS</t>
  </si>
  <si>
    <t>官方资料</t>
  </si>
  <si>
    <t>first paragraph</t>
  </si>
  <si>
    <t>EU_S54</t>
  </si>
  <si>
    <t>S119</t>
  </si>
  <si>
    <t>Inboard gas puffing and behaviour of H-mode edge parameters in COMPASS-D</t>
  </si>
  <si>
    <t>M. Valovič et al.</t>
  </si>
  <si>
    <t>PPCF44 A175–A181; §2 p.A176 and Figure2 p.A178</t>
  </si>
  <si>
    <t>EU_S55</t>
  </si>
  <si>
    <t>S120</t>
  </si>
  <si>
    <t>Equilibrium, stability and confinement of elliptic cross-sectioned tokamak plasmas</t>
  </si>
  <si>
    <t>A. J. Wootton; D. C. Robinson</t>
  </si>
  <si>
    <t>8th EPS Conference, Volume1 printed p.42 / PDF p.46 (原图已核)</t>
  </si>
  <si>
    <t>EU_S56</t>
  </si>
  <si>
    <t>S121</t>
  </si>
  <si>
    <t>Progress in application of high temperature superconductor in tokamak magnets</t>
  </si>
  <si>
    <t>M. Gryaznevich et al.</t>
  </si>
  <si>
    <t>https://golem.fjfi.cvut.cz/wiki/Presentations/Journals/FUSENGDES/13/Progress-in-application-of-high-temperature-superconductor-in-tokamak-magnets_2013_Fusion-Engineering-and-Design.pdf</t>
  </si>
  <si>
    <t>10.1016/j.fusengdes.2013.01.101</t>
  </si>
  <si>
    <t>Table1 printed p.1595 / PDFp.3 (原图核验); §3 p.1596</t>
  </si>
  <si>
    <t>EU_S57</t>
  </si>
  <si>
    <t>S122</t>
  </si>
  <si>
    <t>Fusion Energy based on the Spherical Tokamak</t>
  </si>
  <si>
    <t>A. Sykes et al.</t>
  </si>
  <si>
    <t>Nucl.Fusion58 016039 author accepted manuscript §3.2 ST25(HTS)</t>
  </si>
  <si>
    <t>EU_S58</t>
  </si>
  <si>
    <t>S123</t>
  </si>
  <si>
    <t>Modelling of RFX-mod2 tokamak equilibria with DEMO-like shape conditions and negative triangularity</t>
  </si>
  <si>
    <t>D. Abate; G. Marchiori; P. Bettini; F. Villone</t>
  </si>
  <si>
    <t>原始论文首页预览</t>
  </si>
  <si>
    <t>10.1088/1361-6587/ab93a5</t>
  </si>
  <si>
    <t>Publisher Preview p.1 Introduction</t>
  </si>
  <si>
    <t>EU_S59</t>
  </si>
  <si>
    <t>S124</t>
  </si>
  <si>
    <t>Research Programs — STOR-M Tokamak</t>
  </si>
  <si>
    <t>Magnetic Fusion / STOR-M Tokamak</t>
  </si>
  <si>
    <t>AM_S02</t>
  </si>
  <si>
    <t>S125</t>
  </si>
  <si>
    <t>HBT-EP Tokamak</t>
  </si>
  <si>
    <t>HBT-EP ohmic parameters</t>
  </si>
  <si>
    <t>AM_S03</t>
  </si>
  <si>
    <t>S126</t>
  </si>
  <si>
    <t>Alcator Parameters</t>
  </si>
  <si>
    <t>Parameter / Range or Value</t>
  </si>
  <si>
    <t>AM_S04</t>
  </si>
  <si>
    <t>S127</t>
  </si>
  <si>
    <t>Alcator programme history (IAP 2011 lecture)</t>
  </si>
  <si>
    <t>Alcator A / Alcator C comparison</t>
  </si>
  <si>
    <t>AM_S05</t>
  </si>
  <si>
    <t>DIII-D Capabilities Document</t>
  </si>
  <si>
    <t>p.5 §§1–2.1</t>
  </si>
  <si>
    <t>AM_S06</t>
  </si>
  <si>
    <t>ARC: A compact, high-field, fusion nuclear science facility and demonstration power plant with demountable magnets</t>
  </si>
  <si>
    <t>Table 1; §3</t>
  </si>
  <si>
    <t>AM_S07</t>
  </si>
  <si>
    <t>ARIES-AT Engineering Design Parameters</t>
  </si>
  <si>
    <t>§1, 09/04/00 strawman</t>
  </si>
  <si>
    <t>AM_S08</t>
  </si>
  <si>
    <t>ARIES-ST Engineering Design Parameters</t>
  </si>
  <si>
    <t>§1, 11/20/98 strawman M</t>
  </si>
  <si>
    <t>AM_S09</t>
  </si>
  <si>
    <t>S132</t>
  </si>
  <si>
    <t>Engineering Overview of ARIES-RS Tokamak Power Plant</t>
  </si>
  <si>
    <t>https://qedfusion.org/LIB/REPORT/CONF/SOFT96/tillack/</t>
  </si>
  <si>
    <t>AM_S10</t>
  </si>
  <si>
    <t>Spherical torus concept as power plants—the ARIES-ST study</t>
  </si>
  <si>
    <t>https://www.sciencedirect.com/science/article/abs/pii/S0920379602003022</t>
  </si>
  <si>
    <t>10.1016/S0920-3796(02)00302-2</t>
  </si>
  <si>
    <t>Abstract；Table 1, printed p.147 / PDF p.5</t>
  </si>
  <si>
    <t>AM_S11; AM_S76</t>
  </si>
  <si>
    <t>S134</t>
  </si>
  <si>
    <t>SPARC nominal DT H-mode parameters (PSFC/JA-20-16)</t>
  </si>
  <si>
    <t>https://library.psfc.mit.edu/catalog/reports/2020/20ja/20ja016/20ja016_full.pdf</t>
  </si>
  <si>
    <t>Table 1, p.2</t>
  </si>
  <si>
    <t>AM_S12</t>
  </si>
  <si>
    <t>S135</t>
  </si>
  <si>
    <t>CFS begins preparing a home for our 100 million degree fusion plasma</t>
  </si>
  <si>
    <t>https://blog.cfs.energy/cfs-begins-preparing-a-home-for-our-100-million-degree-fusion-plasma/</t>
  </si>
  <si>
    <t>AM_S13</t>
  </si>
  <si>
    <t>S136</t>
  </si>
  <si>
    <t>Delivery of magnet bundle signals a new age of fusion research</t>
  </si>
  <si>
    <t>https://www.pppl.gov/news/2026/delivery-magnet-bundle-signals-new-age-fusion-research</t>
  </si>
  <si>
    <t>AM_S14</t>
  </si>
  <si>
    <t>S137</t>
  </si>
  <si>
    <t>Physics Results from NSTX (IAEA 2010)</t>
  </si>
  <si>
    <t>NSTX Facility Capabilities slide</t>
  </si>
  <si>
    <t>AM_S15</t>
  </si>
  <si>
    <t>S138</t>
  </si>
  <si>
    <t>Overview of results from the Lithium Tokamak eXperiment (LTX)</t>
  </si>
  <si>
    <t>https://meetings.aps.org/Meeting/DPP13/Session/TP8.25</t>
  </si>
  <si>
    <t>Abstract TP8.00025</t>
  </si>
  <si>
    <t>AM_S16</t>
  </si>
  <si>
    <t>Implementación ... Tokamak esférico ... MEDUSA en Costa Rica</t>
  </si>
  <si>
    <t>项目说明</t>
  </si>
  <si>
    <t>AM_S17</t>
  </si>
  <si>
    <t>S140</t>
  </si>
  <si>
    <t>Discharge cleaning and wall conditioning in a Novillo Tokamak</t>
  </si>
  <si>
    <t>10.1016/S0022-3115(02)00900-5</t>
  </si>
  <si>
    <t>AM_S18</t>
  </si>
  <si>
    <t>TBR-1 edge fluctuation experiments — Heller et al.</t>
  </si>
  <si>
    <t>§2 Experimental set-up</t>
  </si>
  <si>
    <t>AM_S19</t>
  </si>
  <si>
    <t>Status and Objectives of Tokamak Systems for Fusion Research (WASH-1295; reprint)</t>
  </si>
  <si>
    <t>Table 1–2, printed p.291; PDF p.3；Table 1, PDF p.3 / reprint p.291；1974报告重印于Journal of Fusion Energy 17(4),1998</t>
  </si>
  <si>
    <t>AM_S21; RW_S04</t>
  </si>
  <si>
    <t>The Tokamak Physics Experiment</t>
  </si>
  <si>
    <t>Table I</t>
  </si>
  <si>
    <t>AM_S22</t>
  </si>
  <si>
    <t>FIRE FESAC summary</t>
  </si>
  <si>
    <t>AM_S23</t>
  </si>
  <si>
    <t>Overview of the SPARC tokamak</t>
  </si>
  <si>
    <t>10.1017/S0022377820001257</t>
  </si>
  <si>
    <t>Table 1, p.6</t>
  </si>
  <si>
    <t>AM_S24</t>
  </si>
  <si>
    <t>S146</t>
  </si>
  <si>
    <t>Deuterium and tritium experiments on TFTR</t>
  </si>
  <si>
    <t>Table I, p.1578; §II</t>
  </si>
  <si>
    <t>AM_S25</t>
  </si>
  <si>
    <t>S147</t>
  </si>
  <si>
    <t>TFTR Parameters</t>
  </si>
  <si>
    <t>https://w3.pppl.gov/tftr/info/tftrparams.html</t>
  </si>
  <si>
    <t>TFTR Machine Parameters; shot 80539</t>
  </si>
  <si>
    <t>AM_S26</t>
  </si>
  <si>
    <t>The Fusion Scientific Experiment (FSX) — PPPL-3250</t>
  </si>
  <si>
    <t>§3.3, PDF p.43；Section 3.3 confinement comparison Table 1, PDF p.56, PBX-M shot260678</t>
  </si>
  <si>
    <t>AM_S27; AM_S87</t>
  </si>
  <si>
    <t>S149</t>
  </si>
  <si>
    <t>ISX-A flow reversal experiment — ORNL/TM-6339</t>
  </si>
  <si>
    <t>https://www.osti.gov/servlets/purl/6750275</t>
  </si>
  <si>
    <t>AM_S28</t>
  </si>
  <si>
    <t>Charge Exchange Measurements ... ISX-B — ORNL/TM-7333</t>
  </si>
  <si>
    <t>§2.3.2 p.23；Published December 1980; Table 1.1 printed p.5 / PDF p.17</t>
  </si>
  <si>
    <t>AM_S29; AM_S85</t>
  </si>
  <si>
    <t>The STOR-1M Tokamak: Experiments on Current Reversal and Fast Current Ramping</t>
  </si>
  <si>
    <t>Thesis abstract</t>
  </si>
  <si>
    <t>AM_S30</t>
  </si>
  <si>
    <t>S152</t>
  </si>
  <si>
    <t>TdeV particle balance experiment — GA-A22359</t>
  </si>
  <si>
    <t>§2.2 TdeV sequence, printed p.5</t>
  </si>
  <si>
    <t>AM_S31</t>
  </si>
  <si>
    <t>Investigating the role of edge neutrals in exciting tearing mode activity and achieving flat temperature profiles in LTX-β</t>
  </si>
  <si>
    <t>10.1088/1741-4326/ad2ca7</t>
  </si>
  <si>
    <t>§2.1, p.3</t>
  </si>
  <si>
    <t>AM_S32</t>
  </si>
  <si>
    <t>A Microwave System for Solenoid-Free Startup Studies on Pegasus-III</t>
  </si>
  <si>
    <t>10.1080/15361055.2025.2456893</t>
  </si>
  <si>
    <t>AM_S33</t>
  </si>
  <si>
    <t>S155</t>
  </si>
  <si>
    <t>Physics basis for ARIES-ACT1</t>
  </si>
  <si>
    <t>https://collaborate.princeton.edu/en/publications/physics-basis-for-an-advanced-physics-and-advanced-technology-tok/</t>
  </si>
  <si>
    <t>AM_S34</t>
  </si>
  <si>
    <t>S156</t>
  </si>
  <si>
    <t>Vulcan: A steady-state tokamak for reactor-relevant plasma–material interaction science</t>
  </si>
  <si>
    <t>https://www.sciencedirect.com/science/article/abs/pii/S0920379611006405</t>
  </si>
  <si>
    <t>Introduction / abstract</t>
  </si>
  <si>
    <t>AM_S35</t>
  </si>
  <si>
    <t>S157</t>
  </si>
  <si>
    <t>STARFIRE — A Commercial Tokamak Reactor</t>
  </si>
  <si>
    <t>https://www.osti.gov/servlets/purl/5551267</t>
  </si>
  <si>
    <t>AM_S36</t>
  </si>
  <si>
    <t>Versator II parameters — MIT report</t>
  </si>
  <si>
    <t>Table 1 p.12</t>
  </si>
  <si>
    <t>AM_S37</t>
  </si>
  <si>
    <t>S159</t>
  </si>
  <si>
    <t>The ARIES-I Tokamak Reactor Study</t>
  </si>
  <si>
    <t>https://www.tandfonline.com/doi/abs/10.13182/FST91-A29440</t>
  </si>
  <si>
    <t>10.13182/FST91-A29440</t>
  </si>
  <si>
    <t>AM_S38</t>
  </si>
  <si>
    <t>S160</t>
  </si>
  <si>
    <t>Second Wisconsin Symposium on 3He and Fusion Power — ARIES-III design</t>
  </si>
  <si>
    <t>https://fti.neep.wisc.edu/fti.neep.wisc.edu/pdf/wcsar9307-1.pdf</t>
  </si>
  <si>
    <t>ARIES-III design abstract</t>
  </si>
  <si>
    <t>AM_S39</t>
  </si>
  <si>
    <t>S161</t>
  </si>
  <si>
    <t>UCLA Tokamak Program Close out Report</t>
  </si>
  <si>
    <t>R. J. Taylor</t>
  </si>
  <si>
    <t>https://www.osti.gov/servlets/purl/1117531</t>
  </si>
  <si>
    <t>§1.1–2.1, 5.0，PDF pp.1–2,4,7</t>
  </si>
  <si>
    <t>AM_S41</t>
  </si>
  <si>
    <t>Current Drive Experiments in the HIT-II Spherical Tokamak</t>
  </si>
  <si>
    <t>T. R. Jarboe et al.</t>
  </si>
  <si>
    <t>§1 pp.1；§3 p.6</t>
  </si>
  <si>
    <t>AM_S43</t>
  </si>
  <si>
    <t>Current Drive Mixing Experiments on the Helicity Injected Torus (HIT-II)</t>
  </si>
  <si>
    <t>A. J. Redd et al.</t>
  </si>
  <si>
    <t>会议摘要</t>
  </si>
  <si>
    <t>AM_S44</t>
  </si>
  <si>
    <t>Millimeter Wave Tokamak Heating and Current Drive with a High Power Free Electron Laser</t>
  </si>
  <si>
    <t>K. I. Thomassen</t>
  </si>
  <si>
    <t>UCRL-96774, Table 1 PDF p.3；Introduction</t>
  </si>
  <si>
    <t>AM_S45</t>
  </si>
  <si>
    <t>Tokapole II typical parameters (Kortbawi thesis)</t>
  </si>
  <si>
    <t>D. Kortbawi</t>
  </si>
  <si>
    <t>Table 3-1</t>
  </si>
  <si>
    <t>AM_S46</t>
  </si>
  <si>
    <t>Doublet III results, IAEA-CN-38/A-3</t>
  </si>
  <si>
    <t>p.37 Fig.1 and adjoining text（1980会议）</t>
  </si>
  <si>
    <t>AM_S47</t>
  </si>
  <si>
    <t>Measurement of magnetic fluctuation-induced heat transport in tokamaks and RFP</t>
  </si>
  <si>
    <t>G. Fiksel et al.</t>
  </si>
  <si>
    <t>§4 pp.A219–A221</t>
  </si>
  <si>
    <t>AM_S48</t>
  </si>
  <si>
    <t>S168</t>
  </si>
  <si>
    <t>Google and Commonwealth Fusion Systems Sign Strategic Partnership</t>
  </si>
  <si>
    <t>Commonwealth Fusion Systems</t>
  </si>
  <si>
    <t>https://cfs.energy/news-and-media/google-and-commonwealth-fusion-systems-sign-strategic-partnership/</t>
  </si>
  <si>
    <t>2025-06-30新闻稿</t>
  </si>
  <si>
    <t>AM_S49</t>
  </si>
  <si>
    <t>Role of the stabilizing shell in high-beta, low-q disruptions in PBX-M</t>
  </si>
  <si>
    <t>M. Okabayashi et al.</t>
  </si>
  <si>
    <t>Table I p.1168</t>
  </si>
  <si>
    <t>AM_S50</t>
  </si>
  <si>
    <t>An experimental and theoretical investigation (Encore tokamak thesis)</t>
  </si>
  <si>
    <t>E. Fredrickson</t>
  </si>
  <si>
    <t>Chapter II A, p.4</t>
  </si>
  <si>
    <t>AM_S51</t>
  </si>
  <si>
    <t>PRETEXT tokamak design, construction and operation (Fusion Research Center thesis)</t>
  </si>
  <si>
    <t>Table 1, projected 1978 / achieved 5/81；PDF p.63 limiter description; Table1 PDF p.76</t>
  </si>
  <si>
    <t>AM_S52; AM_S88</t>
  </si>
  <si>
    <t>The role of atomic collisions in fusion</t>
  </si>
  <si>
    <t>Table I p.34；Table II</t>
  </si>
  <si>
    <t>AM_S53</t>
  </si>
  <si>
    <t>SPPS Final Report, Chapter 3: Systems Analysis</t>
  </si>
  <si>
    <t>Ronald L. Miller</t>
  </si>
  <si>
    <t>Table 3.3-I p.3-38</t>
  </si>
  <si>
    <t>AM_S54</t>
  </si>
  <si>
    <t>Lessons Learned from the Tokamak Advanced Reactor Innovation and Evaluation Study (ARIES), LA-UR-93-4217</t>
  </si>
  <si>
    <t>R. A. Krakowski, C. G. Bathke, R. L. Miller, K. A. Werley</t>
  </si>
  <si>
    <t>Table II p.11</t>
  </si>
  <si>
    <t>AM_S55</t>
  </si>
  <si>
    <t>Alfvén ion–ion hybrid wave heating in the Phaedrus-T tokamak</t>
  </si>
  <si>
    <t>§III Description of heating experiment</t>
  </si>
  <si>
    <t>AM_S56</t>
  </si>
  <si>
    <t>Design, construction and test of a prototype coil with demountable CuBe joints for pulsed table-top tokamaks</t>
  </si>
  <si>
    <t>M. Lindero-Hernández et al.</t>
  </si>
  <si>
    <t>Tables I–II, pp.2–3</t>
  </si>
  <si>
    <t>AM_S57</t>
  </si>
  <si>
    <t>Design of the Toroidal Field Coil System for the TPM-1U Tokamak</t>
  </si>
  <si>
    <t>D. Hernández-Arriaga, D. M. Ventura-Ovalle, M. Nieto-Pérez</t>
  </si>
  <si>
    <t>https://www.tandfonline.com/doi/abs/10.1080/15361055.2018.1554390</t>
  </si>
  <si>
    <t>10.1080/15361055.2018.1554390</t>
  </si>
  <si>
    <t>AM_S58</t>
  </si>
  <si>
    <t>Advances in the Electrical, Control Systems, General Analysis of the Coils Design in the Mexican Tokamak Experimental Facility</t>
  </si>
  <si>
    <t>Max Salvador</t>
  </si>
  <si>
    <t>IAEA FEC FTP/P1-32 abstract</t>
  </si>
  <si>
    <t>AM_S59</t>
  </si>
  <si>
    <t>MANTA: A Negative-Triangularity NASEM-Compliant Fusion Pilot Plant</t>
  </si>
  <si>
    <t>MANTA Collaboration et al.</t>
  </si>
  <si>
    <t>10.1088/1361-6587/ad6708</t>
  </si>
  <si>
    <t>Table 1; §2.1</t>
  </si>
  <si>
    <t>AM_S60</t>
  </si>
  <si>
    <t>The Physics Basis For A Conservative Physics And Conservative Technology Tokamak Power Plant, ARIES-ACT2</t>
  </si>
  <si>
    <t>C. E. Kessel, F. M. Poli</t>
  </si>
  <si>
    <t>PPPL-5007, §IX Conclusions, PDF p.17</t>
  </si>
  <si>
    <t>AM_S61</t>
  </si>
  <si>
    <t>The ARIES Advanced and Conservative Tokamak Power Plant Study</t>
  </si>
  <si>
    <t>C. E. Kessel et al.</t>
  </si>
  <si>
    <t>Table V, PDF p.14；Table II PDF p.7</t>
  </si>
  <si>
    <t>AM_S62</t>
  </si>
  <si>
    <t>S182</t>
  </si>
  <si>
    <t>Protótipo de reator termonuclear Tokamak Nova FURG é inaugurado</t>
  </si>
  <si>
    <t>FURG</t>
  </si>
  <si>
    <t>https://www.furg.br/noticias/noticias-arquivo/furg-30932</t>
  </si>
  <si>
    <t>2017-10-30公告</t>
  </si>
  <si>
    <t>AM_S63</t>
  </si>
  <si>
    <t>S183</t>
  </si>
  <si>
    <t>Fractional Order Modeling and Control: Development of Analog Strategies for Plasma Position Control of the STOR-1M Tokamak</t>
  </si>
  <si>
    <t>Shayok Mukhopadhyay</t>
  </si>
  <si>
    <t>https://digitalcommons.usu.edu/etd/460/</t>
  </si>
  <si>
    <t>10.26076/86f9-19cd</t>
  </si>
  <si>
    <t>Institutional thesis abstract</t>
  </si>
  <si>
    <t>AM_S64</t>
  </si>
  <si>
    <t>S184</t>
  </si>
  <si>
    <t>Plasma Properties of Microwave Produced Plasma in a Toroidal Device</t>
  </si>
  <si>
    <t>Ajay Singh, W. F. Edwards, Eric Held</t>
  </si>
  <si>
    <t>https://meetings.aps.org/link/BAPS.2011.DPP.CP9.35</t>
  </si>
  <si>
    <t>APS DPP CP9.35 abstract</t>
  </si>
  <si>
    <t>AM_S65</t>
  </si>
  <si>
    <t>S185</t>
  </si>
  <si>
    <t>Symmetric Tokamak (1970-1974)</t>
  </si>
  <si>
    <t>Raphael Rosen / PPPL</t>
  </si>
  <si>
    <t>https://www.pppl.gov/posts/2026/symmetric-tokamak-1970-1974</t>
  </si>
  <si>
    <t>2026-05-29历史页面</t>
  </si>
  <si>
    <t>AM_S66</t>
  </si>
  <si>
    <t>S186</t>
  </si>
  <si>
    <t>Rick Leccacorvi receives 2018 Infinite Mile Award</t>
  </si>
  <si>
    <t>https://www-new.psfc.mit.edu/news/2018/rick-leccacorvi-receives-2018-infinite-mile-award</t>
  </si>
  <si>
    <t>2018-05-24历史回顾</t>
  </si>
  <si>
    <t>AM_S67</t>
  </si>
  <si>
    <t>S187</t>
  </si>
  <si>
    <t>NASA archive report: representative tokamak facilities, Table 4.1</t>
  </si>
  <si>
    <t>https://ntrs.nasa.gov/api/citations/19870009679/downloads/19870009679.pdf?attachment=true</t>
  </si>
  <si>
    <t>Table 4.1, printed p.49</t>
  </si>
  <si>
    <t>AM_S68</t>
  </si>
  <si>
    <t>S188</t>
  </si>
  <si>
    <t>ITPA PR08 TFTR shot 80539 0D data</t>
  </si>
  <si>
    <t>PPPL / ITPA</t>
  </si>
  <si>
    <t>原始数据</t>
  </si>
  <si>
    <t>CSV header/one data row; TIME=3.760 s</t>
  </si>
  <si>
    <t>AM_S69</t>
  </si>
  <si>
    <t>S189</t>
  </si>
  <si>
    <t>ITPA PR08 TFTR shot 80539 comments and equilibrium provenance</t>
  </si>
  <si>
    <t>R. Budny / PPPL</t>
  </si>
  <si>
    <t>https://tokamak-profiledb.ukaea.org.uk/PR08/itpa_pr08/tftr/80539/pr08_tftr_80539_com.dat</t>
  </si>
  <si>
    <t>shot comment file</t>
  </si>
  <si>
    <t>AM_S70</t>
  </si>
  <si>
    <t>S190</t>
  </si>
  <si>
    <t>Neutronics Analysis for the First Wall and Shield of the D-3He Reactor ARIES-III</t>
  </si>
  <si>
    <t>M. E. Sawan, L. A. El-Guebaly</t>
  </si>
  <si>
    <t>PDF pp.4–5 / printed pp.1–2, Introduction and III</t>
  </si>
  <si>
    <t>AM_S71</t>
  </si>
  <si>
    <t>S191</t>
  </si>
  <si>
    <t>Vulcan concept parameters in HTSC tokamak presentation</t>
  </si>
  <si>
    <t>M. Porkolab</t>
  </si>
  <si>
    <t>PDF p.13, The Vulcan concept parameter table</t>
  </si>
  <si>
    <t>AM_S72</t>
  </si>
  <si>
    <t>S192</t>
  </si>
  <si>
    <t>First Results from the Lithium Tokamak eXperiment (LTX)</t>
  </si>
  <si>
    <t>R. Majeski et al.</t>
  </si>
  <si>
    <t>p.1, Abstract and Introduction</t>
  </si>
  <si>
    <t>AM_S73</t>
  </si>
  <si>
    <t>S193</t>
  </si>
  <si>
    <t>Physicists discuss fusion breakthrough</t>
  </si>
  <si>
    <t>TFTR and Alcator C-Mod plasma shape comparison</t>
  </si>
  <si>
    <t>AM_S74</t>
  </si>
  <si>
    <t>S194</t>
  </si>
  <si>
    <t>Comparing Plasma Response to Magnetic Perturbations Applied to Limited and Diverted Discharges in HBT-EP</t>
  </si>
  <si>
    <t>P. Byrne et al.</t>
  </si>
  <si>
    <t>APS DPP15 NP12.67 abstract</t>
  </si>
  <si>
    <t>AM_S75</t>
  </si>
  <si>
    <t>S195</t>
  </si>
  <si>
    <t>Application of high frequency biasing and its effect in STOR-M tokamak</t>
  </si>
  <si>
    <t>Introduction / arXiv v2 p.1</t>
  </si>
  <si>
    <t>AM_S77</t>
  </si>
  <si>
    <t>S196</t>
  </si>
  <si>
    <t>Electrostatic turbulence driven by high MHD activity in TCABR tokamak</t>
  </si>
  <si>
    <t>Z. O. Guimarães-Filho; I. L. Caldas; R. L. Viana; M. V. A. Heller; I. C. Nascimento; Yu. K. Kuznetsov; R. Bengtson</t>
  </si>
  <si>
    <t>Dated December 4, 2007; Section II, PDF p.3</t>
  </si>
  <si>
    <t>AM_S78</t>
  </si>
  <si>
    <t>S197</t>
  </si>
  <si>
    <t>Plasma position measurement on the Novillo tokamak</t>
  </si>
  <si>
    <t>10.1016/S0920-3796(00)00099-5</t>
  </si>
  <si>
    <t>Results; abstract</t>
  </si>
  <si>
    <t>AM_S79</t>
  </si>
  <si>
    <t>S198</t>
  </si>
  <si>
    <t>Alcator C-Mod thesis, MIT PFC/RR-97-5</t>
  </si>
  <si>
    <t>Chapter 3, printed p.37</t>
  </si>
  <si>
    <t>AM_S80</t>
  </si>
  <si>
    <t>S199</t>
  </si>
  <si>
    <t>RF heating experiments on Macrotor and Microtor, IAEA 1980 Volume II</t>
  </si>
  <si>
    <t>Taylor et al. apparatus parameter list before §2 Wave propagation</t>
  </si>
  <si>
    <t>AM_S81</t>
  </si>
  <si>
    <t>S200</t>
  </si>
  <si>
    <t>MIT Plasma Fusion Center report PFC/RR-80-18, facilities inventory</t>
  </si>
  <si>
    <t>D. Special Equipment and Facilities</t>
  </si>
  <si>
    <t>AM_S82</t>
  </si>
  <si>
    <t>S201</t>
  </si>
  <si>
    <t>The ARIES Advanced and Conservative Tokamak (ACT) Power Plant Study</t>
  </si>
  <si>
    <t>Table V ARIES-I* column</t>
  </si>
  <si>
    <t>AM_S83</t>
  </si>
  <si>
    <t>S202</t>
  </si>
  <si>
    <t>Overview of the physics basis for the ARC fusion power plant</t>
  </si>
  <si>
    <t>10.1017/S0022377826101706</t>
  </si>
  <si>
    <t>Table 2, p.10; published online 2026-06-04</t>
  </si>
  <si>
    <t>AM_S84</t>
  </si>
  <si>
    <t>S203</t>
  </si>
  <si>
    <t>Testing of Liquid Lithium Limiters in CDX-U</t>
  </si>
  <si>
    <t>10.1016/j.fusengdes.2004.07.002</t>
  </si>
  <si>
    <t>Table 1 printed p.14 / PDF p.16; §II</t>
  </si>
  <si>
    <t>AM_S86</t>
  </si>
  <si>
    <t>S204</t>
  </si>
  <si>
    <t>Systems analysis in support of the selection of the ARIES-RS design point</t>
  </si>
  <si>
    <t>10.1016/S0920-3796(97)00112-9</t>
  </si>
  <si>
    <t>Table 1 printed p.60</t>
  </si>
  <si>
    <t>AM_S89</t>
  </si>
  <si>
    <t>S205</t>
  </si>
  <si>
    <t>Overview of the ARIES-RS reversed-shear tokamak power plant study</t>
  </si>
  <si>
    <t>10.1016/S0920-3796(97)00110-5</t>
  </si>
  <si>
    <t>AM_S90</t>
  </si>
  <si>
    <t>S206</t>
  </si>
  <si>
    <t>ETE Spherical Tokamak Experiment: project parameters in world spherical tokamak lecture</t>
  </si>
  <si>
    <t>官方历史讲义</t>
  </si>
  <si>
    <t>ETE project parameter table, citing G. O. Ludwig and INPE team; exact lecture date not independently verified</t>
  </si>
  <si>
    <t>AM_S91</t>
  </si>
  <si>
    <t>S207</t>
  </si>
  <si>
    <t>Soft x-ray measurements from the PDX tokamak</t>
  </si>
  <si>
    <t>Abstract; circular and divertor discharges</t>
  </si>
  <si>
    <t>AM_S92</t>
  </si>
  <si>
    <t>S208</t>
  </si>
  <si>
    <t>Compact Reversed-Field Pinch Reactors (CRFPR): Preliminary Engineering Considerations, LA-10200-MS</t>
  </si>
  <si>
    <t>R. L. Hagenson; R. A. Krakowski; C. G. Bathke; R. L. Miller; M. J. Embrechts; N. M. Schnurr; M. E. Battat; R. J. LaBauve; J. W. Davidson</t>
  </si>
  <si>
    <t>Table II.C-IA, printed p.56 / PDF p.59</t>
  </si>
  <si>
    <t>AM_S93</t>
  </si>
  <si>
    <t>Tokamak foundation in USSR/Russia 1950–1990</t>
  </si>
  <si>
    <t>V. P. Smirnov</t>
  </si>
  <si>
    <t>10.1088/0029-5515/50/1/014003</t>
  </si>
  <si>
    <t>pp.2–6；Figure 1,2,6,7和历史正文</t>
  </si>
  <si>
    <t>RW_S03</t>
  </si>
  <si>
    <t>S210</t>
  </si>
  <si>
    <t>T-15MD: mission and recent experimental results</t>
  </si>
  <si>
    <t>https://nrcki.ru/files/pdf/2025-T-15MD_Results.pdf</t>
  </si>
  <si>
    <t>设施参数框与实验结果图</t>
  </si>
  <si>
    <t>RW_S05</t>
  </si>
  <si>
    <t>S211</t>
  </si>
  <si>
    <t>Tokamak T-15MD features</t>
  </si>
  <si>
    <t>slide 2</t>
  </si>
  <si>
    <t>RW_S06</t>
  </si>
  <si>
    <t>S212</t>
  </si>
  <si>
    <t>KTM Tokamak Project. Present and Future Activity</t>
  </si>
  <si>
    <t>RW_S07</t>
  </si>
  <si>
    <t>S213</t>
  </si>
  <si>
    <t>First observations of the transition to the H-mode on the Globus-M2 tokamak using Doppler backscattering</t>
  </si>
  <si>
    <t>会议摘要实验参数段</t>
  </si>
  <si>
    <t>RW_S08</t>
  </si>
  <si>
    <t>Concept of the ICR plasma heating system for IGNITOR-like tokamak in relation to the Russian site</t>
  </si>
  <si>
    <t>RW_S09</t>
  </si>
  <si>
    <t>S215</t>
  </si>
  <si>
    <t>Investigation of plasma neutron radiation from the Tokamak T-3A installation</t>
  </si>
  <si>
    <t>L. A. Artsimovich et al.</t>
  </si>
  <si>
    <t>pp.306–307</t>
  </si>
  <si>
    <t>RW_S11</t>
  </si>
  <si>
    <t>S216</t>
  </si>
  <si>
    <t>Large superconducting magnet systems for plasma and fusion applications (KFK 2320)</t>
  </si>
  <si>
    <t>W. Heinz</t>
  </si>
  <si>
    <t>printed p.16 / PDF p.19</t>
  </si>
  <si>
    <t>RW_S12</t>
  </si>
  <si>
    <t>Globus-M2 overview; Globus-3 project</t>
  </si>
  <si>
    <t>slides 28–29</t>
  </si>
  <si>
    <t>RW_S13</t>
  </si>
  <si>
    <t>R&amp;D of TRT central solenoid model coil</t>
  </si>
  <si>
    <t>O. Kovalchuk et al.</t>
  </si>
  <si>
    <t>printed p.232 / PDF p.233</t>
  </si>
  <si>
    <t>RW_S14</t>
  </si>
  <si>
    <t>Status of DEMO-FNS development</t>
  </si>
  <si>
    <t>B. V. Kuteev, Yu. S. Shpanskiy and DEMO-FNS Team</t>
  </si>
  <si>
    <t>slides 5, 6, 11</t>
  </si>
  <si>
    <t>RW_S15</t>
  </si>
  <si>
    <t>Performance of MT-I Spherical Tokamak with Upgraded Power Supply System</t>
  </si>
  <si>
    <t>S. Ahmad et al.</t>
  </si>
  <si>
    <t>1页海报 Background / Outcome</t>
  </si>
  <si>
    <t>RW_S16</t>
  </si>
  <si>
    <t>Development of microwave pre-ionization source for GLAST tokamak</t>
  </si>
  <si>
    <t>R. Khan et al.</t>
  </si>
  <si>
    <t>10.1016/j.fusengdes.2017.11.002</t>
  </si>
  <si>
    <t>Introduction / Abstract</t>
  </si>
  <si>
    <t>RW_S17</t>
  </si>
  <si>
    <t>S222</t>
  </si>
  <si>
    <t>Determination of limiter design and material composition of MT-II spherical tokamak</t>
  </si>
  <si>
    <t>Shahab Ud-Din Khan et al.</t>
  </si>
  <si>
    <t>https://www.degruyterbrill.com/journal/key/kern/88/1/html?lang=en</t>
  </si>
  <si>
    <t>10.1515/kern-2022-0073</t>
  </si>
  <si>
    <t>Kerntechnik 88(1), pp.54–62; abstract; online 2022-12-22</t>
  </si>
  <si>
    <t>RW_S18</t>
  </si>
  <si>
    <t>S223</t>
  </si>
  <si>
    <t>Design of the Magnetic System of Pakistan Spherical Tokamak (PST) for Steady State Operation</t>
  </si>
  <si>
    <t>Zahoor Ahmad et al.</t>
  </si>
  <si>
    <t>Background参数框</t>
  </si>
  <si>
    <t>RW_S19</t>
  </si>
  <si>
    <t>The influence of rotating and locked magnetic islands on edge transport in Tokoloshe tokamak</t>
  </si>
  <si>
    <t>Gary Wayne van Vuuren</t>
  </si>
  <si>
    <t>博士论文 §3.1 p.21；Table 4.1 p.47</t>
  </si>
  <si>
    <t>RW_S20</t>
  </si>
  <si>
    <t>S225</t>
  </si>
  <si>
    <t>Instability heating in the LT-3 tokamak</t>
  </si>
  <si>
    <t>M. G. Bell, I. H. Hutchinson, J. D. Strachan</t>
  </si>
  <si>
    <t>EPS Vol.1, printed p.16</t>
  </si>
  <si>
    <t>RW_S21</t>
  </si>
  <si>
    <t>S226</t>
  </si>
  <si>
    <t>Guided propagation of Alfven and ion-ion hybrid waves in a plasma with two ion species</t>
  </si>
  <si>
    <t>G. G. Borg, R. C. Cross</t>
  </si>
  <si>
    <t>§3 p.687</t>
  </si>
  <si>
    <t>RW_S22</t>
  </si>
  <si>
    <t>The T-14 Tokomak (ESNIB 90-08)</t>
  </si>
  <si>
    <t>Marco S. Di Capua</t>
  </si>
  <si>
    <t>RW_S23</t>
  </si>
  <si>
    <t>S228</t>
  </si>
  <si>
    <t>Experimental Thermonuclear Installation TOKAMAK-20: Preliminary Study (UWFDM-129)</t>
  </si>
  <si>
    <t>Kurchatov Institute; English translation archived by University of Wisconsin</t>
  </si>
  <si>
    <t>全文（扫描页图像核验）</t>
  </si>
  <si>
    <t>UWFDM129 §3.4 printed5/PDF9：R5m、a2m、最大Ip6MA</t>
  </si>
  <si>
    <t>RW_S24</t>
  </si>
  <si>
    <t>S229</t>
  </si>
  <si>
    <t>Linear Control Models for GUTTA Tokamak</t>
  </si>
  <si>
    <t>A. D. Ovsyannikov et al.</t>
  </si>
  <si>
    <t>原始论文／报告</t>
  </si>
  <si>
    <t>PhysCon 2007；Table I / PDF p.3，reference equilibrium</t>
  </si>
  <si>
    <t>RW_S25</t>
  </si>
  <si>
    <t>S230</t>
  </si>
  <si>
    <t>Engineering Aspects and Physical Research Program of the Modernized T-15 Tokamak</t>
  </si>
  <si>
    <t>A. V. Sushkov et al.</t>
  </si>
  <si>
    <t>FIP/P8-29，Table I / PDF p.1</t>
  </si>
  <si>
    <t>RW_S26</t>
  </si>
  <si>
    <t>S231</t>
  </si>
  <si>
    <t>Optimization of Wall-Conditioning Techniques on the MT-II Tokamak</t>
  </si>
  <si>
    <t>Muhammad Abdullah et al.</t>
  </si>
  <si>
    <t>10.1080/15361055.2023.2241004</t>
  </si>
  <si>
    <t>作者公开全文，Tables I–II，physics design scaling；在线2023，卷80(6)731–740</t>
  </si>
  <si>
    <t>RW_S27</t>
  </si>
  <si>
    <t>S232</t>
  </si>
  <si>
    <t>Integrated Data Acquisition, Storage and Retrieval for Glass Spherical Tokamak (GLAST)</t>
  </si>
  <si>
    <t>Muhammad Aqib Javed et al.</t>
  </si>
  <si>
    <t>单页海报 Background：三台装置chambers几何</t>
  </si>
  <si>
    <t>RW_S28</t>
  </si>
  <si>
    <t>S233</t>
  </si>
  <si>
    <t>Plasma Control in Tokamaks. Part 2. Plasma Magnetic Control Systems</t>
  </si>
  <si>
    <t>Yu. V. Mitrishkin et al.</t>
  </si>
  <si>
    <t>研究团队综述</t>
  </si>
  <si>
    <t>Adv. Syst. Sci. Appl. 2018(3),39–78；引言pp39–40圆截面装置名录</t>
  </si>
  <si>
    <t>RW_S29</t>
  </si>
  <si>
    <t>S234</t>
  </si>
  <si>
    <t>Simulation of transport in the FT-2 tokamak up to the electron scale with GENE</t>
  </si>
  <si>
    <t>S. Janhunen et al.</t>
  </si>
  <si>
    <t>10.1088/1361-6587/ac318c</t>
  </si>
  <si>
    <t>§2：nearly circular equilibria；GENE concentric circular equilibrium</t>
  </si>
  <si>
    <t>RW_S30</t>
  </si>
  <si>
    <t>S235</t>
  </si>
  <si>
    <t>The Key Events in Major Disruptions in Circular Tokamaks</t>
  </si>
  <si>
    <t>S. V. Mirnov</t>
  </si>
  <si>
    <t>28th EPS, ECA25A pp1473–1476；§1 T-11M circular tokamak</t>
  </si>
  <si>
    <t>RW_S31</t>
  </si>
  <si>
    <t>Fusion Energy Development Applications Utilizing the Spherical Tokamak and Associated Research Needs and Tools</t>
  </si>
  <si>
    <t>J. E. Menard et al.</t>
  </si>
  <si>
    <t>OV/P-6, Table1 / p.10；2011 FNS-ST与2018 Ioffe概念为不同设计</t>
  </si>
  <si>
    <t>RW_S33</t>
  </si>
  <si>
    <t>S237</t>
  </si>
  <si>
    <t>Determining plasma boundary in Alvand-U tokamak</t>
  </si>
  <si>
    <t>Alvand-U research team</t>
  </si>
  <si>
    <t>原文HTML章节</t>
  </si>
  <si>
    <t>§2：1975–1976旧矩形装置、1980 IIC圆截面、2004 U升级</t>
  </si>
  <si>
    <t>RW_S34</t>
  </si>
  <si>
    <t>S238</t>
  </si>
  <si>
    <t>Reflections on plasma confinement and operational boundaries, ensuing from Experimental Thermonuclear Installation – TOKAMAK-20 – Preliminary Study</t>
  </si>
  <si>
    <t>Otto J. W. F. Kardaun</t>
  </si>
  <si>
    <t>机构技术分析报告</t>
  </si>
  <si>
    <t>IPP report 2017-05 p1 §0：明确circular T-20；本轮直链403，检索摘要可读</t>
  </si>
  <si>
    <t>RW_S35</t>
  </si>
  <si>
    <t>S239</t>
  </si>
  <si>
    <t>[Kuteev报告中的2002 DEMO-RF design参数表；完整题名待核]</t>
  </si>
  <si>
    <t>B. V. Kuteev；原设计Yu. A. Sokolov、G. E. Shatalov等</t>
  </si>
  <si>
    <t>官方会议报告</t>
  </si>
  <si>
    <t>2002 DEMO-RF design / RF DEMO-S layout参数表；旧URL已重定向，数值仅从官方文件的检索文本取得</t>
  </si>
  <si>
    <t>RW_S36</t>
  </si>
  <si>
    <t>S240</t>
  </si>
  <si>
    <t>Simulation of Bootstrap Current by Hirshman Single-Ion Collisionless Model in Damavand Tokamak</t>
  </si>
  <si>
    <t>Mehdi Harzchi; Hami Farid Yosofi; Naser Alinejad</t>
  </si>
  <si>
    <t>https://www.osti.gov/etdeweb/servlets/purl/20901350</t>
  </si>
  <si>
    <t>5th Conference on Nuclear and Particle Physics, Cairo, 19–23 Nov2005；Table1 printed539/PDF1；δa单位冲突，未用于主表数值</t>
  </si>
  <si>
    <t>RW_S37</t>
  </si>
  <si>
    <t>S241</t>
  </si>
  <si>
    <t>Application of poloidal beta and plasma internal inductance in determination of input power time of Damavand tokamak</t>
  </si>
  <si>
    <t>E. Noori; Y. Sadeghi; M. Ghoranneviss</t>
  </si>
  <si>
    <t>https://link.springer.com/article/10.1007/s40094-016-0233-9</t>
  </si>
  <si>
    <t>10.1007/s40094-016-0233-9</t>
  </si>
  <si>
    <t>§3与Eq13–17：κ约1.41的另一工况；δ为符号未报数值</t>
  </si>
  <si>
    <t>RW_S38</t>
  </si>
  <si>
    <t>缺失与待核实 · 保留调查边界</t>
  </si>
  <si>
    <t>包含已收录装置的缺失字段，以及候选、版本冲突和排除依据；此表不是额外已确认装置的计数。</t>
  </si>
  <si>
    <t>装置／候选</t>
  </si>
  <si>
    <t>问题类型</t>
  </si>
  <si>
    <t>缺失／冲突说明</t>
  </si>
  <si>
    <t>下一步来源／已用来源</t>
  </si>
  <si>
    <t>关联记录ID</t>
  </si>
  <si>
    <t>本轮已查词组／文献</t>
  </si>
  <si>
    <t>本轮未补原因</t>
  </si>
  <si>
    <t>日本/中国</t>
  </si>
  <si>
    <t>历史汇编19行</t>
  </si>
  <si>
    <t>候选／冲突／覆盖缺口</t>
  </si>
  <si>
    <t>CSTN-I/II/III/AC、FY-1、HL-1、HT-6B、JFT-2/2a、JIPP T-II、TNT/TNT-A、TODOROKI-I、TORIUT-3/4/5、TRIAM、WT-1/2：已读Balshaw，尚未逐台回溯原始论文。</t>
  </si>
  <si>
    <t>各实验室历史年报与原装置建造论文</t>
  </si>
  <si>
    <t>2005综述κ=10、R=.062m、Ip=.34MA为极端值，原始压缩/紧凑环形成工况与尺寸定义待核；保留来源值并标注异常。</t>
  </si>
  <si>
    <t>Nihon University NUCTE-ST原始脉冲形成论文</t>
  </si>
  <si>
    <t>IAEA2022计划R=.7,a=.25；Kyushu实验室当前资源页另列R=.6,a=.2及2020首次放电，版本与名录年份冲突。</t>
  </si>
  <si>
    <t>https://www.riam.kyushu-u.ac.jp/plasma/menu/en/equipment-e.html</t>
  </si>
  <si>
    <t>第二轮已读取2010原始论文并核验Table2，录入R=.11m,a=.045m,Ip=.0025MA设计平衡；κδ未报。2010实际约25A与设计2.5kA分开说明。</t>
  </si>
  <si>
    <t>AS_S57 Table2；后续2016实测平衡论文</t>
  </si>
  <si>
    <t>TOKASTAR / C-TOKASTAR</t>
  </si>
  <si>
    <t>第二轮已读2009原始论文：TOKASTAR理论N=2投影椭圆度约2.0、C-TOKASTAR实验等离子体R约.02m已补；其余缺项与三维混合配置定义仍待核。</t>
  </si>
  <si>
    <t>AS_S56及后续磁面重建论文</t>
  </si>
  <si>
    <t>日本/巴西</t>
  </si>
  <si>
    <t>NOVA-I / NOVA-II / NOVA-FURG</t>
  </si>
  <si>
    <t>NOVA-II迁移关系已录；NOVA-I与II的原始日本几何/电流及版本边界未核。</t>
  </si>
  <si>
    <t>京都大学历史记录及NOVA-II原始论文</t>
  </si>
  <si>
    <t>中国/日本</t>
  </si>
  <si>
    <t>CT-6 / KT-5 / HYBTOK-I / HT-1 / TST（原始）</t>
  </si>
  <si>
    <t>KT-5已由1987论文的JPRS原始英文摘要补R=.30m,a=.045m,Ip&gt;.005MA；CT-6已找到1980原始论文DOI 10.7498/aps.29.577与R=.45m,a=.092m,Ip=.03MA摘要线索，但出版社访问403且可读检索镜像域名异常，暂不采值。HYBTOK-I等仍属候选。</t>
  </si>
  <si>
    <t>CT-6原始出版社全文；KT-5见AS_S62</t>
  </si>
  <si>
    <t>VECTOR / DEMO-2001 / A-SSTR / Demo-CREST / NTT</t>
  </si>
  <si>
    <t>公开日本概念设计候选，未完成五参数与版本核查；SSTR/A-SSTR2/CREST/SlimCS/GNOME/JA-DEMO已覆盖。</t>
  </si>
  <si>
    <t>JAERI/JAEA、CRIEPI原始设计报告</t>
  </si>
  <si>
    <t>JT-60SU / JT-60SC</t>
  </si>
  <si>
    <t>JT-60系列被研究的历史升级方案；尚未明确已完成设计范围、参数与JT-60SA继承边界。</t>
  </si>
  <si>
    <t>JT-60升级历史设计报告</t>
  </si>
  <si>
    <t>HH380 / CTRFR-1 / EHL-3B</t>
  </si>
  <si>
    <t>私营商业后续装置候选，可能仅路线图代号，未取得足够定型设计参数证据。</t>
  </si>
  <si>
    <t>企业技术白皮书和期刊设计论文</t>
  </si>
  <si>
    <t>RAGYA / PRANIQ</t>
  </si>
  <si>
    <t>Pranos路线图中命名，设计成熟程度、参数及场址尚未全文核对。</t>
  </si>
  <si>
    <t>https://nucleus.iaea.org/sites/connect/FUSEpublic/SitePages/PRANOS.aspx</t>
  </si>
  <si>
    <t>印度DEMO / FNS / SST Bharat</t>
  </si>
  <si>
    <t>SST-2之外概念名与国家路线图关系未完整核验，避免重名重复。</t>
  </si>
  <si>
    <t>IPR / DAE正式设计报告</t>
  </si>
  <si>
    <t>亚洲</t>
  </si>
  <si>
    <t>EAST / HL-2A / J-TEXT / KSTAR / VEST / QUEST等现役装置</t>
  </si>
  <si>
    <t>参数证据已收录，但部分运行状态只有2005或2022日期；没有逐台假定截至2026仍运行。</t>
  </si>
  <si>
    <t>各机构2025–2026年报和实验运行新闻</t>
  </si>
  <si>
    <t>亚洲κ、δ缺失</t>
  </si>
  <si>
    <t>第二轮在用户授权后为明确圆形等离子体/限制器装置加入理想κ1δ0推算，逐项derived_fields标记；不是逐炮测量。JFT-2a原文Non Circular与历史汇编冲突，已撤回其圆形推算。当前具体缺项以主表missing及round2_search_asia.json为准。</t>
  </si>
  <si>
    <t>原始平衡重建、磁诊断数据和未获取全文</t>
  </si>
  <si>
    <t>东南亚/南亚</t>
  </si>
  <si>
    <t>东南亚及南亚其他国家</t>
  </si>
  <si>
    <t>本轮证据覆盖泰国TT-1；对越南、印尼、马来西亚、菲律宾、孟加拉国等未形成系统反向排查，不能推断无装置。</t>
  </si>
  <si>
    <t>IAEA FUSIS国别目录与各国研究机构</t>
  </si>
  <si>
    <t>中国/日本/印度</t>
  </si>
  <si>
    <t>近期私营项目覆盖</t>
  </si>
  <si>
    <t>公开项目持续新增；存在名称但未公开定型参数者不保证全部列入。主表98行不是完整性证明，也不等于98台独立物理机器。</t>
  </si>
  <si>
    <t>官方装置名录及原始设计公开资料</t>
  </si>
  <si>
    <t>第二轮未完全核验的剩余资料</t>
  </si>
  <si>
    <t>尚有45行存在至少一个空值；已逐装置登记实际检索及阻碍。空值不能解读为无参数或公开资料绝对不存在；部分论文需继续获取原文，部分缺少可配对工况，部分3D混合边界未定义。</t>
  </si>
  <si>
    <t>round2_search_asia.json</t>
  </si>
  <si>
    <t>COMPASS初始圆形配置（COMPASS-C）</t>
  </si>
  <si>
    <t>已收录英国COMPASS-D和捷克COMPASS；早期圆形配置的独立五参数及正式型号尚未找到原始表，未用D形参数代替。</t>
  </si>
  <si>
    <t>Culham COMPASS原始设计报告与首批实验论文</t>
  </si>
  <si>
    <t>欧洲国际项目</t>
  </si>
  <si>
    <t>PPCS后续Model AB及其他DEMO版本</t>
  </si>
  <si>
    <t>已补PPCS2005 A/B/C/D全五项；a按同一Table1的R/A换算并标derived_fields，非直接测量。仍缺后续Model AB及历次DEMO独立版本核验。</t>
  </si>
  <si>
    <t>EUROfusion/EFDA Power Plant Conceptual Study final report</t>
  </si>
  <si>
    <t>ST-F1与后续Tokamak Energy商业堆名称</t>
  </si>
  <si>
    <t>已收录ST-E1的ST425与ST500参数点；ST-F1称呼的独立设计参数及与ST-E1关系尚未核实，不能按别名或独立装置强行归并。</t>
  </si>
  <si>
    <t>Tokamak Energy官方概念设计文献</t>
  </si>
  <si>
    <t>ST25HTS与ST80-HTS/ST-X(80)</t>
  </si>
  <si>
    <t>ST25(HTS)已从2018原论文得到名义R=.25m，a/κ/δ/Ip仍无该版证据；2013原Table1 HTS列为空。ST80五项均未公开核实，不复制铜版或由型号数字推R。</t>
  </si>
  <si>
    <t>Tokamak Energy工程论文及官方技术参数表</t>
  </si>
  <si>
    <t>NET完整五参数</t>
  </si>
  <si>
    <t>主表改用1985/1986 NET-DT完整参考组（1988 KfK4433 Table2-1），旧1990部分组保留previous_parameters。缺口现在是1990版完整参数和正式整合/终止史，不再指主表缺五参数。</t>
  </si>
  <si>
    <t>NET design report及NET/ITER历史档案</t>
  </si>
  <si>
    <t>NORTH完整参数</t>
  </si>
  <si>
    <t>已用2022原论文核实R=.25m、a=.125m；κ/δ/托卡马克模式Ip仍缺。2021/2022文中SMT射频放电无中央螺线管驱动，不代表给出了tokamak电流/形状。</t>
  </si>
  <si>
    <t>DTU NORTH设计与诊断论文</t>
  </si>
  <si>
    <t>荷兰/意大利</t>
  </si>
  <si>
    <t>TORTUR电流及TTF电流</t>
  </si>
  <si>
    <t>TORTUR已由1989原始论文复核Ip≤55kA，原汇编0.55MA未采用；TTF/Torello .05MA仍只有旧汇编证据，需原始复核。TORTUR κδ按明确圆形名义构型推算。</t>
  </si>
  <si>
    <t>TORTUR原始装置文献与Torello/TTF论文</t>
  </si>
  <si>
    <t>TFR-400与TFR-600</t>
  </si>
  <si>
    <t>历史汇总对两代装置列相同R、a、Ip；已显式区分版本但数值需要原始文献交叉核对。</t>
  </si>
  <si>
    <t>TFR Group 1970–1980年代设计/运行论文</t>
  </si>
  <si>
    <t>DTT现行版本κ</t>
  </si>
  <si>
    <t>主表现用2024参考单零设计的同组R2.19m,a.70m,κ≈1.7,δsep≈.48,Ip5.5MA，五项已完整；官网曾列δ.3的版本差异和精确磁面定义仍保留，旧值在previous_parameters。</t>
  </si>
  <si>
    <t>最新DTT参考平衡或技术设计报告</t>
  </si>
  <si>
    <t>欧洲</t>
  </si>
  <si>
    <t>历史小型装置与公开概念完整性</t>
  </si>
  <si>
    <t>历史名录加当前综述能提供广泛覆盖，不能证明穷尽全部地方教学机、短期试验配置、未公开设计及每个概念扫描点。</t>
  </si>
  <si>
    <t>各国实验室档案、IAEA fusion device database及历史会议论文交叉补漏</t>
  </si>
  <si>
    <t>TORIX / ToriX（排除：简单磁化环）</t>
  </si>
  <si>
    <t>覆盖审计后从主表移出。LPP实验室官方明确其不是tokamak，IAEA2022 §5.3 p.109 Table94归为Simple Magnetized Torus。Balshaw2012收录名称及旧R=0.60 m、a=0.06 m仅作为分类冲突的历史记录，不再视为托卡马克参数。分类来源EU_S37、EU_S01；旧名录来源EU_S02。</t>
  </si>
  <si>
    <t>https://www.lpp.polytechnique.fr/-plasma-magnetise-torique-TORIX- （实验室分类）；https://www-pub.iaea.org/MTCD/Publications/PDF/CRCP-FUS-001webRev.pdf §5.3 Table94</t>
  </si>
  <si>
    <t>DANTE Fusion紧凑球形中子源（2025–2026概念）</t>
  </si>
  <si>
    <t>EU_S41确认公开概念设计及Risø拟址，尚未读到明确R、a、κ、δ、Ip工程/物理参数，暂不进入主参数表。不与1970–1980年代的DANTE历史装置合并；网站目标及路线图不等于已建成或已实现。</t>
  </si>
  <si>
    <t>https://dantefusion.com/ — The DANTE Device, Timeline</t>
  </si>
  <si>
    <t>Macrotor</t>
  </si>
  <si>
    <t>第二轮已用IAEA1980原始实验说明填R=.9m、a=.4m、Ip=.02–.10MA，保留2013 R1.5m及1987/汇总不同版本冲突；仍缺κ/δ，未把腔体形状转为等离子体形状。</t>
  </si>
  <si>
    <t>PBX / PBX-M</t>
  </si>
  <si>
    <t>第二轮PBX-M已改用PPPL3250 Table 1 shot260678完整同组；原PBX仍缺κ/δ/Ip，禁止把升级后参数移入升级前。</t>
  </si>
  <si>
    <t>Versator I; CDX; ACT-I; Microtor II</t>
  </si>
  <si>
    <t>存在历史候选/名称，但本轮未取得各自可独立引用的原始参数表；勿当现有已核验行。</t>
  </si>
  <si>
    <t>PPPL与MIT/UCLA原始报告；Balshaw名录仅线索</t>
  </si>
  <si>
    <t>TEXT（升级前）</t>
  </si>
  <si>
    <t>TEXT-U已收；升级前TEXT几何/实现电流仍待原始年代报告，不套用J-TEXT。</t>
  </si>
  <si>
    <t>UT Austin历史报告</t>
  </si>
  <si>
    <t>Torus II</t>
  </si>
  <si>
    <t>原资料描述belt-pinch至高β环形工况；托卡马克归类边界和等离子体小半径待核。</t>
  </si>
  <si>
    <t>https://digital.library.unt.edu/ark%3A/67531/metadc1087235/m2/1/high_res_d/5631324.pdf</t>
  </si>
  <si>
    <t>Doublet I; (dc) Octopole</t>
  </si>
  <si>
    <t>早期及多配置装置是否有可独立识别tokamak工况待核，未纳主表。</t>
  </si>
  <si>
    <t>GA历史档案；Balshaw历史表</t>
  </si>
  <si>
    <t>CIT-2 early limiter/divertor versions</t>
  </si>
  <si>
    <t>原始早期表已见1.32/1.34m两版本；本轮主表为后期2.1mCIT，早期版本需表脚注与年份复核。</t>
  </si>
  <si>
    <t>https://www.osti.gov/servlets/purl/6008751</t>
  </si>
  <si>
    <t>FDF; FNSF; GA-FPP; NSST; CTF/ST-CTF</t>
  </si>
  <si>
    <t>公开方案名已知但本轮尚未逐方案提取完整版本特定原始参数，不可认为已穷尽。</t>
  </si>
  <si>
    <t>GA/PPPL FNSF及IAEA2022设计章</t>
  </si>
  <si>
    <t>PULSAR; FED/FED-A/FED-R; TIBER; TORFA; ORMAK-FEX; ORMAK Upgrade; ORNL EPR; ADX</t>
  </si>
  <si>
    <t>历史与现代设计系列待专项补录；不以本轮覆盖宣称所有概念设计完备。</t>
  </si>
  <si>
    <t>OSTI设计报告；https://www.osti.gov/servlets/purl/4415739 ; https://www.osti.gov/servlets/purl/7189631</t>
  </si>
  <si>
    <t>Proto-CIRCUS / CIRCUS</t>
  </si>
  <si>
    <t>已检索原始设计题名，tokamak-torsatron混合；本轮未独立核参数和归属，不纳主表。</t>
  </si>
  <si>
    <t>https://arxiv.org/abs/1410.2309</t>
  </si>
  <si>
    <t>2024同文Table I R/a=.4/.15与Table II Rp/rp=.45/.10冲突；只选择表I设计组并保留差异。</t>
  </si>
  <si>
    <t>UANL spherical tokamak Mexico–Russia collaboration</t>
  </si>
  <si>
    <t>2021会议提到与圣彼得堡大学第二球形方案0.5T/3T两期，未明确五参数及是否为Tokamak T新版本。</t>
  </si>
  <si>
    <t>https://conferences.iaea.org/event/214/contributions/17705/</t>
  </si>
  <si>
    <t>NOVA / NOVA-FURG / UFES</t>
  </si>
  <si>
    <t>迁移链已部分核验，2022以后状态/准确交接日期和原日本NOVA-II关系仍待机构来源。</t>
  </si>
  <si>
    <t>ETE / TCABR升级设计</t>
  </si>
  <si>
    <t>第二轮ETE已整行采用原始项目表的早期设计基准（R.3/A1.5/κ1.6–1.8/δ.3/Ip.22），a由R/A推算；IAEA2022已实现45kA保留在注释。TCABR名义圆形δ已按原文推算；两装置后续升级的完整参数/实施状态仍未核验。</t>
  </si>
  <si>
    <t>INPE与USP设备升级原始设计报告</t>
  </si>
  <si>
    <t>美洲其他国家/地区</t>
  </si>
  <si>
    <t>Argentina; Chile; Colombia; Peru; Ecuador; other Americas</t>
  </si>
  <si>
    <t>本轮未找到可纳主表的具名托卡马克原始参数证据；这表示检索未命中，不等于不存在。</t>
  </si>
  <si>
    <t>国家聚变计划/IAEA研究所目录；阿根廷2025会议综述 https://conferences.iaea.org/event/392/contributions/35641/attachments/19715/36105/Gervasoni-OV.pdf</t>
  </si>
  <si>
    <t>美洲</t>
  </si>
  <si>
    <t>早期装置κ/δ与停机年月</t>
  </si>
  <si>
    <t>第二轮已对原文明确等离子体/限制器圆形或椭圆形的条目使用用户授权的可追溯理想几何推算，并逐字段标注；其余早期装置标准κ/δ仍缺。停运及拆除年月需原始档案，不使用旧文献假定2026状态。</t>
  </si>
  <si>
    <t>各设施原始工程论文与关闭报告</t>
  </si>
  <si>
    <t>LT-1 / LT-2 / LT-3M</t>
  </si>
  <si>
    <t>前身及改造版本，独立装置身份与参数未完成核验</t>
  </si>
  <si>
    <t>ANU历史档案/EPS1977 LT-3M</t>
  </si>
  <si>
    <t>TMP（早期陶瓷环）</t>
  </si>
  <si>
    <t>边界历史装置，需确认与TMB别名以及tokamak定义</t>
  </si>
  <si>
    <t>Balshaw2012 p.10；Smirnov2010</t>
  </si>
  <si>
    <t>已收录参数缺失</t>
  </si>
  <si>
    <t>缺失字段：大半径 R；小半径 a；拉长比 κ；三角度 δ；总等离子体电流 Ip。['R_m：已进行第二轮针对性检索；所读来源未给同版本可靠值，或原始全文尚未获取/定义未消歧，见round2_search_asia.json逐装置记录', 'a_m：已进行第二轮针对性检索；所读来源未给同版本可靠值，或原始全文尚未获取/定义未消歧，见round2_search_asia.json逐装置记录', 'kappa：已进行第二轮针对性检索；所读来源未给同版本可靠值，或原始全文尚未获取/定义未消歧，见round2_search_asia.json逐装置记录', 'delta：已进行第二轮针对性检索；所读来源未给同版本可靠值，或原始全文尚未获取/定义未消歧，见round2_search_asia.json逐装置记录', 'Ip_MA：已进行第二轮针对性检索；所读来源未给同版本可靠值，或原始全文尚未获取/定义未消歧，见round2_search_asia.json逐装置记录']</t>
  </si>
  <si>
    <t>"CT-6" tokamak parameters major radius plasma current；CT-6 托卡马克 研究 1980 577 587</t>
  </si>
  <si>
    <t>找到原论文CT-6 TOKAMAK RESEARCH I，Acta Phys Sin 1980 29(5)577–587，DOI10.7498/aps.29.577，摘要线索R.45,a.092,Ip.03。原出版社403/DOI失败；检索可读副本站点显示异常赌博站名，未独立核验，故暂不采值。κδ也未报告。</t>
  </si>
  <si>
    <t>缺失字段：小半径 a；三角度 δ。['a_m：已进行第二轮针对性检索；所读来源未给同版本可靠值，或原始全文尚未获取/定义未消歧，见round2_search_asia.json逐装置记录', 'delta：已进行第二轮针对性检索；所读来源未给同版本可靠值，或原始全文尚未获取/定义未消歧，见round2_search_asia.json逐装置记录']</t>
  </si>
  <si>
    <t>EXL-50U "minor radius" "triangularity"；"EXL-50U" "minor radius" "triangularity"</t>
  </si>
  <si>
    <t>原文公开R与A范围，但未给端点配对，不能把Rmin/Amax和Rmax/Amin伪装成实际a范围。δ尚缺对应2025名录工况；2026H模论文为后续入口。</t>
  </si>
  <si>
    <t>缺失字段：三角度 δ。['delta：已进行第二轮针对性检索；所读来源未给同版本可靠值，或原始全文尚未获取/定义未消歧，见round2_search_asia.json逐装置记录']</t>
  </si>
  <si>
    <t>本地Balshaw2012 FY-1 a b plasma；"FY-1" "tokamak" elliptical triangularity</t>
  </si>
  <si>
    <t>Balshaw明确plasma a10cm,b25cm，已据此推κ2.5；Non-Circular本身不足以证明ellipse或δ0。原始δ未取得。</t>
  </si>
  <si>
    <t>缺失字段：小半径 a；拉长比 κ；三角度 δ；总等离子体电流 Ip。['a_m：已进行第二轮针对性检索；所读来源未给同版本可靠值，或原始全文尚未获取/定义未消歧，见round2_search_asia.json逐装置记录', 'kappa：已进行第二轮针对性检索；所读来源未给同版本可靠值，或原始全文尚未获取/定义未消歧，见round2_search_asia.json逐装置记录', 'delta：已进行第二轮针对性检索；所读来源未给同版本可靠值，或原始全文尚未获取/定义未消歧，见round2_search_asia.json逐装置记录', 'Ip_MA：已进行第二轮针对性检索；所读来源未给同版本可靠值，或原始全文尚未获取/定义未消歧，见round2_search_asia.json逐装置记录']</t>
  </si>
  <si>
    <t>"HH170" "plasma current" "minor"</t>
  </si>
  <si>
    <t>官方仅公开R1.5及磁体/路线图目标。未获得a/κ/δ/Ip原始设计表；磁体10T不代替等离子体电流。</t>
  </si>
  <si>
    <t>缺失字段：拉长比 κ；三角度 δ；总等离子体电流 Ip。['kappa：已进行第二轮针对性检索；所读来源未给同版本可靠值，或原始全文尚未获取/定义未消歧，见round2_search_asia.json逐装置记录', 'delta：已进行第二轮针对性检索；所读来源未给同版本可靠值，或原始全文尚未获取/定义未消歧，见round2_search_asia.json逐装置记录', 'Ip_MA：已进行第二轮针对性检索；所读来源未给同版本可靠值，或原始全文尚未获取/定义未消歧，见round2_search_asia.json逐装置记录']</t>
  </si>
  <si>
    <t>HH70 tokamak "elongation" "triangularity"；"HH70" "plasma current"</t>
  </si>
  <si>
    <t>已查企业进展与磁体论文，长脉冲时长有报道，但不能换算Ip；κ/δ尚未取得装置平衡表。</t>
  </si>
  <si>
    <t>缺失字段：拉长比 κ；三角度 δ。['kappa：已进行第二轮针对性检索；所读来源未给同版本可靠值，或原始全文尚未获取/定义未消歧，见round2_search_asia.json逐装置记录', 'delta：已进行第二轮针对性检索；所读来源未给同版本可靠值，或原始全文尚未获取/定义未消歧，见round2_search_asia.json逐装置记录']</t>
  </si>
  <si>
    <t>"J-TEXT" circular plasma triangularity original</t>
  </si>
  <si>
    <t>2021 J-TEXT偏滤器原文预印本URL在实际下载时返回HTML；检索显示κ约.83/δ约-.16，但不能配对2022名录R/a/Ip。另有近圆形原始论文线索，尚未取得足够可核验全文。不能由圆形真空室代替等离子体边界。</t>
  </si>
  <si>
    <t>"KT-5" tokamak Hefei parameters；KT-5 托卡马克 初步 实验 1987 温逸智；原始全文参数核验：Preliminary Measurements of Tokamak KT-5（原1987论文英文摘要，JPRS-CST-88-003译载）</t>
  </si>
  <si>
    <t>JPRS原始英文摘要转录已补R/a/Ip，文中未报κ/δ；不从后续KT-5C圆形配置继承。</t>
  </si>
  <si>
    <t>SUNIST-2 "elongation" "triangularity"；"SUNIST-2" "elongation"；"SUNIST" "triangularity"</t>
  </si>
  <si>
    <t>已检索SUNIST原装置形状论文，结果大量指向SUNIST-2和仅适用于SUNIST的理论扫描。未找到原SUNIST-1与2005参数组可配对的δ；不能从SUNIST-2挪用。</t>
  </si>
  <si>
    <t>缺失字段：总等离子体电流 Ip。['Ip_MA：已进行第二轮针对性检索；所读来源未给同版本可靠值，或原始全文尚未获取/定义未消歧，见round2_search_asia.json逐装置记录']</t>
  </si>
  <si>
    <t>"Formosa Integrated Research Spherical Tokamak" current</t>
  </si>
  <si>
    <t>已读APS2025原始摘要R/a/κ/δ/B，无Ip；另查NARI官方计划及2026会议条目，未取得可靠总等离子体电流。</t>
  </si>
  <si>
    <t>"A-SSTR2" "triangularity"；"A-SSTR2" "elongation"</t>
  </si>
  <si>
    <t>原始A-SSTR2论文/高拉长设计讨论入口已查，尚未取得可核验对应R6.2/a1.5/Ip12版本κδ表；不可用SSTR或ARIES-AT代替。</t>
  </si>
  <si>
    <t>"TOKASTAR" "C-TOKASTAR" plasma parameters</t>
  </si>
  <si>
    <t>2009原文只给等离子体R约2cm以及线圈尺寸，未给a/κ/δ/托卡马克环向总电流；辉光磁面验证属于混合装置，电子发射电流不能作Ip。</t>
  </si>
  <si>
    <t>"CPD" Kyushu tokamak elongation triangularity</t>
  </si>
  <si>
    <t>原始CCS磁面重建文章已读R/a/Ip；κδ未报告对应参数。Kyushu CPD与韩国CPD设计不可混用。</t>
  </si>
  <si>
    <t>本地全文逐条核验 Balshaw 2012：CSTN-I；"CSTN-I" "current" plasma</t>
  </si>
  <si>
    <t>Balshaw以及CSTN-I电流驱动检索未提供可采用Ip；后续CSTN-II/III电流不可作为CSTN-I值。</t>
  </si>
  <si>
    <t>CSTN-IV circular plasma cross section</t>
  </si>
  <si>
    <t>Balshaw条目仅写Ergodic divertor，没有明确Circular标签；虽前身CSTN-AC是圆形限制器，未自动继承至CSTN-IV。原始检索尚无边界δ。</t>
  </si>
  <si>
    <t>"FAST" "triangularity" "4" Japan fusion</t>
  </si>
  <si>
    <t>同2026官网FAST版本，其发电演示工况δ未报；旧设计与意大利同名装置不混用。</t>
  </si>
  <si>
    <t>"FAST" "4.0" "triangularity" fusion Japan</t>
  </si>
  <si>
    <t>所读2026官网R4m版本未给δ；搜索多返回意大利FAST或日本旧R2.78m版本，均不能混用。</t>
  </si>
  <si>
    <t>"GNOME" tokamak "elongation"；"GNOME" "triangularity" tokamak；GNOME tokamak reactor Konishi elongation triangularity</t>
  </si>
  <si>
    <t>已查Konishi年度报告、原始参数分析DOI10.13182/FST11-A12360和中子学设计论文，原始全文参数表尚未获取；2012幻灯片R/a/Ip已有，κδ未报。</t>
  </si>
  <si>
    <t>"HIST" tokamak triangularity；"HIST" spherical tokamak "triangularity"</t>
  </si>
  <si>
    <t>已查HIST形状及原始形成/螺度注入论文入口。检索返回一般ST综述与其他机器参数，未获得HIST同工况δ原始值。</t>
  </si>
  <si>
    <t>本地全文逐条核验 Balshaw 2012：JFT-2a / DIVA；"JFT-2a" "minor radius"；原始全文/原图核验：Experimental Results on JAERI Tokamaks</t>
  </si>
  <si>
    <t>1975 EPS原始Table1明确Non Circular，与Balshaw Circular分类冲突；a.1m已补，圆形κ/δ推算已撤回。需回到具体divertor/limiter平衡工况。</t>
  </si>
  <si>
    <t>"JT-60" original "elongation" "triangularity"</t>
  </si>
  <si>
    <t>原JT-60外偏滤器/限制器存在多配置，历史汇编圆形标签不能涵盖全部；所查2002/2005形状表实际属JT-60U。未将U版κδ填入原装置。</t>
  </si>
  <si>
    <t>"LATE" spherical tokamak triangularity；"LATE" "tokamak" "triangularity"</t>
  </si>
  <si>
    <t>2004形成平衡原始会议论文已查；圆柱容器尺寸不能当等离子体边界，已读材料未报该2005参数组δ。</t>
  </si>
  <si>
    <t>"NOVA-II" tokamak radius current</t>
  </si>
  <si>
    <t>已读IAEA迁巴西沿革，但巴西NOVA-FURG参数不是独立核验过的日本运行参数，不能跨迁移版本直接复制。尚待京都大学日本阶段原始论文。</t>
  </si>
  <si>
    <t>NUCTE-ST plasma elongation shape triangularity</t>
  </si>
  <si>
    <t>原始高度拉长低纵横比θ箍缩论文已找到，但未取得可核验δ；2005表κ10、R.062、Ip.34需继续原始压缩时刻定义复核。</t>
  </si>
  <si>
    <t>"PLATO" tokamak "circular"；"PLATO" tokamak "kappa" "delta"</t>
  </si>
  <si>
    <t>官方PLATO设计页及2011设计报告入口有R.6/a.2，2022名录为R.7/a.25。所查TASK/启动论文未取得可核验形状表；需确认版本后才能配对。</t>
  </si>
  <si>
    <t>TNT tokamak noncircular triangularity Japan</t>
  </si>
  <si>
    <t>已查1978 Measurement of Current Profile in a Noncircular Tokamak TNT原始期刊入口，未取得可靠δ数值。Noncircular不能自动视为ellipse。</t>
  </si>
  <si>
    <t>TNT-A tokamak elliptical cross section</t>
  </si>
  <si>
    <t>找到1983 JPSJ原始TNT-A elongation实验论文入口，尚未取得同工况δ表；δ不从装置或磁面图估读。</t>
  </si>
  <si>
    <t>"TODOROKI-I" tokamak plasma radius elongation</t>
  </si>
  <si>
    <t>已找到1998原始设备TableI，R.30,a.055,Ip40kA与当前汇编一致；形状κ/δ未得到文字/表格定义。</t>
  </si>
  <si>
    <t>TODOROKI-II tokamak elliptical triangularity</t>
  </si>
  <si>
    <t>已检索TODOROKI-II参数/椭圆截面，未获得对应2005工况明确δ；装置图不能证明理想椭圆等离子体。</t>
  </si>
  <si>
    <t>缺失字段：大半径 R；小半径 a；三角度 δ；总等离子体电流 Ip。['R_m：已进行第二轮针对性检索；所读来源未给同版本可靠值，或原始全文尚未获取/定义未消歧，见round2_search_asia.json逐装置记录', 'a_m：已进行第二轮针对性检索；所读来源未给同版本可靠值，或原始全文尚未获取/定义未消歧，见round2_search_asia.json逐装置记录', 'delta：已进行第二轮针对性检索；所读来源未给同版本可靠值，或原始全文尚未获取/定义未消歧，见round2_search_asia.json逐装置记录', 'Ip_MA：已进行第二轮针对性检索；所读来源未给同版本可靠值，或原始全文尚未获取/定义未消歧，见round2_search_asia.json逐装置记录']</t>
  </si>
  <si>
    <t>2009原始文献理论N=2三维磁面椭圆度约2已补；未指定绝对尺度及总电流。轴对称δ对三维磁面依赖截面/平均定义，不能硬套0。</t>
  </si>
  <si>
    <t>TOKASTAR-2 2010 Construction Plasma Initiation Table2</t>
  </si>
  <si>
    <t>2010原文已下载并看Table2和磁面图，R/a/Ip设计工况已补。κ/δ未列，未从示意磁面图估读；2016实验论文可继续作为后续入口。</t>
  </si>
  <si>
    <t>缺失字段：小半径 a；总等离子体电流 Ip。['a_m：已进行第二轮针对性检索；所读来源未给同版本可靠值，或原始全文尚未获取/定义未消歧，见round2_search_asia.json逐装置记录', 'Ip_MA：已进行第二轮针对性检索；所读来源未给同版本可靠值，或原始全文尚未获取/定义未消歧，见round2_search_asia.json逐装置记录']</t>
  </si>
  <si>
    <t>本地全文逐条核验 Balshaw 2012：TORIUT-3；"TORIUT-3" "plasma" "radius"</t>
  </si>
  <si>
    <t>Balshaw R.25后紧随.2属于磁场列，a空白；再次按原始托卡马克θ箍缩实验检索未得到可采用a/Ip，未串列填.2m。</t>
  </si>
  <si>
    <t>本地全文逐条核验 Balshaw 2012：TORIUT-5；"TORIUT-5" "plasma current"</t>
  </si>
  <si>
    <t>Balshaw原表Ip问号，检索原始比较RFP/托卡马克论文未取得可靠同工况Ip。</t>
  </si>
  <si>
    <t>"TRIAM" "1970" "tokamak" "plasma"</t>
  </si>
  <si>
    <t>已查TRIAM早期史与装置表，只有Limiter，不能等同Circular。TRIAM-1M不是原TRIAM，未挪用其κ。</t>
  </si>
  <si>
    <t>TRIAM-1M plasma elliptical rectangular cross section</t>
  </si>
  <si>
    <t>已检索TRIAM-1M截面，矩形/非圆容器与等离子体边界定义不能混同；直接κ沿用综述，δ未取得。</t>
  </si>
  <si>
    <t>TS-3 tokamak triangularity plasma shape</t>
  </si>
  <si>
    <t>已检索TS-3原始磁重联/合并研究，未得到所选球形托卡马克工况的δ；spheromak/FRC形状不能作为托卡马克δ。</t>
  </si>
  <si>
    <t>TS-4 tokamak triangularity plasma shape</t>
  </si>
  <si>
    <t>已检索TS-4合并等离子体形状，得到TS-3/TS-4/UTST共同综述，未取得所选2005工况的δ；合并前后形状时变且不可互换。</t>
  </si>
  <si>
    <t>"TST-2" tokamak triangularity parameters；"TST-2" tokamak "triangularity"</t>
  </si>
  <si>
    <t>官方旧TST-2页面有κ范围，但与当前2022名录尺寸存在时期差别；已查2004启动论文及东京大学博士论文目录，尚未完成完整同工况R/a/κ/δ/Ip表核验。δ未可靠取得。</t>
  </si>
  <si>
    <t>"TST-M" "triangularity"</t>
  </si>
  <si>
    <t>已查TST-M与TST-2原始对比资料；κ已有综述，δ未取得明确数值。</t>
  </si>
  <si>
    <t>"UTST" spherical tokamak elongation；"UTST" tokamak "elongation" "triangularity"</t>
  </si>
  <si>
    <t>已查UTST合并启动、局部电流测量及2018球形综述；很多检索片段的κ/δ来自同页ARIES-ST等其他装置。未取得UTST本体指定平衡形状值。</t>
  </si>
  <si>
    <t>本地全文逐条核验 Balshaw 2012：WT-1；"WT-1" "tokamak" "radius"</t>
  </si>
  <si>
    <t>Balshaw a与Ip均问号；WT-1/WT-2发展史及EC启动原始入口检索尚未给可靠WT-1数值。</t>
  </si>
  <si>
    <t>"compact pilot" Korea tokamak "triangularity"</t>
  </si>
  <si>
    <t>韩国2025 CPD概念两种A版本原始幻灯片未给δ；同讲K-DEMO δ95约.6属于另一设计，不能挪用。</t>
  </si>
  <si>
    <t>"compact pilot device" Korea "2" triangularity</t>
  </si>
  <si>
    <t>同CPD2025两候选版本未报δ；K-DEMO δ不能作为球形CPD值。</t>
  </si>
  <si>
    <t>VEST tokamak plasma triangularity 0.51</t>
  </si>
  <si>
    <t>找到首尔大学论文Table1-1的R.44/a.32/κ1.6/δ.51/Ip.1MA线索，但SNU下载返回1017字节访问页而不是PDF；2013装置原始论文页面超时。未将该仅检索表冒充全文核验。</t>
  </si>
  <si>
    <t>"PRAGYA" tokamak "elongation"</t>
  </si>
  <si>
    <t>已读2026arXiv原始初步设计，几何范围有R/a，未取得明确κδ；整体模型尚早期且不能据示意图推算。</t>
  </si>
  <si>
    <t>"SSST" "elongation" plasma IPR</t>
  </si>
  <si>
    <t>2022名录与2026首放电论文已读，未给对应工况κ/δ。圆形或可拆TF线圈不是明确等离子体边界。</t>
  </si>
  <si>
    <t>缺失字段：拉长比 κ；三角度 δ；总等离子体电流 Ip。kappa：本轮所查资料未报告，或定义／版本冲突未解决；delta：本轮所查资料未报告，或定义／版本冲突未解决；Ip_MA：本轮所查资料未报告，或定义／版本冲突未解决</t>
  </si>
  <si>
    <t>GLAST-I plasma current；First plasma formation GLAST2014；GLAST2019 data acquisition Background</t>
  </si>
  <si>
    <t>海报只给腔体几何；未取得独立等离子体Ip/κ/δ。不能复制GLASTII同尺寸实验电流。</t>
  </si>
  <si>
    <t>缺失字段：拉长比 κ；三角度 δ。kappa：本轮所查资料未报告，或定义／版本冲突未解决；delta：本轮所查资料未报告，或定义／版本冲突未解决</t>
  </si>
  <si>
    <t>GLAST-II elongation triangularity；10.1016/j.fusengdes.2017.11.002；GLAST2019 Background</t>
  </si>
  <si>
    <t>原论文给R/a/Ip；柱状玻璃室不是等离子体LCFS形状证据，κδ不补。</t>
  </si>
  <si>
    <t>GLASTIII plasma current enhancement vertical horizontal coils；GLASTIII triangularity；10.1088/2058-6272/aa68db</t>
  </si>
  <si>
    <t>2014/2016/2017启动研究与2022目录均未取得对应κδ；不把TF纹波δ当三角度。</t>
  </si>
  <si>
    <t>MT-I tokamak elongation triangularity；MTI2025实验海报</t>
  </si>
  <si>
    <t>已读2025原团队实验海报，只有R/a/Ip；腔体几何不能决定κδ。</t>
  </si>
  <si>
    <t>缺失字段：三角度 δ。delta：本轮所查资料未报告，或定义／版本冲突未解决</t>
  </si>
  <si>
    <t>MT-II triangularity；Optimization of Wall-Conditioning Techniques MT-II；10.1080/15361055.2023.2241004 TablesI–II</t>
  </si>
  <si>
    <t>2023 FST TablesI–II补Ip并统一κ2.3设计组；δ仅作为公式符号，没有设计数字。</t>
  </si>
  <si>
    <t>Pakistan Spherical Tokamak triangularity；PST design magnetic system2021；Optimization divertor design Pakistan spherical tokamak2023</t>
  </si>
  <si>
    <t>2021官方全文和2023偏滤器论文摘要确认双零设计，未给三角度。2021表δ是TF纹波，不能挪用。</t>
  </si>
  <si>
    <t>Damavand tokamak triangularity elongation；Harzchi triangularity；Numerical Solutions for Grad-Shafranov Equation Damavand；Noori2016 Eq13–17/§3</t>
  </si>
  <si>
    <t>找到2005 Table1 δa=-0.3cm，但与无量纲δ定义关系未说明；不默改单位、不除以a。2016另组κ1.41仍未报告δ数字。</t>
  </si>
  <si>
    <t>DEMO-RF elongation；Kuteev DEMO-S 7.8；Russian DEMO-S reactor with continuous plasma burn；10.1016/j.fusengdes.2008.07.041</t>
  </si>
  <si>
    <t>本轮改用2002具体设计R/a/κ/Ip，官方旧PDF已重定向，只能读取索引参数表；δ仍缺。</t>
  </si>
  <si>
    <t>Globus-3 triangularity 0.775；Minaev2025 Globus-3 project；Kurskiev2024 10.1063/5.0211866 §VII</t>
  </si>
  <si>
    <t>已读2022概念及2025原文，现代R.775m、a.44m、κ95=1.8组仍无数值δ。2018 R1m概念δ.7不可移用。</t>
  </si>
  <si>
    <t>IAEA-TECDOC969 JUST conceptual design pp149–156</t>
  </si>
  <si>
    <t>1997文集Table2给四项，δ未列；不要把βN=3误作δ=.3。</t>
  </si>
  <si>
    <t>T12 tokamak elongation；Smirnov2010 pp5–6；IAEA-TECDOC969 Damavand/TVD章节</t>
  </si>
  <si>
    <t>原文/历史表可确认拉长双零偏滤器，未取得对应κδ数值。</t>
  </si>
  <si>
    <t>T14 tokamak circular；ESNIB90-08 T14 parameters；Mitrishkin2018 pp42</t>
  </si>
  <si>
    <t>1990三阶段表可确认R/a/Ip；未找到明确同阶段等离子体圆/椭圆定义或κδ。</t>
  </si>
  <si>
    <t>T14 tokamak circular；ESNIB90-08 T14 compression；Balshaw2012 T14</t>
  </si>
  <si>
    <t>同Stage1，压缩阶段半径不能与非同组高度/磁面形状合并。</t>
  </si>
  <si>
    <t>T8 tokamak elongation triangularity；Smirnov2010 Fig6；Balshaw2012 T8</t>
  </si>
  <si>
    <t>Smirnov2010 Fig6说明D形，历史汇编高度与另一版本半径不相容；不跨版本算κ。</t>
  </si>
  <si>
    <t>T9 finger ring tokamak elongation；EPS1975 T9 non-circular；Balshaw2012 p8</t>
  </si>
  <si>
    <t>历史汇编新增a与κ上限；三角度没有数字，非圆截面不能补0。</t>
  </si>
  <si>
    <t>缺失字段：大半径 R；小半径 a；拉长比 κ；三角度 δ；总等离子体电流 Ip。R_m：本轮所查资料未报告，或定义／版本冲突未解决；a_m：本轮所查资料未报告，或定义／版本冲突未解决；kappa：本轮所查资料未报告，或定义／版本冲突未解决；delta：本轮所查资料未报告，或定义／版本冲突未解决；Ip_MA：本轮所查资料未报告，或定义／版本冲突未解决</t>
  </si>
  <si>
    <t>TUMAN-1 tokamak parameters；ТУМАН-1 токамак параметры；Smirnov2010历史综述与早期装置表</t>
  </si>
  <si>
    <t>历史命名可确认，尚未找到带数值的可靠原文；不能套TUMAN2或TUMAN3参数。</t>
  </si>
  <si>
    <t>缺失字段：小半径 a；三角度 δ。a_m：本轮所查资料未报告，或定义／版本冲突未解决；delta：本轮所查资料未报告，或定义／版本冲突未解决</t>
  </si>
  <si>
    <t>TVD tokamak parameters elongation；IAEA2022 p41；Balshaw2012 p11</t>
  </si>
  <si>
    <t>补R、Ip与官方追述κ4；小半径0.08×0.16m方向和版本不清，不能同κ4拼接；δ无值。</t>
  </si>
  <si>
    <t>缺失字段：拉长比 κ；三角度 δ。kappa：来源未给出数值；delta：来源未给出数值</t>
  </si>
  <si>
    <t>"ST25" "elongation" "triangularity"；"ST25" "Table 1" "Gryaznevich" 2013</t>
  </si>
  <si>
    <t>原Table1只列R/a与Ip，未给κδ。Fig8是线圈/腔体剖面；无明确等离子体椭圆/圆形定义，不能推算。</t>
  </si>
  <si>
    <t>缺失字段：小半径 a；拉长比 κ；三角度 δ；总等离子体电流 Ip。a_m、kappa、delta、Ip_MA：未读到HTS版独立参数。</t>
  </si>
  <si>
    <t>"ST25HTS" "minor radius"；"ST25HTS" "plasma current" "minor"；"ST25HTS" "cross section" plasma</t>
  </si>
  <si>
    <t>2018§3.2给R=.25m；2013Table1图核HTS列R/a/Ip空白。400A、1kA为磁体导体电流。剩aκδIp不能从铜版复制。</t>
  </si>
  <si>
    <t>缺失字段：大半径 R；小半径 a；拉长比 κ；三角度 δ；总等离子体电流 Ip。R_m：来源未给出数值；a_m：来源未给出数值；kappa：来源未给出数值；delta：来源未给出数值；Ip_MA：来源未给出数值</t>
  </si>
  <si>
    <t>"ST80" "major radius" tokamak；"ST80-HTS" "radius" "plasma"；"ST80" "major radius" tokamak -autonocion -world-nuclear-news</t>
  </si>
  <si>
    <t>官方公布建设意图与研究项目，无五参数表。检索混入2024/25 pilot R4.25m是ST-E1版本，不能当ST80；2026二级新闻称路线调整，未据此认定取消。</t>
  </si>
  <si>
    <t>缺失字段：三角度 δ。delta：2001完整报告参数表未列δ；2020解析平衡文章讨论δ随β变，不能挪用另一平衡的δ。</t>
  </si>
  <si>
    <t>"PROTO-SPHERA" "triangularity"；下载Full_PROTO-SPHERA_Report_2001.pdf；本地查triangular/4.8/X-point/参数表</t>
  </si>
  <si>
    <t>全文PDFp.7核四参数，全文triangular词0次。2020解析平衡讨论δ随β变化，不能给2001参考边界固定δ。</t>
  </si>
  <si>
    <t>缺失字段：大半径 R；小半径 a；总等离子体电流 Ip。R_m：来源未给出数值；a_m：来源未给出数值；Ip_MA：来源未给出数值</t>
  </si>
  <si>
    <t>"RFX-mod2" "085001" parameters；"RFX-mod2" "major radius" "triangularity"；"ab93a5" pdf -researchgate -igi.cnr.it</t>
  </si>
  <si>
    <t>2022全文形状目标κ&gt;1.5 δ&gt;.3可用；R1.995是shell/vessel中心，2024 a.49是first-wall半径，不是该D形工况几何小半径。2020原报告只取得首页预览，尚缺同组R/a/Ip；不填RFP2MA。</t>
  </si>
  <si>
    <t>缺失字段：拉长比 κ；三角度 δ；总等离子体电流 Ip。kappa、delta、Ip_MA：所读论文未给托卡马克模式的形状/电流数值，SMT教学模式不替代tokamak参数。</t>
  </si>
  <si>
    <t>"NORTH tokamak" "plasma current"；"NORTH" tokamak "circular" plasma；First results from the NORTH tokamak; Rasmussen2022教学原论文</t>
  </si>
  <si>
    <t>补a=.125m。2021原文#1165无CS驱动；1.2kA是TF线圈电流。2022是SMT教学模式。不能把0电流/室截面挪用为tokamak参数。</t>
  </si>
  <si>
    <t>STPC-EX triangularity；Experimental Study Practicability Self-Created Spherical Tokamak2002</t>
  </si>
  <si>
    <t>已读2002原始实验文献，装置特殊自组织配置，未给规范边界δ；不从照片/中央导体计算。</t>
  </si>
  <si>
    <t>缺失字段：三角度 δ。delta：已读2015设计Table 1及triangular相关段落，未发现δ数值；新商业ARC V3A几何不同，不能回填2015版。</t>
  </si>
  <si>
    <t>"ARC" "2015" "triangularity" "0.54"；"ARC" "3.3" "triangularity" "0.54"</t>
  </si>
  <si>
    <t>本轮仍未取得适用于当前行参数口径的证据，保留空值。</t>
  </si>
  <si>
    <t>缺失字段：三角度 δ。delta：另一系统分析表可见R6.12/a1.53/κ2.03/δ.67，而现有1993行R6.04/a1.51不同；全文受403限制且同组Ip未核实，未拼入δ。</t>
  </si>
  <si>
    <t>"ARIES-IV" "triangularity"</t>
  </si>
  <si>
    <t>缺失字段：三角度 δ。delta：命中ARIES-Ia表R7.51/a1.67/κ1.8/δ.7，但现有I′ R7.64/a1.70不同；不能把不同设计阶段的δ拼进来。</t>
  </si>
  <si>
    <t>"ARIES-I-prime" "triangularity"</t>
  </si>
  <si>
    <t>缺失字段：拉长比 κ；三角度 δ。kappa、delta：命中原始磁体综述的circular指TF磁体设计，不是等离子体边界。</t>
  </si>
  <si>
    <t>"ATC" tokamak "circular cross"</t>
  </si>
  <si>
    <t>缺失字段：拉长比 κ；三角度 δ。kappa、delta：命中偏压综述和装置回顾，未得到原始等离子体边界描述；不根据设备照片填形状。</t>
  </si>
  <si>
    <t>"CCT" tokamak "circular plasma"</t>
  </si>
  <si>
    <t>缺失字段：小半径 a；拉长比 κ；三角度 δ。a_m、kappa、delta：历史表多以非圆形两维尺寸描述；未可靠确定是半轴、全宽还是双瓣尺寸，无法给唯一水平a和标准κ/δ。</t>
  </si>
  <si>
    <t>"Doublet II" "minor radius" elongation</t>
  </si>
  <si>
    <t>缺失字段：小半径 a；拉长比 κ；三角度 δ。a_m、kappa、delta：原始Table I索引给a(cm)=14×40、R66，双瓣/轴尺寸定义仍不充分；未将14直接当水平半径、40/14当κ。</t>
  </si>
  <si>
    <t>"Doublet II-A" "elongation" "current"</t>
  </si>
  <si>
    <t>缺失字段：三角度 δ。delta：特指doublet工况，其他DIII D形/负三角度实验不适用；未读到双瓣平衡对应δ定义和值。</t>
  </si>
  <si>
    <t>"Doublet III" "triangularity" "2.8"</t>
  </si>
  <si>
    <t>缺失字段：三角度 δ。delta：已有κ=2，但未找到明确椭圆边界或δ数值，单独κ不足以推出δ。</t>
  </si>
  <si>
    <t>"Electric Tokamak" "triangularity"；"ET" "Electric Tokamak" "elliptical"</t>
  </si>
  <si>
    <t>缺失字段：拉长比 κ；三角度 δ。kappa、delta：Caltech原始论文给R/a/Ip，形状主要示意图；目录圆形描述不足以满足本轮原始边界证据要求。</t>
  </si>
  <si>
    <t>"ENCORE" tokamak "circular"；"ENCORE" "tokamak" "circular cross-section"</t>
  </si>
  <si>
    <t>缺失字段：三角度 δ。delta：原始CHI/HIT介绍有κ而无δ；双零偏滤器名称不能替代三角度。</t>
  </si>
  <si>
    <t>"HIT" "0.3" "triangularity"</t>
  </si>
  <si>
    <t>缺失字段：三角度 δ。delta：原始HIT-II/IAEA介绍及Redd摘要未给δ；不套用其他CHI装置或HIT值。</t>
  </si>
  <si>
    <t>"HIT-II" "triangularity"</t>
  </si>
  <si>
    <t>缺失字段：拉长比 κ；三角度 δ。kappa、delta：已用原文major radius90cm、minor radius40cm、20–100kA填组；后续R1.5m与1981理论a.45保留版本冲突。仍无κ/δ直接值或清晰边界描述。</t>
  </si>
  <si>
    <t>"Macrotor" "major radius" "minor" 0.9；"Macrotor" "90 cm"；"Macrotor" "circular" "Microtor"；定向读取以下原始/官方来源及指定参数表，按同一版本更新；部分来源仅能读取检索索引，见access_level。</t>
  </si>
  <si>
    <t>缺失字段：拉长比 κ；三角度 δ。kappa、delta：后续MEDUSA-CR模拟κ/δ不能代表搬迁前MEDUSA设备；原硬件组形状未找到。</t>
  </si>
  <si>
    <t>"MEDUSA" tokamak "elongation" "triangularity"</t>
  </si>
  <si>
    <t>缺失字段：拉长比 κ；三角度 δ。kappa、delta：已将R/a/Ip整组改为1980原始实验说明；κ/δ未在该说明中报告，截面示意图不作为数值推算依据。</t>
  </si>
  <si>
    <t>"Microtor" tokamak "radius" "current"；"Microtor" "8 cm"；"Microtor" "40" "15" plasma；定向读取以下原始/官方来源及指定参数表，按同一版本更新；部分来源仅能读取检索索引，见access_level。</t>
  </si>
  <si>
    <t>缺失字段：拉长比 κ；三角度 δ。kappa、delta：装置由Alcator C迁移，但原MTX资料所见circular为微波束等对象；未确认MTX等离子体边界，不能仅由前身推算。</t>
  </si>
  <si>
    <t>"MTX" tokamak "circular" plasma；"MTX" "plasma cross-section"</t>
  </si>
  <si>
    <t>缺失字段：拉长比 κ；三角度 δ。kappa、delta：圆形段落分别对应ISX-B参照模型或ORMAK Upgrade方案，未取得原ORMAK等离子体边界形状的直接说明。</t>
  </si>
  <si>
    <t>"ORMAK" "circular cross section" plasma；"ORMAK" "circular" site:osti.gov plasma cross section</t>
  </si>
  <si>
    <t>缺失字段：拉长比 κ；三角度 δ；总等离子体电流 Ip。kappa、delta、Ip_MA：结果主要为PBX-M升级后资料；现已给PBX-M单独实验组，但原PBX的κ/δ/Ip仍未可靠定位，不跨版本填充。</t>
  </si>
  <si>
    <t>"PBX" "triangularity" "current"；"PBX" "R" "1.45" "elongation"</t>
  </si>
  <si>
    <t>缺失字段：三角度 δ。delta：原始Fonck装置介绍与现有球形综述未读到可信δ值；不把其他ST的0.35移入。</t>
  </si>
  <si>
    <t>"Pegasus" "0.35" "triangularity"</t>
  </si>
  <si>
    <t>缺失字段：小半径 a；拉长比 κ；三角度 δ。a_m、kappa、delta：原始学位论文命中shot4898 ShapeFIT-MC时间轨迹与误差图；PDF下载两次SSL握手超时。索引未给可与R/Ip同组对应的a/κ/δ数表。</t>
  </si>
  <si>
    <t>"Pegasus-III" "elongation" "triangularity"</t>
  </si>
  <si>
    <t>缺失字段：拉长比 κ；三角度 δ。kappa、delta：检索中的rectangular等形状涉及TF线圈，并非等离子体边界；未取得可用κ/δ。</t>
  </si>
  <si>
    <t>"Phaedrus-T" "circular" plasma；"Phaedrus-T" "plasma" "circular cross"；"Phaedrus-T" "plasma elongation"</t>
  </si>
  <si>
    <t>缺失字段：拉长比 κ；三角度 δ。kappa、delta：ISX比较提到PLT约为六倍的circular plasma volume，但上下文主要说明ISX的参照体积；未把比较措辞强读成PLT边界定义。</t>
  </si>
  <si>
    <t>"PLT" tokamak "circular plasma"；"PLT" tokamak "circular" site:osti.gov</t>
  </si>
  <si>
    <t>缺失字段：小半径 a；拉长比 κ；三角度 δ；总等离子体电流 Ip。a_m、kappa、delta、Ip_MA：MIT官方设施清单已填R=.58m；35×70cm为minor cross-section但未明确等离子体边界，故a/κ/δ不推。未见Ip原始值。</t>
  </si>
  <si>
    <t>"RECTOR" tokamak "radius" plasma；"Rector" "tokamak" "cm"；定向读取以下原始/官方来源及指定参数表，按同一版本更新；部分来源仅能读取检索索引，见access_level。</t>
  </si>
  <si>
    <t>缺失字段：大半径 R；小半径 a；拉长比 κ；三角度 δ；总等离子体电流 Ip。R_m、a_m、kappa、delta、Ip_MA：美国借用后改装低温微波研究；加拿大版本与美国名录a不同，且是否标准tokamak工况存疑。保留迁移存在性，五参数不擅自继承。</t>
  </si>
  <si>
    <t>"STOR-1M" "circular" plasma</t>
  </si>
  <si>
    <t>缺失字段：拉长比 κ；三角度 δ。kappa、delta：历史来源中的racetrack转circular说明环形装置的总体几何，未足以判定极向等离子体截面；不能据此推κ/δ。</t>
  </si>
  <si>
    <t>"ST" "Symmetric Tokamak" "circular"</t>
  </si>
  <si>
    <t>缺失字段：拉长比 κ；三角度 δ。kappa、delta：检索结果没有给可用于推算的明确极向等离子体/限制器边界说明，原历史表只支持R/a/Ip。</t>
  </si>
  <si>
    <t>"Texas Turbulent Tokamak" "circular"；"TTT" tokamak "limiter" radius</t>
  </si>
  <si>
    <t>缺失字段：拉长比 κ；三角度 δ。kappa、delta：主要命中迁移后的J-TEXT资料或TEXT未升级研究；缺少可明确归于TEXT-U版本的原始边界依据。</t>
  </si>
  <si>
    <t>"TEXT-U" "circular" plasma cross section</t>
  </si>
  <si>
    <t>缺失字段：拉长比 κ；三角度 δ。kappa、delta：多极/八极与tokamak运行模式不同；原始学位论文入口受403限制，未取得tokamak特定边界数据。</t>
  </si>
  <si>
    <t>"TOKAPOLE II" "elongation"；"TOKAPOLE II" "circular" plasma</t>
  </si>
  <si>
    <t>缺失字段：拉长比 κ；三角度 δ。kappa、delta：找到MIT原始扫描报告，文本提取为空/图像扫描；没有从可读原文取得边界形状定义。</t>
  </si>
  <si>
    <t>"Versator II" "circular" plasma</t>
  </si>
  <si>
    <t>缺失字段：拉长比 κ；三角度 δ。kappa、delta：综述名录标Circular Limiter，第二轮原始资料主要给尺寸；未找到明确限制器/等离子体极向圆形原文。</t>
  </si>
  <si>
    <t>缺失字段：拉长比 κ；三角度 δ。kappa、delta：名录Circular Divertor不是标准LCFS平衡参数；原始放电或设备形状组未提取到，不能默认δ0。</t>
  </si>
  <si>
    <t>"Tokamak de Varennes" "elongation"；"Tokamak de Varennes" "circular cross-section"；"TdeV" "kappa" "delta"</t>
  </si>
  <si>
    <t>缺失字段：拉长比 κ；三角度 δ。kappa、delta：IAEA2021原始海报讨论形状/线圈但未给κ/δ数值；D型TF线圈不能用于推断plasma δ。</t>
  </si>
  <si>
    <t>"UANL" tokamak "triangularity"</t>
  </si>
  <si>
    <t>缺失字段：大半径 R；小半径 a；拉长比 κ；三角度 δ；总等离子体电流 Ip。R_m、a_m、kappa、delta、Ip_MA：新增检索大量无关TPM模型；已有原始控制论文确认名称，但未读到五参数数表，不能继承升级版TPM-1U。</t>
  </si>
  <si>
    <t>"TPM-1" tokamak parameters radius</t>
  </si>
  <si>
    <t>缺失字段：拉长比 κ；三角度 δ。kappa、delta：原始2024论文Table I和Table II尺寸组冲突已保留；线圈计算并没有给明确plasma κ/δ。</t>
  </si>
  <si>
    <t>"TPM-1U" "elongation"</t>
  </si>
  <si>
    <t>缺失字段：拉长比 κ；三角度 δ。kappa、delta：葡文表同时列腔体/等离子体半径及Seção circular，形状究竟限定哪一对象未可靠核定；IAEA原始章节给R/limiter radius/Ip但未给标准κ/δ，故不推算。</t>
  </si>
  <si>
    <t>"TBR-1" tokamak "circular"；"TBR-1" "plasma" "seção circular"</t>
  </si>
  <si>
    <t>缺失字段：拉长比 κ；三角度 δ。kappa、delta：Fiesta研究存在bean κ1.432478/δ.547298与D型κ1.287416/δ.427311，但未读到各自R/a/Ip完整输入；这是模拟配置，不能拼到MEDUSA-CR额定组。</t>
  </si>
  <si>
    <t>"MEDUSA" tokamak "elongation" "triangularity"；"MEDUSA" tokamak "1.4" elongation</t>
  </si>
  <si>
    <t>Egyptor tokamak triangularity；IAEA-TECDOC969 Egytor Unitor；Egyptor detailed study2003 CERN</t>
  </si>
  <si>
    <t>原始IAEA1996报告确认由UNITOR迁移，κ1.25来自后来小机表，不能继承德国圆形δ0；δ未找到。</t>
  </si>
  <si>
    <t>Flinders tokamak triangularity；Flinders tokamak cross-section elongation；Gryaznevich2005 Table1</t>
  </si>
  <si>
    <t>小ST与Flinders Rotamak不能混同；所查团队小机综述未给δ数字。</t>
  </si>
  <si>
    <t>本轮补缺与修订 · 保留前后值</t>
  </si>
  <si>
    <t>补缺、新增记录与版本调整分别计数。参考工况改变时整组替换；几何推算有独立说明。</t>
  </si>
  <si>
    <t>上一版值</t>
  </si>
  <si>
    <t>本轮值</t>
  </si>
  <si>
    <t>变更类别</t>
  </si>
  <si>
    <t>本轮字段来源</t>
  </si>
  <si>
    <t>重核／版本调整</t>
  </si>
  <si>
    <t>补缺</t>
  </si>
  <si>
    <t>AS_S03已读取历史汇编将本装置明确归为圆形限制器/偏滤器配置；采用圆形等离子体理想边界：δ=0。是名义几何推算，不是逐炮平衡实测；原始装置论文尚待独立复核。</t>
  </si>
  <si>
    <t>S003 FY-1明确非圆等离子体a=10 cm、b=25 cm；κ=b/a=25/10=2.5，几何换算，非逐炮实测；δ不由非圆推定。</t>
  </si>
  <si>
    <t>AS_S03已读取历史汇编将本装置明确归为圆形限制器/偏滤器配置；采用圆形等离子体理想边界：κ=b/a=1。是名义几何推算，不是逐炮平衡实测；原始装置论文尚待独立复核。</t>
  </si>
  <si>
    <t>S060 原文明示圆形等离子体截面；按理想圆边界delta=0推算，非逐炮平衡实测。</t>
  </si>
  <si>
    <t>S049 slide 7：R=5.4 m，A=3.4；a=R/A=1.5882352941 m，几何换算，非实测。</t>
  </si>
  <si>
    <t>S055 p.1明确circular cross-section tokamak；实验理想圆边界κ1，非逐炮平衡实测。</t>
  </si>
  <si>
    <t>S055 p.1明确circular cross-section tokamak；实验理想圆边界δ0，非逐炮平衡实测。</t>
  </si>
  <si>
    <t>约1</t>
  </si>
  <si>
    <t>S058 原文明示近似圆形等离子体截面；按理想圆边界kappa=约1推算，非逐炮平衡实测。</t>
  </si>
  <si>
    <t>S058 原文明示近似圆形等离子体截面；按理想圆边界delta=约0推算，非逐炮平衡实测。</t>
  </si>
  <si>
    <t>S052 slide 3明确Plasma Cross-section Circular；理想圆边界δ=0，几何推算，非逐炮实测。</t>
  </si>
  <si>
    <t>0.2–0.25</t>
  </si>
  <si>
    <t>S051 §2明确该组为circular Ohmic discharges，理想圆边界κ=b/a=1，非逐炮平衡拟合值。</t>
  </si>
  <si>
    <t>S051 §2明确该组为circular Ohmic discharges，理想圆边界δ=0，非逐炮平衡拟合值。</t>
  </si>
  <si>
    <t>0.1–0.25</t>
  </si>
  <si>
    <t>S001 Table26明确Circular limiter；按理想圆形等离子体边界κ1，非逐炮实测。</t>
  </si>
  <si>
    <t>S001 Table26明确Circular limiter；按理想圆形等离子体边界δ0，非逐炮实测。</t>
  </si>
  <si>
    <t>S048 Table 1明确A=R/a=3.00，R=4.42 m；a=4.42/3=1.4733333333 m，几何换算，非实测；原汇总四舍五入1.47 m。</t>
  </si>
  <si>
    <t>S059 原文明示圆形等离子体截面；按理想圆边界kappa=1推算，非逐炮平衡实测。</t>
  </si>
  <si>
    <t>S059 原文明示圆形等离子体截面；按理想圆边界delta=0推算，非逐炮平衡实测。</t>
  </si>
  <si>
    <t>S237 §2：明确1980年ALVAND-IIC为圆截面配置；采用理想圆形边界，δ=(Rgeo−Rtop)/a=0。名义几何推算，非逐炮平衡实测。</t>
  </si>
  <si>
    <t>S001 p40 §2.22.3/Table28：明确圆形等离子体截面；采用理想圆形边界，κ=b/a=1。名义几何推算，非逐炮平衡实测。</t>
  </si>
  <si>
    <t>S001 p40 §2.22.3/Table28：明确圆形等离子体截面；采用理想圆形边界，δ=(Rgeo−Rtop)/a=0。名义几何推算，非逐炮平衡实测。</t>
  </si>
  <si>
    <t>S001 p42 §2.24.3：明确圆截面托卡马克及极向限制器；采用理想圆形边界，δ=(Rgeo−Rtop)/a=0。名义几何推算，非逐炮平衡实测。</t>
  </si>
  <si>
    <t>S003 历史汇编p9该装置行/截面类型列：历史汇编明示名义圆截面；尚缺同版本原始平衡测量；采用理想圆形边界，δ=(Rgeo−Rtop)/a=0。名义几何推算，非逐炮平衡实测。</t>
  </si>
  <si>
    <t>新增记录</t>
  </si>
  <si>
    <t>S003 历史汇编p3该装置行/截面类型列：历史汇编明示名义圆截面；尚缺同版本原始平衡测量；采用理想圆形边界，κ=b/a=1。名义几何推算，非逐炮平衡实测。</t>
  </si>
  <si>
    <t>S003 历史汇编p3该装置行/截面类型列：历史汇编明示名义圆截面；尚缺同版本原始平衡测量；采用理想圆形边界，δ=(Rgeo−Rtop)/a=0。名义几何推算，非逐炮平衡实测。</t>
  </si>
  <si>
    <t>S234 §2：原文说明近圆平衡，并使用同心圆等离子体模型；采用理想圆形边界，δ=(Rgeo−Rtop)/a=0。名义几何推算，非逐炮平衡实测。</t>
  </si>
  <si>
    <t>S003 历史汇编p8该装置行/截面类型列：历史汇编明示名义圆截面；尚缺同版本原始平衡测量；采用理想圆形边界，κ=b/a=1。名义几何推算，非逐炮平衡实测。</t>
  </si>
  <si>
    <t>S003 历史汇编p8该装置行/截面类型列：历史汇编明示名义圆截面；尚缺同版本原始平衡测量；采用理想圆形边界，δ=(Rgeo−Rtop)/a=0。名义几何推算，非逐炮平衡实测。</t>
  </si>
  <si>
    <t>S235 p1473 §1：原团队将T-11M明确称为圆截面托卡马克；采用理想圆形边界，δ=(Rgeo−Rtop)/a=0。名义几何推算，非逐炮平衡实测。</t>
  </si>
  <si>
    <t>S233 pp39–40 引言：研究团队综述明确将该装置归入圆截面托卡马克；采用理想圆形边界，κ=b/a=1。名义几何推算，非逐炮平衡实测。</t>
  </si>
  <si>
    <t>S233 pp39–40 引言：研究团队综述明确将该装置归入圆截面托卡马克；采用理想圆形边界，δ=(Rgeo−Rtop)/a=0。名义几何推算，非逐炮平衡实测。</t>
  </si>
  <si>
    <t>S238 p1 §0（官方报告检索文本）：明确1975 T-20为名义圆截面设计；采用理想圆形边界，κ=b/a=1。名义几何推算，非逐炮平衡实测。</t>
  </si>
  <si>
    <t>S238 p1 §0（官方报告检索文本）：明确1975 T-20为名义圆截面设计；采用理想圆形边界，δ=(Rgeo−Rtop)/a=0。名义几何推算，非逐炮平衡实测。</t>
  </si>
  <si>
    <t>S003 历史汇编p10该装置行/截面类型列：历史汇编明示名义圆截面；尚缺同版本原始平衡测量；采用理想圆形边界，κ=b/a=1。名义几何推算，非逐炮平衡实测。</t>
  </si>
  <si>
    <t>S003 历史汇编p10该装置行/截面类型列：历史汇编明示名义圆截面；尚缺同版本原始平衡测量；采用理想圆形边界，δ=(Rgeo−Rtop)/a=0。名义几何推算，非逐炮平衡实测。</t>
  </si>
  <si>
    <t>S003 历史汇编p11该装置行/截面类型列：历史汇编明示名义圆截面；尚缺同版本原始平衡测量；采用理想圆形边界，κ=b/a=1。名义几何推算，非逐炮平衡实测。</t>
  </si>
  <si>
    <t>S003 历史汇编p11该装置行/截面类型列：历史汇编明示名义圆截面；尚缺同版本原始平衡测量；采用理想圆形边界，δ=(Rgeo−Rtop)/a=0。名义几何推算，非逐炮平衡实测。</t>
  </si>
  <si>
    <t>S003 p11 TUMAN-2行/截面类型列：历史汇编明确圆形限制器；采用理想圆形边界，κ=b/a=1。名义几何推算，非逐炮平衡实测。</t>
  </si>
  <si>
    <t>S003 p11 TUMAN-2行/截面类型列：历史汇编明确圆形限制器；采用理想圆形边界，δ=(Rgeo−Rtop)/a=0。名义几何推算，非逐炮平衡实测。</t>
  </si>
  <si>
    <t>S060 TUMAN-3M原文pp7–8 §§1–2：明确圆形限制器配置／圆截面等离子体；采用理想圆形边界，κ=b/a=1。名义几何推算，非逐炮平衡实测。</t>
  </si>
  <si>
    <t>S060 TUMAN-3M原文pp7–8 §§1–2：明确圆形限制器配置／圆截面等离子体；采用理想圆形边界，δ=(Rgeo−Rtop)/a=0。名义几何推算，非逐炮平衡实测。</t>
  </si>
  <si>
    <t>S003 p11 TV-1行/截面类型列：历史汇编明确圆形限制器；采用理想圆形边界，κ=b/a=1。名义几何推算，非逐炮平衡实测。</t>
  </si>
  <si>
    <t>S003 p11 TV-1行/截面类型列：历史汇编明确圆形限制器；采用理想圆形边界，δ=(Rgeo−Rtop)/a=0。名义几何推算，非逐炮平衡实测。</t>
  </si>
  <si>
    <t>原文明确CLEO等离子体横截面为圆形；理想名义模型κ=b/a=1，非逐炮平衡测量。</t>
  </si>
  <si>
    <t>原文明确CLEO等离子体横截面为圆形；理想名义模型δ=(Rgeo-Rtop)/a=0，非逐炮平衡测量。</t>
  </si>
  <si>
    <t>历史装置汇编Config.列明确Circular的名义等离子体构型，非从真空室或线圈形状推断；理想名义模型κ=b/a=1，非逐炮平衡测量。</t>
  </si>
  <si>
    <t>历史装置汇编Config.列明确Circular的名义等离子体构型，非从真空室或线圈形状推断；理想名义模型δ=(Rgeo-Rtop)/a=0，非逐炮平衡测量。</t>
  </si>
  <si>
    <t>S093 Table1同一设计点R=4.25m、A=2.15；a=R/A≈1.98m；输入已舍入，换算非实测。</t>
  </si>
  <si>
    <t>S093 Table1同一设计点R=5m、A=2.3；a=R/A≈2.17m；输入已舍入，换算非实测。</t>
  </si>
  <si>
    <t>原文明确椭圆等离子体截面；理想椭圆Rtop=Rgeo，δ=(Rgeo-Rtop)/a=0，非逐炮重建精确δ。</t>
  </si>
  <si>
    <t>原文明确ASDEX等离子体横截面为圆形；理想名义模型κ=b/a=1，非逐炮平衡测量。</t>
  </si>
  <si>
    <t>原文明确ASDEX等离子体横截面为圆形；理想名义模型δ=(Rgeo-Rtop)/a=0，非逐炮平衡测量。</t>
  </si>
  <si>
    <t>原数据提供方依据近圆截面将δ固定为0（com文件）；来源内的模型假设，非本轮独立实测或逐炮反演。</t>
  </si>
  <si>
    <t>原文所列旧机圆截面tokamak工况，理想名义κ=1，非逐炮平衡。</t>
  </si>
  <si>
    <t>原文所列旧机圆截面tokamak工况，理想名义δ=0，非逐炮平衡。</t>
  </si>
  <si>
    <t>官方明确CASTOR为圆形等离子体横截面；理想名义模型κ=b/a=1，非逐炮平衡测量。</t>
  </si>
  <si>
    <t>官方明确CASTOR为圆形等离子体横截面；理想名义模型δ=(Rgeo-Rtop)/a=0，非逐炮平衡测量。</t>
  </si>
  <si>
    <t>原文明确等离子体为圆截面；理想边界模型κ=b/a=1。名义几何推算，非逐炮平衡测量。</t>
  </si>
  <si>
    <t>原文明确等离子体为圆截面；理想圆形边界最高点Rtop=Rgeo，δ=(Rgeo-Rtop)/a=0。非逐炮实测。</t>
  </si>
  <si>
    <t>提供方假设圆形，com文件说明测量在约5%内支持该近似；κ=1为来源模型固定值。</t>
  </si>
  <si>
    <t>提供方圆形边界模型固定δ=0，com文件说明约5%几何近似。</t>
  </si>
  <si>
    <t>同一EU_S39 Table1给R=9.55m、A=3.0；a=R/A≈3.18m。由已舍入设计参数换算，保留3位有效数字，不代表额外测量精度。</t>
  </si>
  <si>
    <t>同一EU_S39 Table1给R=8.6m、A=3.0；a=R/A≈2.87m。由已舍入设计参数换算，保留3位有效数字，不代表额外测量精度。</t>
  </si>
  <si>
    <t>同一EU_S39 Table1给R=7.5m、A=3.0；a=R/A≈2.5m。由已舍入设计参数换算，保留3位有效数字，不代表额外测量精度。</t>
  </si>
  <si>
    <t>同一EU_S39 Table1给R=6.1m、A=3.0；a=R/A≈2.03m。由已舍入设计参数换算，保留3位有效数字，不代表额外测量精度。</t>
  </si>
  <si>
    <t>S198 Chapter 3 p.37 明示圆形等离子体截面；理想模型κ=b/a=1，非逐炮平衡实测。</t>
  </si>
  <si>
    <t>S198 Chapter 3 p.37 明示圆形等离子体截面；理想模型δ=(Rgeo-Rtop)/a=0，非逐炮平衡实测。</t>
  </si>
  <si>
    <t>AM_S75明示limited circular plasma；δ=(Rgeo-Rtop)/a=0，仅名义限制器几何，非逐炮重建。</t>
  </si>
  <si>
    <t>S150 Table1.1 a=b=.26m，κ=b/a=1；名义几何非逐炮重建</t>
  </si>
  <si>
    <t>S150 Table1.1 明示plasma cross section circular，理想δ=0，非逐炮重建</t>
  </si>
  <si>
    <t>S150 Table1.1 明示horizontal semiminor a=.27m、vertical semimajor b=.495m；κ=b/a=1.833333，非逐炮重建</t>
  </si>
  <si>
    <t>S150 Table1.1 明示plasma cross section elliptical；理想椭圆δ=0，非逐炮重建</t>
  </si>
  <si>
    <t>S207 明示initial PDX circular plasma；理想κ=b/a=1，非逐炮实测</t>
  </si>
  <si>
    <t>S207 明示initial PDX circular plasma；理想δ=0，非逐炮实测</t>
  </si>
  <si>
    <t>S171 PDFp63 annular limiter radius15cm；理想圆形限制器κ=b/a=1，非逐炮重建</t>
  </si>
  <si>
    <t>S171 PDFp63 annular limiter radius15cm；理想圆形限制器δ=0，非逐炮重建</t>
  </si>
  <si>
    <t>S208 TableII.C-IA R=7m、A=3.6；a=R/A=1.944444m，换算非实测；表中2.38m为average minor radius不同定义</t>
  </si>
  <si>
    <t>AM_S74明确TFTR等离子体截面为圆形；理想模型δ=(Rgeo-Rtop)/a=0，非磁平衡实测。</t>
  </si>
  <si>
    <t>S195 Introduction 明示圆形等离子体截面；理想模型δ=(Rgeo-Rtop)/a=0，非逐炮平衡实测。</t>
  </si>
  <si>
    <t>S197 Results 明示圆形等离子体截面；理想模型δ=(Rgeo-Rtop)/a=0，非逐炮平衡实测。</t>
  </si>
  <si>
    <t>S001 Table7 明示 magnetic field configuration=circular limiter；理想限制器边界δ=0，非逐炮重建</t>
  </si>
  <si>
    <t>S196 Section II 明示圆形等离子体截面；理想模型δ=(Rgeo-Rtop)/a=0，非逐炮平衡实测。</t>
  </si>
  <si>
    <t>S003 历史汇编p6该装置行/截面类型列：历史汇编明示名义圆截面；尚缺同版本原始平衡测量；采用理想圆形边界，δ=(Rgeo−Rtop)/a=0。名义几何推算，非逐炮平衡实测。</t>
  </si>
  <si>
    <t>S224 p21 §3.1：实际限制器由两个180°半环构成完整极向圆孔，限定名义等离子体截面；采用理想圆形边界，κ=b/a=1。名义几何推算，非逐炮平衡实测。</t>
  </si>
  <si>
    <t>S224 p21 §3.1：实际限制器由两个180°半环构成完整极向圆孔，限定名义等离子体截面；采用理想圆形边界，δ=(Rgeo−Rtop)/a=0。名义几何推算，非逐炮平衡实测。</t>
  </si>
  <si>
    <t>S003 历史汇编p6该装置行/截面类型列：历史汇编明示名义圆截面；尚缺同版本原始平衡测量；采用理想圆形边界，κ=b/a=1。名义几何推算，非逐炮平衡实测。</t>
  </si>
  <si>
    <t>调研说明 · 范围、统计与使用口径</t>
  </si>
  <si>
    <t>公开资料普查 · 检索截止 2026年9月9日 · 设计值与实验值分列保留</t>
  </si>
  <si>
    <t>统计口径</t>
  </si>
  <si>
    <t>记录数包含设计修订、升级阶段和实验工况；不能直接当作独立物理装置数量。</t>
  </si>
  <si>
    <t>参数单位</t>
  </si>
  <si>
    <t>R、a采用m；κ和δ无量纲；Ip采用MA，为总环向等离子体电流。</t>
  </si>
  <si>
    <t>缺失与推算</t>
  </si>
  <si>
    <t>空白表示未报告或冲突未解决。橙底及†标几何推算：同版a=R/A，明示圆形等离子体κ=1、δ=0；逐字段保留依据。</t>
  </si>
  <si>
    <t>几何定义</t>
  </si>
  <si>
    <t>95%磁面、分离面、限制器与真空室尺寸分别说明；比较前查看逐字段注释。</t>
  </si>
  <si>
    <t>数据性质</t>
  </si>
  <si>
    <t>文献直接报告含设计、额定能力、参考放电和历史汇编数字；推算非实测，五项有值不等于同时达到。</t>
  </si>
  <si>
    <t>优先原始论文和官方资料；历史汇编、摘要与仅检索摘要均显式标记，不能等同全文核验。</t>
  </si>
  <si>
    <t>地区与状态</t>
  </si>
  <si>
    <t>按所在地／研发国家归组；拟建地未明则标注。旧文献“运行”状态仅截至其证据年份。</t>
  </si>
  <si>
    <t>覆盖边界</t>
  </si>
  <si>
    <t>纳入常规、球形及明确托卡马克模式；排除只有简单磁化环证据的TORIX。候选在缺失表保留。</t>
  </si>
  <si>
    <t>完整性限制</t>
  </si>
  <si>
    <t>公开资料尚不能证明已穷尽所有装置和设计。早期形状参数、未公开方案和部分历史概念仍有缺口。</t>
  </si>
  <si>
    <t>指标</t>
  </si>
  <si>
    <t>条数</t>
  </si>
  <si>
    <t>记录数</t>
  </si>
  <si>
    <t>五项有值</t>
  </si>
  <si>
    <t>全部参数记录</t>
  </si>
  <si>
    <t>至少一项有值</t>
  </si>
  <si>
    <t>五项均有值</t>
  </si>
  <si>
    <t>大半径缺失</t>
  </si>
  <si>
    <t>小半径缺失</t>
  </si>
  <si>
    <t>拉长比缺失</t>
  </si>
  <si>
    <t>三角度缺失</t>
  </si>
  <si>
    <t>电流缺失</t>
  </si>
  <si>
    <t>本轮补缺统计</t>
  </si>
  <si>
    <t>原有空格补入</t>
  </si>
  <si>
    <t>其中直接报告</t>
  </si>
  <si>
    <t>其中几何推算</t>
  </si>
  <si>
    <t>全部直接齐全</t>
  </si>
  <si>
    <t>含推算的齐全</t>
  </si>
  <si>
    <t>上一版五项齐全</t>
  </si>
  <si>
    <t>新增设计版本</t>
  </si>
  <si>
    <t>第二轮新增字段（2026-09-14）</t>
  </si>
  <si>
    <t>环向场 B_t：单位 T；指等离子体中心（R0 处）真空环向场；口径随记录（设计／额定／实验）标注。</t>
  </si>
  <si>
    <t>强场装置注意区分轴场、等离子体边界真空场与线圈最大场，逐字段在证据明细标注口径。</t>
  </si>
  <si>
    <t>B_t 证据行值来源性质含「待第二轮补采」者表示本轮尚未检索到可靠同口径数值，不能当作缺参。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</si>
</sst>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"/>
    <numFmt numFmtId="177" formatCode="0.000"/>
    <numFmt numFmtId="178" formatCode="0.000000000000"/>
    <numFmt numFmtId="179" formatCode="0.0000"/>
    <numFmt numFmtId="180" formatCode="0.00000"/>
    <numFmt numFmtId="181" formatCode="0&quot; †&quot;"/>
    <numFmt numFmtId="182" formatCode="0.0&quot; †&quot;"/>
    <numFmt numFmtId="183" formatCode="0.000000000000&quot; †&quot;"/>
    <numFmt numFmtId="184" formatCode="0.00&quot; †&quot;"/>
    <numFmt numFmtId="185" formatCode="0&quot; / 5&quot;"/>
  </numFmts>
  <fonts count="12">
    <font>
      <sz val="11"/>
      <name val="Carlito"/>
    </font>
    <font>
      <sz val="11"/>
      <color rgb="FF153549"/>
      <name val="Microsoft YaHei"/>
      <family val="2"/>
      <charset val="134"/>
    </font>
    <font>
      <b/>
      <sz val="20"/>
      <color rgb="FFFFFFFF"/>
      <name val="Microsoft YaHei"/>
      <family val="2"/>
      <charset val="134"/>
    </font>
    <font>
      <sz val="10"/>
      <color rgb="FF5B7080"/>
      <name val="Microsoft YaHei"/>
      <family val="2"/>
      <charset val="134"/>
    </font>
    <font>
      <sz val="10"/>
      <color rgb="FF153549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965400"/>
      <name val="Microsoft YaHei"/>
      <family val="2"/>
      <charset val="134"/>
    </font>
    <font>
      <sz val="11"/>
      <name val="Microsoft YaHei"/>
      <family val="2"/>
      <charset val="134"/>
    </font>
    <font>
      <b/>
      <sz val="10"/>
      <color rgb="FF153549"/>
      <name val="Microsoft YaHei"/>
      <family val="2"/>
      <charset val="134"/>
    </font>
    <font>
      <sz val="1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53549"/>
      </patternFill>
    </fill>
    <fill>
      <patternFill patternType="solid">
        <fgColor rgb="FFEDF5F7"/>
      </patternFill>
    </fill>
    <fill>
      <patternFill patternType="solid">
        <fgColor rgb="FFFFF0C2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39">
    <xf numFmtId="0" fontId="0" fillId="0" borderId="0" xfId="0"/>
    <xf numFmtId="0" fontId="1" fillId="0" borderId="0" xfId="1" applyFont="1"/>
    <xf numFmtId="0" fontId="4" fillId="0" borderId="0" xfId="1" applyFont="1" applyAlignment="1">
      <alignment vertical="center" wrapText="1"/>
    </xf>
    <xf numFmtId="0" fontId="5" fillId="2" borderId="0" xfId="1" applyFont="1" applyFill="1" applyAlignment="1">
      <alignment vertical="center" wrapText="1"/>
    </xf>
    <xf numFmtId="176" fontId="4" fillId="0" borderId="0" xfId="1" applyNumberFormat="1" applyFont="1" applyAlignment="1">
      <alignment horizontal="center" vertical="center" wrapText="1"/>
    </xf>
    <xf numFmtId="2" fontId="4" fillId="0" borderId="0" xfId="1" applyNumberFormat="1" applyFont="1" applyAlignment="1">
      <alignment horizontal="center" vertical="center" wrapText="1"/>
    </xf>
    <xf numFmtId="1" fontId="4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177" fontId="4" fillId="0" borderId="0" xfId="1" applyNumberFormat="1" applyFont="1" applyAlignment="1">
      <alignment horizontal="center" vertical="center" wrapText="1"/>
    </xf>
    <xf numFmtId="179" fontId="4" fillId="0" borderId="0" xfId="1" applyNumberFormat="1" applyFont="1" applyAlignment="1">
      <alignment horizontal="center" vertical="center" wrapText="1"/>
    </xf>
    <xf numFmtId="180" fontId="4" fillId="0" borderId="0" xfId="1" applyNumberFormat="1" applyFont="1" applyAlignment="1">
      <alignment horizontal="center" vertical="center" wrapText="1"/>
    </xf>
    <xf numFmtId="1" fontId="4" fillId="4" borderId="0" xfId="1" applyNumberFormat="1" applyFont="1" applyFill="1" applyAlignment="1">
      <alignment horizontal="center" vertical="center" wrapText="1"/>
    </xf>
    <xf numFmtId="181" fontId="6" fillId="4" borderId="0" xfId="1" applyNumberFormat="1" applyFont="1" applyFill="1" applyAlignment="1">
      <alignment horizontal="center" vertical="center" wrapText="1"/>
    </xf>
    <xf numFmtId="176" fontId="4" fillId="4" borderId="0" xfId="1" applyNumberFormat="1" applyFont="1" applyFill="1" applyAlignment="1">
      <alignment horizontal="center" vertical="center" wrapText="1"/>
    </xf>
    <xf numFmtId="182" fontId="6" fillId="4" borderId="0" xfId="1" applyNumberFormat="1" applyFont="1" applyFill="1" applyAlignment="1">
      <alignment horizontal="center" vertical="center" wrapText="1"/>
    </xf>
    <xf numFmtId="178" fontId="4" fillId="4" borderId="0" xfId="1" applyNumberFormat="1" applyFont="1" applyFill="1" applyAlignment="1">
      <alignment horizontal="center" vertical="center" wrapText="1"/>
    </xf>
    <xf numFmtId="183" fontId="6" fillId="4" borderId="0" xfId="1" applyNumberFormat="1" applyFont="1" applyFill="1" applyAlignment="1">
      <alignment horizontal="center" vertical="center" wrapText="1"/>
    </xf>
    <xf numFmtId="2" fontId="4" fillId="4" borderId="0" xfId="1" applyNumberFormat="1" applyFont="1" applyFill="1" applyAlignment="1">
      <alignment horizontal="center" vertical="center" wrapText="1"/>
    </xf>
    <xf numFmtId="184" fontId="6" fillId="4" borderId="0" xfId="1" applyNumberFormat="1" applyFont="1" applyFill="1" applyAlignment="1">
      <alignment horizontal="center" vertical="center" wrapText="1"/>
    </xf>
    <xf numFmtId="185" fontId="4" fillId="0" borderId="0" xfId="1" applyNumberFormat="1" applyFont="1" applyAlignment="1">
      <alignment vertical="center" wrapText="1"/>
    </xf>
    <xf numFmtId="0" fontId="4" fillId="4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vertical="center" wrapText="1"/>
    </xf>
    <xf numFmtId="0" fontId="7" fillId="0" borderId="0" xfId="1" applyFont="1"/>
    <xf numFmtId="0" fontId="5" fillId="2" borderId="0" xfId="1" applyFont="1" applyFill="1"/>
    <xf numFmtId="0" fontId="9" fillId="0" borderId="0" xfId="1" applyFont="1"/>
    <xf numFmtId="0" fontId="9" fillId="0" borderId="0" xfId="1" applyFont="1" applyAlignment="1">
      <alignment wrapText="1"/>
    </xf>
    <xf numFmtId="0" fontId="7" fillId="0" borderId="0" xfId="1" applyFont="1" applyAlignment="1">
      <alignment vertical="center"/>
    </xf>
    <xf numFmtId="0" fontId="5" fillId="2" borderId="0" xfId="1" applyFont="1" applyFill="1" applyAlignment="1">
      <alignment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vertical="center" wrapText="1"/>
    </xf>
    <xf numFmtId="0" fontId="2" fillId="0" borderId="0" xfId="1" applyFont="1"/>
    <xf numFmtId="0" fontId="3" fillId="0" borderId="0" xfId="1" applyFont="1"/>
    <xf numFmtId="0" fontId="0" fillId="0" borderId="0" xfId="0"/>
    <xf numFmtId="0" fontId="3" fillId="3" borderId="0" xfId="1" applyFont="1" applyFill="1" applyAlignment="1">
      <alignment wrapText="1"/>
    </xf>
    <xf numFmtId="0" fontId="2" fillId="2" borderId="0" xfId="1" applyFont="1" applyFill="1"/>
    <xf numFmtId="0" fontId="4" fillId="3" borderId="0" xfId="1" applyFont="1" applyFill="1" applyAlignment="1">
      <alignment vertical="center" wrapText="1"/>
    </xf>
    <xf numFmtId="0" fontId="8" fillId="5" borderId="0" xfId="1" applyFont="1" applyFill="1" applyAlignment="1">
      <alignment vertical="center" wrapText="1"/>
    </xf>
    <xf numFmtId="0" fontId="4" fillId="5" borderId="0" xfId="1" applyFont="1" applyFill="1" applyAlignment="1">
      <alignment vertical="center" wrapText="1"/>
    </xf>
    <xf numFmtId="0" fontId="8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08704A"/>
      </font>
      <fill>
        <patternFill patternType="solid">
          <bgColor rgb="FFDDF2E9"/>
        </patternFill>
      </fill>
    </dxf>
    <dxf>
      <fill>
        <patternFill patternType="solid">
          <bgColor rgb="FFF0F1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kamakOverview" displayName="TokamakOverview" ref="A5:V315" totalsRowShown="0">
  <autoFilter ref="A5:V315" xr:uid="{00000000-0009-0000-0100-000001000000}"/>
  <tableColumns count="22">
    <tableColumn id="1" xr3:uid="{00000000-0010-0000-0000-000001000000}" name="国家／地区"/>
    <tableColumn id="2" xr3:uid="{00000000-0010-0000-0000-000002000000}" name="装置／版本"/>
    <tableColumn id="3" xr3:uid="{00000000-0010-0000-0000-000003000000}" name="R (m)"/>
    <tableColumn id="4" xr3:uid="{00000000-0010-0000-0000-000004000000}" name="a (m)"/>
    <tableColumn id="5" xr3:uid="{00000000-0010-0000-0000-000005000000}" name="κ"/>
    <tableColumn id="6" xr3:uid="{00000000-0010-0000-0000-000006000000}" name="δ"/>
    <tableColumn id="7" xr3:uid="{00000000-0010-0000-0000-000007000000}" name="Ip (MA)"/>
    <tableColumn id="8" xr3:uid="{00000000-0010-0000-0000-000008000000}" name="参数口径"/>
    <tableColumn id="9" xr3:uid="{00000000-0010-0000-0000-000009000000}" name="状态"/>
    <tableColumn id="10" xr3:uid="{00000000-0010-0000-0000-00000A000000}" name="状态证据年"/>
    <tableColumn id="11" xr3:uid="{00000000-0010-0000-0000-00000B000000}" name="类别"/>
    <tableColumn id="12" xr3:uid="{00000000-0010-0000-0000-00000C000000}" name="已填项数"/>
    <tableColumn id="13" xr3:uid="{00000000-0010-0000-0000-00000D000000}" name="来源编号"/>
    <tableColumn id="14" xr3:uid="{00000000-0010-0000-0000-00000E000000}" name="记录ID"/>
    <tableColumn id="15" xr3:uid="{00000000-0010-0000-0000-00000F000000}" name="证据层级"/>
    <tableColumn id="16" xr3:uid="{00000000-0010-0000-0000-000010000000}" name="缺失字段"/>
    <tableColumn id="17" xr3:uid="{00000000-0010-0000-0000-000011000000}" name="机构"/>
    <tableColumn id="18" xr3:uid="{00000000-0010-0000-0000-000012000000}" name="版本／迁移关系"/>
    <tableColumn id="19" xr3:uid="{00000000-0010-0000-0000-000013000000}" name="范围分类"/>
    <tableColumn id="20" xr3:uid="{00000000-0010-0000-0000-000014000000}" name="几何推算字段"/>
    <tableColumn id="21" xr3:uid="{00000000-0010-0000-0000-000015000000}" name="文献直接报告项数"/>
    <tableColumn id="22" xr3:uid="{00000000-0010-0000-0000-000016000000}" name="几何推算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ameterEvidence" displayName="ParameterEvidence" ref="A5:L1555" totalsRowShown="0">
  <autoFilter ref="A5:L1555" xr:uid="{00000000-0009-0000-0100-000002000000}"/>
  <tableColumns count="12">
    <tableColumn id="1" xr3:uid="{00000000-0010-0000-0100-000001000000}" name="记录ID"/>
    <tableColumn id="2" xr3:uid="{00000000-0010-0000-0100-000002000000}" name="国家／地区"/>
    <tableColumn id="3" xr3:uid="{00000000-0010-0000-0100-000003000000}" name="装置／版本"/>
    <tableColumn id="4" xr3:uid="{00000000-0010-0000-0100-000004000000}" name="参数"/>
    <tableColumn id="5" xr3:uid="{00000000-0010-0000-0100-000005000000}" name="采用值（含推算）"/>
    <tableColumn id="6" xr3:uid="{00000000-0010-0000-0100-000006000000}" name="单位"/>
    <tableColumn id="7" xr3:uid="{00000000-0010-0000-0100-000007000000}" name="参数口径"/>
    <tableColumn id="8" xr3:uid="{00000000-0010-0000-0100-000008000000}" name="值的来源性质"/>
    <tableColumn id="9" xr3:uid="{00000000-0010-0000-0100-000009000000}" name="字段来源／位置"/>
    <tableColumn id="10" xr3:uid="{00000000-0010-0000-0100-00000A000000}" name="来源URL"/>
    <tableColumn id="11" xr3:uid="{00000000-0010-0000-0100-00000B000000}" name="参数注释"/>
    <tableColumn id="12" xr3:uid="{00000000-0010-0000-0100-00000C000000}" name="证据层级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ibliography" displayName="Bibliography" ref="A5:J246" totalsRowShown="0">
  <autoFilter ref="A5:J246" xr:uid="{00000000-0009-0000-0100-000003000000}"/>
  <tableColumns count="10">
    <tableColumn id="1" xr3:uid="{00000000-0010-0000-0200-000001000000}" name="来源编号"/>
    <tableColumn id="2" xr3:uid="{00000000-0010-0000-0200-000002000000}" name="文献／资料标题"/>
    <tableColumn id="3" xr3:uid="{00000000-0010-0000-0200-000003000000}" name="作者／机构"/>
    <tableColumn id="4" xr3:uid="{00000000-0010-0000-0200-000004000000}" name="年份"/>
    <tableColumn id="5" xr3:uid="{00000000-0010-0000-0200-000005000000}" name="类型"/>
    <tableColumn id="6" xr3:uid="{00000000-0010-0000-0200-000006000000}" name="访问证据"/>
    <tableColumn id="7" xr3:uid="{00000000-0010-0000-0200-000007000000}" name="来源URL"/>
    <tableColumn id="8" xr3:uid="{00000000-0010-0000-0200-000008000000}" name="DOI"/>
    <tableColumn id="9" xr3:uid="{00000000-0010-0000-0200-000009000000}" name="页码／表号／章节"/>
    <tableColumn id="10" xr3:uid="{00000000-0010-0000-0200-00000A000000}" name="原始索引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earchGaps" displayName="ResearchGaps" ref="A5:H159" totalsRowShown="0">
  <autoFilter ref="A5:H159" xr:uid="{00000000-0009-0000-0100-000004000000}"/>
  <tableColumns count="8">
    <tableColumn id="1" xr3:uid="{00000000-0010-0000-0300-000001000000}" name="国家／地区"/>
    <tableColumn id="2" xr3:uid="{00000000-0010-0000-0300-000002000000}" name="装置／候选"/>
    <tableColumn id="3" xr3:uid="{00000000-0010-0000-0300-000003000000}" name="问题类型"/>
    <tableColumn id="4" xr3:uid="{00000000-0010-0000-0300-000004000000}" name="缺失／冲突说明"/>
    <tableColumn id="5" xr3:uid="{00000000-0010-0000-0300-000005000000}" name="下一步来源／已用来源"/>
    <tableColumn id="6" xr3:uid="{00000000-0010-0000-0300-000006000000}" name="关联记录ID"/>
    <tableColumn id="7" xr3:uid="{00000000-0010-0000-0300-000007000000}" name="本轮已查词组／文献"/>
    <tableColumn id="8" xr3:uid="{00000000-0010-0000-0300-000008000000}" name="本轮未补原因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undTwoChanges" displayName="RoundTwoChanges" ref="A5:I390" totalsRowShown="0">
  <autoFilter ref="A5:I390" xr:uid="{00000000-0009-0000-0100-000005000000}"/>
  <tableColumns count="9">
    <tableColumn id="1" xr3:uid="{00000000-0010-0000-0400-000001000000}" name="国家／地区"/>
    <tableColumn id="2" xr3:uid="{00000000-0010-0000-0400-000002000000}" name="装置／版本"/>
    <tableColumn id="3" xr3:uid="{00000000-0010-0000-0400-000003000000}" name="参数"/>
    <tableColumn id="4" xr3:uid="{00000000-0010-0000-0400-000004000000}" name="上一版值"/>
    <tableColumn id="5" xr3:uid="{00000000-0010-0000-0400-000005000000}" name="本轮值"/>
    <tableColumn id="6" xr3:uid="{00000000-0010-0000-0400-000006000000}" name="变更类别"/>
    <tableColumn id="7" xr3:uid="{00000000-0010-0000-0400-000007000000}" name="几何推算说明"/>
    <tableColumn id="8" xr3:uid="{00000000-0010-0000-0400-000008000000}" name="本轮字段来源"/>
    <tableColumn id="9" xr3:uid="{00000000-0010-0000-0400-000009000000}" name="记录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87F8C"/>
  </sheetPr>
  <dimension ref="A1:W315"/>
  <sheetViews>
    <sheetView showGridLines="0" tabSelected="1" workbookViewId="0">
      <pane xSplit="2" ySplit="5" topLeftCell="C12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21.9140625" customWidth="1"/>
    <col min="2" max="2" width="36.5" customWidth="1"/>
    <col min="3" max="4" width="12.25" customWidth="1"/>
    <col min="5" max="5" width="13.1640625" customWidth="1"/>
    <col min="6" max="6" width="15.25" customWidth="1"/>
    <col min="7" max="7" width="13.75" customWidth="1"/>
    <col min="8" max="8" width="10" customWidth="1"/>
    <col min="9" max="9" width="34.4140625" customWidth="1"/>
    <col min="10" max="10" width="25" customWidth="1"/>
    <col min="11" max="11" width="18.1640625" customWidth="1"/>
    <col min="12" max="12" width="22.5" customWidth="1"/>
    <col min="13" max="13" width="12.5" customWidth="1"/>
    <col min="14" max="14" width="15.6640625" customWidth="1"/>
    <col min="15" max="15" width="21.9140625" customWidth="1"/>
    <col min="16" max="16" width="25" customWidth="1"/>
    <col min="17" max="17" width="33.1640625" customWidth="1"/>
    <col min="18" max="18" width="38.75" customWidth="1"/>
    <col min="19" max="19" width="48.75" customWidth="1"/>
    <col min="20" max="20" width="27.5" customWidth="1"/>
    <col min="21" max="21" width="29.4140625" customWidth="1"/>
    <col min="22" max="22" width="15.6640625" customWidth="1"/>
    <col min="23" max="23" width="85" customWidth="1"/>
  </cols>
  <sheetData>
    <row r="1" spans="1:23" ht="38" customHeight="1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23" ht="34" customHeight="1">
      <c r="A2" s="33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23" ht="28" customHeight="1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5" spans="1:23" ht="32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</row>
    <row r="6" spans="1:23" ht="34" customHeight="1">
      <c r="A6" s="2" t="s">
        <v>26</v>
      </c>
      <c r="B6" s="2" t="s">
        <v>27</v>
      </c>
      <c r="C6" s="4">
        <v>3.6</v>
      </c>
      <c r="D6" s="4">
        <v>1.1000000000000001</v>
      </c>
      <c r="E6" s="5">
        <v>1.87</v>
      </c>
      <c r="F6" s="5">
        <v>0.51</v>
      </c>
      <c r="G6" s="6">
        <v>7</v>
      </c>
      <c r="H6" s="6" t="s">
        <v>28</v>
      </c>
      <c r="I6" s="2" t="s">
        <v>29</v>
      </c>
      <c r="J6" s="2" t="s">
        <v>30</v>
      </c>
      <c r="K6" s="2" t="s">
        <v>31</v>
      </c>
      <c r="L6" s="2" t="s">
        <v>32</v>
      </c>
      <c r="M6" s="19">
        <f t="shared" ref="M6:M69" si="0">6-COUNTBLANK(C6:H6)</f>
        <v>6</v>
      </c>
      <c r="N6" s="2" t="s">
        <v>33</v>
      </c>
      <c r="O6" s="2" t="s">
        <v>34</v>
      </c>
      <c r="P6" s="2" t="s">
        <v>35</v>
      </c>
      <c r="Q6" s="2"/>
      <c r="R6" s="2" t="s">
        <v>36</v>
      </c>
      <c r="S6" s="2"/>
      <c r="T6" s="2" t="s">
        <v>37</v>
      </c>
      <c r="U6" s="2"/>
      <c r="V6" s="2">
        <v>5</v>
      </c>
      <c r="W6" s="2"/>
    </row>
    <row r="7" spans="1:23" ht="34" customHeight="1">
      <c r="A7" s="2" t="s">
        <v>26</v>
      </c>
      <c r="B7" s="2" t="s">
        <v>38</v>
      </c>
      <c r="C7" s="4">
        <v>7.2</v>
      </c>
      <c r="D7" s="6">
        <v>2</v>
      </c>
      <c r="E7" s="6">
        <v>2</v>
      </c>
      <c r="F7" s="5">
        <v>0.52</v>
      </c>
      <c r="G7" s="4">
        <v>13.7</v>
      </c>
      <c r="H7" s="4" t="s">
        <v>39</v>
      </c>
      <c r="I7" s="2" t="s">
        <v>40</v>
      </c>
      <c r="J7" s="2" t="s">
        <v>41</v>
      </c>
      <c r="K7" s="2" t="s">
        <v>42</v>
      </c>
      <c r="L7" s="2" t="s">
        <v>32</v>
      </c>
      <c r="M7" s="19">
        <f t="shared" si="0"/>
        <v>6</v>
      </c>
      <c r="N7" s="2" t="s">
        <v>43</v>
      </c>
      <c r="O7" s="2" t="s">
        <v>44</v>
      </c>
      <c r="P7" s="2" t="s">
        <v>45</v>
      </c>
      <c r="Q7" s="2"/>
      <c r="R7" s="2" t="s">
        <v>46</v>
      </c>
      <c r="S7" s="2"/>
      <c r="T7" s="2" t="s">
        <v>37</v>
      </c>
      <c r="U7" s="2"/>
      <c r="V7" s="2">
        <v>5</v>
      </c>
      <c r="W7" s="2"/>
    </row>
    <row r="8" spans="1:23" ht="37" customHeight="1">
      <c r="A8" s="2" t="s">
        <v>26</v>
      </c>
      <c r="B8" s="2" t="s">
        <v>47</v>
      </c>
      <c r="C8" s="7"/>
      <c r="D8" s="7"/>
      <c r="E8" s="7"/>
      <c r="F8" s="7"/>
      <c r="G8" s="7"/>
      <c r="H8" s="7" t="s">
        <v>48</v>
      </c>
      <c r="I8" s="2" t="s">
        <v>49</v>
      </c>
      <c r="J8" s="2" t="s">
        <v>50</v>
      </c>
      <c r="K8" s="2" t="s">
        <v>51</v>
      </c>
      <c r="L8" s="2" t="s">
        <v>32</v>
      </c>
      <c r="M8" s="19">
        <f t="shared" si="0"/>
        <v>1</v>
      </c>
      <c r="N8" s="2" t="s">
        <v>52</v>
      </c>
      <c r="O8" s="2" t="s">
        <v>53</v>
      </c>
      <c r="P8" s="2" t="s">
        <v>54</v>
      </c>
      <c r="Q8" s="2" t="s">
        <v>55</v>
      </c>
      <c r="R8" s="2" t="s">
        <v>56</v>
      </c>
      <c r="S8" s="2" t="s">
        <v>57</v>
      </c>
      <c r="T8" s="2" t="s">
        <v>37</v>
      </c>
      <c r="U8" s="2"/>
      <c r="V8" s="2">
        <v>0</v>
      </c>
      <c r="W8" s="2"/>
    </row>
    <row r="9" spans="1:23" ht="37" customHeight="1">
      <c r="A9" s="2" t="s">
        <v>26</v>
      </c>
      <c r="B9" s="2" t="s">
        <v>58</v>
      </c>
      <c r="C9" s="5">
        <v>0.45</v>
      </c>
      <c r="D9" s="8">
        <v>0.125</v>
      </c>
      <c r="E9" s="6">
        <v>1</v>
      </c>
      <c r="F9" s="12">
        <v>0</v>
      </c>
      <c r="G9" s="5">
        <v>0.03</v>
      </c>
      <c r="H9" s="5" t="s">
        <v>59</v>
      </c>
      <c r="I9" s="2" t="s">
        <v>60</v>
      </c>
      <c r="J9" s="2" t="s">
        <v>61</v>
      </c>
      <c r="K9" s="2" t="s">
        <v>62</v>
      </c>
      <c r="L9" s="2" t="s">
        <v>32</v>
      </c>
      <c r="M9" s="19">
        <f t="shared" si="0"/>
        <v>6</v>
      </c>
      <c r="N9" s="2" t="s">
        <v>63</v>
      </c>
      <c r="O9" s="2" t="s">
        <v>64</v>
      </c>
      <c r="P9" s="2" t="s">
        <v>45</v>
      </c>
      <c r="Q9" s="2"/>
      <c r="R9" s="2" t="s">
        <v>56</v>
      </c>
      <c r="S9" s="2"/>
      <c r="T9" s="2" t="s">
        <v>37</v>
      </c>
      <c r="U9" s="2" t="s">
        <v>65</v>
      </c>
      <c r="V9" s="2">
        <v>4</v>
      </c>
      <c r="W9" s="2" t="s">
        <v>66</v>
      </c>
    </row>
    <row r="10" spans="1:23" ht="34" customHeight="1">
      <c r="A10" s="2" t="s">
        <v>26</v>
      </c>
      <c r="B10" s="2" t="s">
        <v>67</v>
      </c>
      <c r="C10" s="4">
        <v>1.8</v>
      </c>
      <c r="D10" s="5">
        <v>0.45</v>
      </c>
      <c r="E10" s="7" t="s">
        <v>68</v>
      </c>
      <c r="F10" s="7" t="s">
        <v>69</v>
      </c>
      <c r="G10" s="6">
        <v>1</v>
      </c>
      <c r="H10" s="6" t="s">
        <v>70</v>
      </c>
      <c r="I10" s="2" t="s">
        <v>71</v>
      </c>
      <c r="J10" s="2" t="s">
        <v>72</v>
      </c>
      <c r="K10" s="2" t="s">
        <v>42</v>
      </c>
      <c r="L10" s="2" t="s">
        <v>32</v>
      </c>
      <c r="M10" s="19">
        <f t="shared" si="0"/>
        <v>6</v>
      </c>
      <c r="N10" s="2" t="s">
        <v>73</v>
      </c>
      <c r="O10" s="2" t="s">
        <v>74</v>
      </c>
      <c r="P10" s="2" t="s">
        <v>35</v>
      </c>
      <c r="Q10" s="2"/>
      <c r="R10" s="2" t="s">
        <v>36</v>
      </c>
      <c r="S10" s="2"/>
      <c r="T10" s="2" t="s">
        <v>37</v>
      </c>
      <c r="U10" s="2"/>
      <c r="V10" s="2">
        <v>5</v>
      </c>
      <c r="W10" s="2"/>
    </row>
    <row r="11" spans="1:23" ht="34" customHeight="1">
      <c r="A11" s="2" t="s">
        <v>26</v>
      </c>
      <c r="B11" s="2" t="s">
        <v>75</v>
      </c>
      <c r="C11" s="5">
        <v>1.0900000000000001</v>
      </c>
      <c r="D11" s="4">
        <v>0.6</v>
      </c>
      <c r="E11" s="5">
        <v>2.2599999999999998</v>
      </c>
      <c r="F11" s="4">
        <v>0.4</v>
      </c>
      <c r="G11" s="6">
        <v>3</v>
      </c>
      <c r="H11" s="6" t="s">
        <v>76</v>
      </c>
      <c r="I11" s="2" t="s">
        <v>77</v>
      </c>
      <c r="J11" s="2" t="s">
        <v>41</v>
      </c>
      <c r="K11" s="2" t="s">
        <v>78</v>
      </c>
      <c r="L11" s="2" t="s">
        <v>79</v>
      </c>
      <c r="M11" s="19">
        <f t="shared" si="0"/>
        <v>6</v>
      </c>
      <c r="N11" s="2" t="s">
        <v>80</v>
      </c>
      <c r="O11" s="2" t="s">
        <v>81</v>
      </c>
      <c r="P11" s="2" t="s">
        <v>45</v>
      </c>
      <c r="Q11" s="2"/>
      <c r="R11" s="2" t="s">
        <v>82</v>
      </c>
      <c r="S11" s="2"/>
      <c r="T11" s="2" t="s">
        <v>37</v>
      </c>
      <c r="U11" s="2"/>
      <c r="V11" s="2">
        <v>5</v>
      </c>
      <c r="W11" s="2"/>
    </row>
    <row r="12" spans="1:23" ht="34" customHeight="1">
      <c r="A12" s="2" t="s">
        <v>26</v>
      </c>
      <c r="B12" s="2" t="s">
        <v>83</v>
      </c>
      <c r="C12" s="4">
        <v>0.6</v>
      </c>
      <c r="D12" s="4">
        <v>0.4</v>
      </c>
      <c r="E12" s="7" t="s">
        <v>84</v>
      </c>
      <c r="F12" s="7" t="s">
        <v>85</v>
      </c>
      <c r="G12" s="4">
        <v>0.5</v>
      </c>
      <c r="H12" s="4" t="s">
        <v>86</v>
      </c>
      <c r="I12" s="2" t="s">
        <v>29</v>
      </c>
      <c r="J12" s="2" t="s">
        <v>72</v>
      </c>
      <c r="K12" s="2" t="s">
        <v>42</v>
      </c>
      <c r="L12" s="2" t="s">
        <v>79</v>
      </c>
      <c r="M12" s="19">
        <f t="shared" si="0"/>
        <v>6</v>
      </c>
      <c r="N12" s="2" t="s">
        <v>87</v>
      </c>
      <c r="O12" s="2" t="s">
        <v>88</v>
      </c>
      <c r="P12" s="2" t="s">
        <v>45</v>
      </c>
      <c r="Q12" s="2"/>
      <c r="R12" s="2" t="s">
        <v>89</v>
      </c>
      <c r="S12" s="2"/>
      <c r="T12" s="2" t="s">
        <v>37</v>
      </c>
      <c r="U12" s="2"/>
      <c r="V12" s="2">
        <v>5</v>
      </c>
      <c r="W12" s="2"/>
    </row>
    <row r="13" spans="1:23" ht="34" customHeight="1">
      <c r="A13" s="2" t="s">
        <v>26</v>
      </c>
      <c r="B13" s="2" t="s">
        <v>90</v>
      </c>
      <c r="C13" s="7" t="s">
        <v>91</v>
      </c>
      <c r="D13" s="7"/>
      <c r="E13" s="6">
        <v>2</v>
      </c>
      <c r="F13" s="7"/>
      <c r="G13" s="7" t="s">
        <v>92</v>
      </c>
      <c r="H13" s="7" t="s">
        <v>93</v>
      </c>
      <c r="I13" s="2" t="s">
        <v>29</v>
      </c>
      <c r="J13" s="2" t="s">
        <v>94</v>
      </c>
      <c r="K13" s="2" t="s">
        <v>95</v>
      </c>
      <c r="L13" s="2" t="s">
        <v>79</v>
      </c>
      <c r="M13" s="19">
        <f t="shared" si="0"/>
        <v>4</v>
      </c>
      <c r="N13" s="2" t="s">
        <v>96</v>
      </c>
      <c r="O13" s="2" t="s">
        <v>97</v>
      </c>
      <c r="P13" s="2" t="s">
        <v>35</v>
      </c>
      <c r="Q13" s="2" t="s">
        <v>98</v>
      </c>
      <c r="R13" s="2" t="s">
        <v>89</v>
      </c>
      <c r="S13" s="2" t="s">
        <v>99</v>
      </c>
      <c r="T13" s="2" t="s">
        <v>37</v>
      </c>
      <c r="U13" s="2"/>
      <c r="V13" s="2">
        <v>3</v>
      </c>
      <c r="W13" s="2"/>
    </row>
    <row r="14" spans="1:23" ht="34" customHeight="1">
      <c r="A14" s="2" t="s">
        <v>26</v>
      </c>
      <c r="B14" s="2" t="s">
        <v>100</v>
      </c>
      <c r="C14" s="4">
        <v>5.0999999999999996</v>
      </c>
      <c r="D14" s="4">
        <v>1.7</v>
      </c>
      <c r="E14" s="4">
        <v>1.9</v>
      </c>
      <c r="F14" s="5">
        <v>0.53</v>
      </c>
      <c r="G14" s="6">
        <v>16</v>
      </c>
      <c r="H14" s="6"/>
      <c r="I14" s="2" t="s">
        <v>29</v>
      </c>
      <c r="J14" s="2" t="s">
        <v>41</v>
      </c>
      <c r="K14" s="2" t="s">
        <v>101</v>
      </c>
      <c r="L14" s="2" t="s">
        <v>32</v>
      </c>
      <c r="M14" s="19">
        <f t="shared" si="0"/>
        <v>5</v>
      </c>
      <c r="N14" s="2" t="s">
        <v>102</v>
      </c>
      <c r="O14" s="2" t="s">
        <v>103</v>
      </c>
      <c r="P14" s="2" t="s">
        <v>45</v>
      </c>
      <c r="Q14" s="2"/>
      <c r="R14" s="2" t="s">
        <v>104</v>
      </c>
      <c r="S14" s="2" t="s">
        <v>105</v>
      </c>
      <c r="T14" s="2" t="s">
        <v>37</v>
      </c>
      <c r="U14" s="2"/>
      <c r="V14" s="2">
        <v>5</v>
      </c>
      <c r="W14" s="2"/>
    </row>
    <row r="15" spans="1:23" ht="34" customHeight="1">
      <c r="A15" s="2" t="s">
        <v>26</v>
      </c>
      <c r="B15" s="2" t="s">
        <v>106</v>
      </c>
      <c r="C15" s="6">
        <v>6</v>
      </c>
      <c r="D15" s="6">
        <v>2</v>
      </c>
      <c r="E15" s="4">
        <v>1.9</v>
      </c>
      <c r="F15" s="4">
        <v>0.6</v>
      </c>
      <c r="G15" s="6">
        <v>15</v>
      </c>
      <c r="H15" s="6" t="s">
        <v>107</v>
      </c>
      <c r="I15" s="2" t="s">
        <v>29</v>
      </c>
      <c r="J15" s="2" t="s">
        <v>41</v>
      </c>
      <c r="K15" s="2" t="s">
        <v>101</v>
      </c>
      <c r="L15" s="2" t="s">
        <v>32</v>
      </c>
      <c r="M15" s="19">
        <f t="shared" si="0"/>
        <v>6</v>
      </c>
      <c r="N15" s="2" t="s">
        <v>108</v>
      </c>
      <c r="O15" s="2" t="s">
        <v>109</v>
      </c>
      <c r="P15" s="2" t="s">
        <v>45</v>
      </c>
      <c r="Q15" s="2"/>
      <c r="R15" s="2" t="s">
        <v>104</v>
      </c>
      <c r="S15" s="2" t="s">
        <v>105</v>
      </c>
      <c r="T15" s="2" t="s">
        <v>37</v>
      </c>
      <c r="U15" s="2"/>
      <c r="V15" s="2">
        <v>5</v>
      </c>
      <c r="W15" s="2"/>
    </row>
    <row r="16" spans="1:23" ht="34" customHeight="1">
      <c r="A16" s="2" t="s">
        <v>26</v>
      </c>
      <c r="B16" s="2" t="s">
        <v>110</v>
      </c>
      <c r="C16" s="6">
        <v>4</v>
      </c>
      <c r="D16" s="6">
        <v>1</v>
      </c>
      <c r="E16" s="5">
        <v>1.78</v>
      </c>
      <c r="F16" s="4">
        <v>0.4</v>
      </c>
      <c r="G16" s="4">
        <v>6.3</v>
      </c>
      <c r="H16" s="4" t="s">
        <v>111</v>
      </c>
      <c r="I16" s="2" t="s">
        <v>29</v>
      </c>
      <c r="J16" s="2" t="s">
        <v>41</v>
      </c>
      <c r="K16" s="2" t="s">
        <v>101</v>
      </c>
      <c r="L16" s="2" t="s">
        <v>32</v>
      </c>
      <c r="M16" s="19">
        <f t="shared" si="0"/>
        <v>6</v>
      </c>
      <c r="N16" s="2" t="s">
        <v>108</v>
      </c>
      <c r="O16" s="2" t="s">
        <v>112</v>
      </c>
      <c r="P16" s="2" t="s">
        <v>45</v>
      </c>
      <c r="Q16" s="2"/>
      <c r="R16" s="2" t="s">
        <v>104</v>
      </c>
      <c r="S16" s="2" t="s">
        <v>105</v>
      </c>
      <c r="T16" s="2" t="s">
        <v>37</v>
      </c>
      <c r="U16" s="2"/>
      <c r="V16" s="2">
        <v>5</v>
      </c>
      <c r="W16" s="2"/>
    </row>
    <row r="17" spans="1:23" ht="34" customHeight="1">
      <c r="A17" s="2" t="s">
        <v>26</v>
      </c>
      <c r="B17" s="2" t="s">
        <v>113</v>
      </c>
      <c r="C17" s="4">
        <v>1.4</v>
      </c>
      <c r="D17" s="6">
        <v>1</v>
      </c>
      <c r="E17" s="4">
        <v>2.5</v>
      </c>
      <c r="F17" s="5">
        <v>0.45</v>
      </c>
      <c r="G17" s="4">
        <v>9.1999999999999993</v>
      </c>
      <c r="H17" s="4" t="s">
        <v>114</v>
      </c>
      <c r="I17" s="2" t="s">
        <v>29</v>
      </c>
      <c r="J17" s="2" t="s">
        <v>41</v>
      </c>
      <c r="K17" s="2" t="s">
        <v>101</v>
      </c>
      <c r="L17" s="2" t="s">
        <v>79</v>
      </c>
      <c r="M17" s="19">
        <f t="shared" si="0"/>
        <v>6</v>
      </c>
      <c r="N17" s="2" t="s">
        <v>108</v>
      </c>
      <c r="O17" s="2" t="s">
        <v>115</v>
      </c>
      <c r="P17" s="2" t="s">
        <v>45</v>
      </c>
      <c r="Q17" s="2"/>
      <c r="R17" s="2" t="s">
        <v>104</v>
      </c>
      <c r="S17" s="2" t="s">
        <v>105</v>
      </c>
      <c r="T17" s="2" t="s">
        <v>37</v>
      </c>
      <c r="U17" s="2"/>
      <c r="V17" s="2">
        <v>5</v>
      </c>
      <c r="W17" s="2"/>
    </row>
    <row r="18" spans="1:23" ht="34" customHeight="1">
      <c r="A18" s="2" t="s">
        <v>26</v>
      </c>
      <c r="B18" s="2" t="s">
        <v>116</v>
      </c>
      <c r="C18" s="5">
        <v>0.48</v>
      </c>
      <c r="D18" s="4">
        <v>0.1</v>
      </c>
      <c r="E18" s="14">
        <v>2.5</v>
      </c>
      <c r="F18" s="7"/>
      <c r="G18" s="5">
        <v>0.18</v>
      </c>
      <c r="H18" s="5" t="s">
        <v>117</v>
      </c>
      <c r="I18" s="2" t="s">
        <v>118</v>
      </c>
      <c r="J18" s="2" t="s">
        <v>50</v>
      </c>
      <c r="K18" s="2" t="s">
        <v>119</v>
      </c>
      <c r="L18" s="2" t="s">
        <v>32</v>
      </c>
      <c r="M18" s="19">
        <f t="shared" si="0"/>
        <v>5</v>
      </c>
      <c r="N18" s="2" t="s">
        <v>120</v>
      </c>
      <c r="O18" s="2" t="s">
        <v>121</v>
      </c>
      <c r="P18" s="2" t="s">
        <v>122</v>
      </c>
      <c r="Q18" s="2" t="s">
        <v>65</v>
      </c>
      <c r="R18" s="2" t="s">
        <v>123</v>
      </c>
      <c r="S18" s="2"/>
      <c r="T18" s="2" t="s">
        <v>37</v>
      </c>
      <c r="U18" s="2" t="s">
        <v>124</v>
      </c>
      <c r="V18" s="2">
        <v>3</v>
      </c>
      <c r="W18" s="2" t="s">
        <v>125</v>
      </c>
    </row>
    <row r="19" spans="1:23" ht="37" customHeight="1">
      <c r="A19" s="2" t="s">
        <v>26</v>
      </c>
      <c r="B19" s="2" t="s">
        <v>126</v>
      </c>
      <c r="C19" s="4">
        <v>1.5</v>
      </c>
      <c r="D19" s="7"/>
      <c r="E19" s="7"/>
      <c r="F19" s="7"/>
      <c r="G19" s="7"/>
      <c r="H19" s="7" t="s">
        <v>127</v>
      </c>
      <c r="I19" s="2" t="s">
        <v>29</v>
      </c>
      <c r="J19" s="2" t="s">
        <v>41</v>
      </c>
      <c r="K19" s="2" t="s">
        <v>78</v>
      </c>
      <c r="L19" s="2" t="s">
        <v>32</v>
      </c>
      <c r="M19" s="19">
        <f t="shared" si="0"/>
        <v>2</v>
      </c>
      <c r="N19" s="2" t="s">
        <v>128</v>
      </c>
      <c r="O19" s="2" t="s">
        <v>129</v>
      </c>
      <c r="P19" s="2" t="s">
        <v>130</v>
      </c>
      <c r="Q19" s="2" t="s">
        <v>131</v>
      </c>
      <c r="R19" s="2" t="s">
        <v>132</v>
      </c>
      <c r="S19" s="2" t="s">
        <v>133</v>
      </c>
      <c r="T19" s="2" t="s">
        <v>37</v>
      </c>
      <c r="U19" s="2"/>
      <c r="V19" s="2">
        <v>1</v>
      </c>
      <c r="W19" s="2"/>
    </row>
    <row r="20" spans="1:23" ht="34" customHeight="1">
      <c r="A20" s="2" t="s">
        <v>26</v>
      </c>
      <c r="B20" s="2" t="s">
        <v>134</v>
      </c>
      <c r="C20" s="7" t="s">
        <v>135</v>
      </c>
      <c r="D20" s="7" t="s">
        <v>136</v>
      </c>
      <c r="E20" s="7"/>
      <c r="F20" s="7"/>
      <c r="G20" s="7"/>
      <c r="H20" s="7" t="s">
        <v>137</v>
      </c>
      <c r="I20" s="2" t="s">
        <v>29</v>
      </c>
      <c r="J20" s="2" t="s">
        <v>94</v>
      </c>
      <c r="K20" s="2" t="s">
        <v>138</v>
      </c>
      <c r="L20" s="2" t="s">
        <v>32</v>
      </c>
      <c r="M20" s="19">
        <f t="shared" si="0"/>
        <v>3</v>
      </c>
      <c r="N20" s="2" t="s">
        <v>139</v>
      </c>
      <c r="O20" s="2" t="s">
        <v>140</v>
      </c>
      <c r="P20" s="2" t="s">
        <v>35</v>
      </c>
      <c r="Q20" s="2" t="s">
        <v>141</v>
      </c>
      <c r="R20" s="2" t="s">
        <v>142</v>
      </c>
      <c r="S20" s="2"/>
      <c r="T20" s="2" t="s">
        <v>37</v>
      </c>
      <c r="U20" s="2"/>
      <c r="V20" s="2">
        <v>2</v>
      </c>
      <c r="W20" s="2"/>
    </row>
    <row r="21" spans="1:23" ht="64" customHeight="1">
      <c r="A21" s="2" t="s">
        <v>26</v>
      </c>
      <c r="B21" s="2" t="s">
        <v>143</v>
      </c>
      <c r="C21" s="5">
        <v>1.02</v>
      </c>
      <c r="D21" s="4">
        <v>0.2</v>
      </c>
      <c r="E21" s="12">
        <v>1</v>
      </c>
      <c r="F21" s="12">
        <v>0</v>
      </c>
      <c r="G21" s="8">
        <v>0.22500000000000001</v>
      </c>
      <c r="H21" s="8" t="s">
        <v>76</v>
      </c>
      <c r="I21" s="2" t="s">
        <v>60</v>
      </c>
      <c r="J21" s="2" t="s">
        <v>50</v>
      </c>
      <c r="K21" s="2" t="s">
        <v>119</v>
      </c>
      <c r="L21" s="2" t="s">
        <v>32</v>
      </c>
      <c r="M21" s="19">
        <f t="shared" si="0"/>
        <v>6</v>
      </c>
      <c r="N21" s="2" t="s">
        <v>120</v>
      </c>
      <c r="O21" s="2" t="s">
        <v>144</v>
      </c>
      <c r="P21" s="2" t="s">
        <v>122</v>
      </c>
      <c r="Q21" s="2"/>
      <c r="R21" s="2" t="s">
        <v>145</v>
      </c>
      <c r="S21" s="2" t="s">
        <v>146</v>
      </c>
      <c r="T21" s="2" t="s">
        <v>37</v>
      </c>
      <c r="U21" s="2" t="s">
        <v>147</v>
      </c>
      <c r="V21" s="2">
        <v>3</v>
      </c>
      <c r="W21" s="2" t="s">
        <v>148</v>
      </c>
    </row>
    <row r="22" spans="1:23" ht="34" customHeight="1">
      <c r="A22" s="2" t="s">
        <v>26</v>
      </c>
      <c r="B22" s="2" t="s">
        <v>149</v>
      </c>
      <c r="C22" s="5">
        <v>1.02</v>
      </c>
      <c r="D22" s="5">
        <v>0.26</v>
      </c>
      <c r="E22" s="6">
        <v>1</v>
      </c>
      <c r="F22" s="12">
        <v>0</v>
      </c>
      <c r="G22" s="5">
        <v>0.35</v>
      </c>
      <c r="H22" s="5" t="s">
        <v>76</v>
      </c>
      <c r="I22" s="2" t="s">
        <v>150</v>
      </c>
      <c r="J22" s="2" t="s">
        <v>61</v>
      </c>
      <c r="K22" s="2" t="s">
        <v>151</v>
      </c>
      <c r="L22" s="2" t="s">
        <v>32</v>
      </c>
      <c r="M22" s="19">
        <f t="shared" si="0"/>
        <v>6</v>
      </c>
      <c r="N22" s="2" t="s">
        <v>152</v>
      </c>
      <c r="O22" s="2" t="s">
        <v>153</v>
      </c>
      <c r="P22" s="2" t="s">
        <v>45</v>
      </c>
      <c r="Q22" s="2"/>
      <c r="R22" s="2" t="s">
        <v>154</v>
      </c>
      <c r="S22" s="2"/>
      <c r="T22" s="2" t="s">
        <v>37</v>
      </c>
      <c r="U22" s="2" t="s">
        <v>65</v>
      </c>
      <c r="V22" s="2">
        <v>4</v>
      </c>
      <c r="W22" s="2" t="s">
        <v>155</v>
      </c>
    </row>
    <row r="23" spans="1:23" ht="34" customHeight="1">
      <c r="A23" s="2" t="s">
        <v>26</v>
      </c>
      <c r="B23" s="2" t="s">
        <v>156</v>
      </c>
      <c r="C23" s="5">
        <v>1.64</v>
      </c>
      <c r="D23" s="4">
        <v>0.4</v>
      </c>
      <c r="E23" s="6">
        <v>1</v>
      </c>
      <c r="F23" s="6">
        <v>0</v>
      </c>
      <c r="G23" s="5">
        <v>0.48</v>
      </c>
      <c r="H23" s="5" t="s">
        <v>157</v>
      </c>
      <c r="I23" s="2" t="s">
        <v>158</v>
      </c>
      <c r="J23" s="2" t="s">
        <v>72</v>
      </c>
      <c r="K23" s="2" t="s">
        <v>42</v>
      </c>
      <c r="L23" s="2" t="s">
        <v>32</v>
      </c>
      <c r="M23" s="19">
        <f t="shared" si="0"/>
        <v>6</v>
      </c>
      <c r="N23" s="2" t="s">
        <v>159</v>
      </c>
      <c r="O23" s="2" t="s">
        <v>160</v>
      </c>
      <c r="P23" s="2" t="s">
        <v>45</v>
      </c>
      <c r="Q23" s="2"/>
      <c r="R23" s="2" t="s">
        <v>154</v>
      </c>
      <c r="S23" s="2" t="s">
        <v>161</v>
      </c>
      <c r="T23" s="2" t="s">
        <v>37</v>
      </c>
      <c r="U23" s="2"/>
      <c r="V23" s="2">
        <v>5</v>
      </c>
      <c r="W23" s="2"/>
    </row>
    <row r="24" spans="1:23" ht="37" customHeight="1">
      <c r="A24" s="2" t="s">
        <v>26</v>
      </c>
      <c r="B24" s="2" t="s">
        <v>162</v>
      </c>
      <c r="C24" s="5">
        <v>1.78</v>
      </c>
      <c r="D24" s="5">
        <v>0.65</v>
      </c>
      <c r="E24" s="6">
        <v>2</v>
      </c>
      <c r="F24" s="7" t="s">
        <v>163</v>
      </c>
      <c r="G24" s="4">
        <v>2.5</v>
      </c>
      <c r="H24" s="4" t="s">
        <v>76</v>
      </c>
      <c r="I24" s="2" t="s">
        <v>29</v>
      </c>
      <c r="J24" s="2" t="s">
        <v>94</v>
      </c>
      <c r="K24" s="2" t="s">
        <v>164</v>
      </c>
      <c r="L24" s="2" t="s">
        <v>32</v>
      </c>
      <c r="M24" s="19">
        <f t="shared" si="0"/>
        <v>6</v>
      </c>
      <c r="N24" s="2" t="s">
        <v>165</v>
      </c>
      <c r="O24" s="2" t="s">
        <v>166</v>
      </c>
      <c r="P24" s="2" t="s">
        <v>45</v>
      </c>
      <c r="Q24" s="2"/>
      <c r="R24" s="2" t="s">
        <v>154</v>
      </c>
      <c r="S24" s="2" t="s">
        <v>167</v>
      </c>
      <c r="T24" s="2" t="s">
        <v>37</v>
      </c>
      <c r="U24" s="2"/>
      <c r="V24" s="2">
        <v>5</v>
      </c>
      <c r="W24" s="2"/>
    </row>
    <row r="25" spans="1:23" ht="64" customHeight="1">
      <c r="A25" s="2" t="s">
        <v>26</v>
      </c>
      <c r="B25" s="2" t="s">
        <v>168</v>
      </c>
      <c r="C25" s="5">
        <v>0.45</v>
      </c>
      <c r="D25" s="5">
        <v>0.12</v>
      </c>
      <c r="E25" s="12">
        <v>1</v>
      </c>
      <c r="F25" s="12">
        <v>0</v>
      </c>
      <c r="G25" s="5">
        <v>0.04</v>
      </c>
      <c r="H25" s="5" t="s">
        <v>59</v>
      </c>
      <c r="I25" s="2" t="s">
        <v>60</v>
      </c>
      <c r="J25" s="2" t="s">
        <v>50</v>
      </c>
      <c r="K25" s="2" t="s">
        <v>119</v>
      </c>
      <c r="L25" s="2" t="s">
        <v>32</v>
      </c>
      <c r="M25" s="19">
        <f t="shared" si="0"/>
        <v>6</v>
      </c>
      <c r="N25" s="2" t="s">
        <v>120</v>
      </c>
      <c r="O25" s="2" t="s">
        <v>169</v>
      </c>
      <c r="P25" s="2" t="s">
        <v>122</v>
      </c>
      <c r="Q25" s="2"/>
      <c r="R25" s="2" t="s">
        <v>36</v>
      </c>
      <c r="S25" s="2" t="s">
        <v>170</v>
      </c>
      <c r="T25" s="2" t="s">
        <v>37</v>
      </c>
      <c r="U25" s="2" t="s">
        <v>147</v>
      </c>
      <c r="V25" s="2">
        <v>3</v>
      </c>
      <c r="W25" s="2" t="s">
        <v>148</v>
      </c>
    </row>
    <row r="26" spans="1:23" ht="37" customHeight="1">
      <c r="A26" s="2" t="s">
        <v>26</v>
      </c>
      <c r="B26" s="2" t="s">
        <v>171</v>
      </c>
      <c r="C26" s="5">
        <v>0.65</v>
      </c>
      <c r="D26" s="4">
        <v>0.2</v>
      </c>
      <c r="E26" s="6">
        <v>1</v>
      </c>
      <c r="F26" s="12">
        <v>0</v>
      </c>
      <c r="G26" s="5">
        <v>0.15</v>
      </c>
      <c r="H26" s="5" t="s">
        <v>172</v>
      </c>
      <c r="I26" s="2" t="s">
        <v>60</v>
      </c>
      <c r="J26" s="2" t="s">
        <v>50</v>
      </c>
      <c r="K26" s="2" t="s">
        <v>101</v>
      </c>
      <c r="L26" s="2" t="s">
        <v>32</v>
      </c>
      <c r="M26" s="19">
        <f t="shared" si="0"/>
        <v>6</v>
      </c>
      <c r="N26" s="2" t="s">
        <v>173</v>
      </c>
      <c r="O26" s="2" t="s">
        <v>174</v>
      </c>
      <c r="P26" s="2" t="s">
        <v>45</v>
      </c>
      <c r="Q26" s="2"/>
      <c r="R26" s="2" t="s">
        <v>36</v>
      </c>
      <c r="S26" s="2" t="s">
        <v>175</v>
      </c>
      <c r="T26" s="2" t="s">
        <v>37</v>
      </c>
      <c r="U26" s="2" t="s">
        <v>65</v>
      </c>
      <c r="V26" s="2">
        <v>4</v>
      </c>
      <c r="W26" s="2" t="s">
        <v>66</v>
      </c>
    </row>
    <row r="27" spans="1:23" ht="37" customHeight="1">
      <c r="A27" s="2" t="s">
        <v>26</v>
      </c>
      <c r="B27" s="2" t="s">
        <v>176</v>
      </c>
      <c r="C27" s="5">
        <v>1.22</v>
      </c>
      <c r="D27" s="5">
        <v>0.35</v>
      </c>
      <c r="E27" s="6">
        <v>1</v>
      </c>
      <c r="F27" s="12">
        <v>0</v>
      </c>
      <c r="G27" s="4">
        <v>0.4</v>
      </c>
      <c r="H27" s="4" t="s">
        <v>76</v>
      </c>
      <c r="I27" s="2" t="s">
        <v>60</v>
      </c>
      <c r="J27" s="2" t="s">
        <v>50</v>
      </c>
      <c r="K27" s="2" t="s">
        <v>101</v>
      </c>
      <c r="L27" s="2" t="s">
        <v>32</v>
      </c>
      <c r="M27" s="19">
        <f t="shared" si="0"/>
        <v>6</v>
      </c>
      <c r="N27" s="2" t="s">
        <v>63</v>
      </c>
      <c r="O27" s="2" t="s">
        <v>177</v>
      </c>
      <c r="P27" s="2" t="s">
        <v>45</v>
      </c>
      <c r="Q27" s="2"/>
      <c r="R27" s="2" t="s">
        <v>36</v>
      </c>
      <c r="S27" s="2"/>
      <c r="T27" s="2" t="s">
        <v>37</v>
      </c>
      <c r="U27" s="2" t="s">
        <v>65</v>
      </c>
      <c r="V27" s="2">
        <v>4</v>
      </c>
      <c r="W27" s="2" t="s">
        <v>66</v>
      </c>
    </row>
    <row r="28" spans="1:23" ht="34" customHeight="1">
      <c r="A28" s="2" t="s">
        <v>26</v>
      </c>
      <c r="B28" s="2" t="s">
        <v>178</v>
      </c>
      <c r="C28" s="5">
        <v>1.05</v>
      </c>
      <c r="D28" s="7" t="s">
        <v>179</v>
      </c>
      <c r="E28" s="7"/>
      <c r="F28" s="7"/>
      <c r="G28" s="4">
        <v>0.2</v>
      </c>
      <c r="H28" s="4" t="s">
        <v>48</v>
      </c>
      <c r="I28" s="2" t="s">
        <v>180</v>
      </c>
      <c r="J28" s="2" t="s">
        <v>72</v>
      </c>
      <c r="K28" s="2" t="s">
        <v>42</v>
      </c>
      <c r="L28" s="2" t="s">
        <v>32</v>
      </c>
      <c r="M28" s="19">
        <f t="shared" si="0"/>
        <v>4</v>
      </c>
      <c r="N28" s="2" t="s">
        <v>181</v>
      </c>
      <c r="O28" s="2" t="s">
        <v>182</v>
      </c>
      <c r="P28" s="2" t="s">
        <v>45</v>
      </c>
      <c r="Q28" s="2" t="s">
        <v>147</v>
      </c>
      <c r="R28" s="2" t="s">
        <v>183</v>
      </c>
      <c r="S28" s="2" t="s">
        <v>184</v>
      </c>
      <c r="T28" s="2" t="s">
        <v>37</v>
      </c>
      <c r="U28" s="2"/>
      <c r="V28" s="2">
        <v>3</v>
      </c>
      <c r="W28" s="2"/>
    </row>
    <row r="29" spans="1:23" ht="34" customHeight="1">
      <c r="A29" s="2" t="s">
        <v>26</v>
      </c>
      <c r="B29" s="2" t="s">
        <v>185</v>
      </c>
      <c r="C29" s="4">
        <v>0.3</v>
      </c>
      <c r="D29" s="8">
        <v>4.4999999999999998E-2</v>
      </c>
      <c r="E29" s="7"/>
      <c r="F29" s="7"/>
      <c r="G29" s="7" t="s">
        <v>186</v>
      </c>
      <c r="H29" s="7" t="s">
        <v>86</v>
      </c>
      <c r="I29" s="2" t="s">
        <v>187</v>
      </c>
      <c r="J29" s="2" t="s">
        <v>50</v>
      </c>
      <c r="K29" s="2" t="s">
        <v>51</v>
      </c>
      <c r="L29" s="2" t="s">
        <v>32</v>
      </c>
      <c r="M29" s="19">
        <f t="shared" si="0"/>
        <v>4</v>
      </c>
      <c r="N29" s="2" t="s">
        <v>188</v>
      </c>
      <c r="O29" s="2" t="s">
        <v>189</v>
      </c>
      <c r="P29" s="2" t="s">
        <v>190</v>
      </c>
      <c r="Q29" s="2" t="s">
        <v>147</v>
      </c>
      <c r="R29" s="2" t="s">
        <v>191</v>
      </c>
      <c r="S29" s="2" t="s">
        <v>192</v>
      </c>
      <c r="T29" s="2" t="s">
        <v>37</v>
      </c>
      <c r="U29" s="2"/>
      <c r="V29" s="2">
        <v>3</v>
      </c>
      <c r="W29" s="2"/>
    </row>
    <row r="30" spans="1:23" ht="37" customHeight="1">
      <c r="A30" s="2" t="s">
        <v>26</v>
      </c>
      <c r="B30" s="2" t="s">
        <v>193</v>
      </c>
      <c r="C30" s="8">
        <v>0.32500000000000001</v>
      </c>
      <c r="D30" s="8">
        <v>9.5000000000000001E-2</v>
      </c>
      <c r="E30" s="6">
        <v>1</v>
      </c>
      <c r="F30" s="12">
        <v>0</v>
      </c>
      <c r="G30" s="5">
        <v>0.02</v>
      </c>
      <c r="H30" s="5" t="s">
        <v>194</v>
      </c>
      <c r="I30" s="2" t="s">
        <v>60</v>
      </c>
      <c r="J30" s="2" t="s">
        <v>50</v>
      </c>
      <c r="K30" s="2" t="s">
        <v>101</v>
      </c>
      <c r="L30" s="2" t="s">
        <v>32</v>
      </c>
      <c r="M30" s="19">
        <f t="shared" si="0"/>
        <v>6</v>
      </c>
      <c r="N30" s="2" t="s">
        <v>63</v>
      </c>
      <c r="O30" s="2" t="s">
        <v>195</v>
      </c>
      <c r="P30" s="2" t="s">
        <v>45</v>
      </c>
      <c r="Q30" s="2"/>
      <c r="R30" s="2" t="s">
        <v>191</v>
      </c>
      <c r="S30" s="2"/>
      <c r="T30" s="2" t="s">
        <v>37</v>
      </c>
      <c r="U30" s="2" t="s">
        <v>65</v>
      </c>
      <c r="V30" s="2">
        <v>4</v>
      </c>
      <c r="W30" s="2" t="s">
        <v>66</v>
      </c>
    </row>
    <row r="31" spans="1:23" ht="34" customHeight="1">
      <c r="A31" s="2" t="s">
        <v>26</v>
      </c>
      <c r="B31" s="2" t="s">
        <v>196</v>
      </c>
      <c r="C31" s="5">
        <v>0.87</v>
      </c>
      <c r="D31" s="5">
        <v>0.56000000000000005</v>
      </c>
      <c r="E31" s="6">
        <v>2</v>
      </c>
      <c r="F31" s="7" t="s">
        <v>197</v>
      </c>
      <c r="G31" s="4">
        <v>1.3</v>
      </c>
      <c r="H31" s="4" t="s">
        <v>198</v>
      </c>
      <c r="I31" s="2" t="s">
        <v>29</v>
      </c>
      <c r="J31" s="2" t="s">
        <v>30</v>
      </c>
      <c r="K31" s="2" t="s">
        <v>199</v>
      </c>
      <c r="L31" s="2" t="s">
        <v>79</v>
      </c>
      <c r="M31" s="19">
        <f t="shared" si="0"/>
        <v>6</v>
      </c>
      <c r="N31" s="2" t="s">
        <v>200</v>
      </c>
      <c r="O31" s="2" t="s">
        <v>201</v>
      </c>
      <c r="P31" s="2" t="s">
        <v>45</v>
      </c>
      <c r="Q31" s="2"/>
      <c r="R31" s="2" t="s">
        <v>202</v>
      </c>
      <c r="S31" s="2" t="s">
        <v>203</v>
      </c>
      <c r="T31" s="2" t="s">
        <v>37</v>
      </c>
      <c r="U31" s="2"/>
      <c r="V31" s="2">
        <v>5</v>
      </c>
      <c r="W31" s="2"/>
    </row>
    <row r="32" spans="1:23" ht="34" customHeight="1">
      <c r="A32" s="2" t="s">
        <v>26</v>
      </c>
      <c r="B32" s="2" t="s">
        <v>204</v>
      </c>
      <c r="C32" s="4">
        <v>0.3</v>
      </c>
      <c r="D32" s="5">
        <v>0.22</v>
      </c>
      <c r="E32" s="4">
        <v>1.6</v>
      </c>
      <c r="F32" s="7"/>
      <c r="G32" s="5">
        <v>0.05</v>
      </c>
      <c r="H32" s="5" t="s">
        <v>205</v>
      </c>
      <c r="I32" s="2" t="s">
        <v>180</v>
      </c>
      <c r="J32" s="2" t="s">
        <v>72</v>
      </c>
      <c r="K32" s="2" t="s">
        <v>101</v>
      </c>
      <c r="L32" s="2" t="s">
        <v>79</v>
      </c>
      <c r="M32" s="19">
        <f t="shared" si="0"/>
        <v>5</v>
      </c>
      <c r="N32" s="2" t="s">
        <v>206</v>
      </c>
      <c r="O32" s="2" t="s">
        <v>207</v>
      </c>
      <c r="P32" s="2" t="s">
        <v>45</v>
      </c>
      <c r="Q32" s="2" t="s">
        <v>65</v>
      </c>
      <c r="R32" s="2" t="s">
        <v>208</v>
      </c>
      <c r="S32" s="2"/>
      <c r="T32" s="2" t="s">
        <v>37</v>
      </c>
      <c r="U32" s="2"/>
      <c r="V32" s="2">
        <v>4</v>
      </c>
      <c r="W32" s="2"/>
    </row>
    <row r="33" spans="1:23" ht="34" customHeight="1">
      <c r="A33" s="2" t="s">
        <v>26</v>
      </c>
      <c r="B33" s="2" t="s">
        <v>209</v>
      </c>
      <c r="C33" s="5">
        <v>0.53</v>
      </c>
      <c r="D33" s="5">
        <v>0.33</v>
      </c>
      <c r="E33" s="6">
        <v>2</v>
      </c>
      <c r="F33" s="7" t="s">
        <v>210</v>
      </c>
      <c r="G33" s="4">
        <v>0.5</v>
      </c>
      <c r="H33" s="4" t="s">
        <v>211</v>
      </c>
      <c r="I33" s="2" t="s">
        <v>71</v>
      </c>
      <c r="J33" s="2" t="s">
        <v>94</v>
      </c>
      <c r="K33" s="2" t="s">
        <v>212</v>
      </c>
      <c r="L33" s="2" t="s">
        <v>79</v>
      </c>
      <c r="M33" s="19">
        <f t="shared" si="0"/>
        <v>6</v>
      </c>
      <c r="N33" s="2" t="s">
        <v>213</v>
      </c>
      <c r="O33" s="2" t="s">
        <v>214</v>
      </c>
      <c r="P33" s="2" t="s">
        <v>45</v>
      </c>
      <c r="Q33" s="2"/>
      <c r="R33" s="2" t="s">
        <v>215</v>
      </c>
      <c r="S33" s="2" t="s">
        <v>216</v>
      </c>
      <c r="T33" s="2" t="s">
        <v>37</v>
      </c>
      <c r="U33" s="2"/>
      <c r="V33" s="2">
        <v>5</v>
      </c>
      <c r="W33" s="2"/>
    </row>
    <row r="34" spans="1:23" ht="34" customHeight="1">
      <c r="A34" s="2" t="s">
        <v>217</v>
      </c>
      <c r="B34" s="2" t="s">
        <v>218</v>
      </c>
      <c r="C34" s="5">
        <v>0.45</v>
      </c>
      <c r="D34" s="5">
        <v>0.32</v>
      </c>
      <c r="E34" s="4">
        <v>2.4</v>
      </c>
      <c r="F34" s="4">
        <v>0.5</v>
      </c>
      <c r="G34" s="7"/>
      <c r="H34" s="7" t="s">
        <v>219</v>
      </c>
      <c r="I34" s="2" t="s">
        <v>29</v>
      </c>
      <c r="J34" s="2" t="s">
        <v>41</v>
      </c>
      <c r="K34" s="2" t="s">
        <v>199</v>
      </c>
      <c r="L34" s="2" t="s">
        <v>79</v>
      </c>
      <c r="M34" s="19">
        <f t="shared" si="0"/>
        <v>5</v>
      </c>
      <c r="N34" s="2" t="s">
        <v>220</v>
      </c>
      <c r="O34" s="2" t="s">
        <v>221</v>
      </c>
      <c r="P34" s="2" t="s">
        <v>190</v>
      </c>
      <c r="Q34" s="2" t="s">
        <v>222</v>
      </c>
      <c r="R34" s="2" t="s">
        <v>223</v>
      </c>
      <c r="S34" s="2"/>
      <c r="T34" s="2" t="s">
        <v>37</v>
      </c>
      <c r="U34" s="2"/>
      <c r="V34" s="2">
        <v>4</v>
      </c>
      <c r="W34" s="2"/>
    </row>
    <row r="35" spans="1:23" ht="34" customHeight="1">
      <c r="A35" s="2" t="s">
        <v>224</v>
      </c>
      <c r="B35" s="2" t="s">
        <v>225</v>
      </c>
      <c r="C35" s="4">
        <v>6.2</v>
      </c>
      <c r="D35" s="4">
        <v>1.5</v>
      </c>
      <c r="E35" s="7"/>
      <c r="F35" s="7"/>
      <c r="G35" s="6">
        <v>12</v>
      </c>
      <c r="H35" s="6" t="s">
        <v>226</v>
      </c>
      <c r="I35" s="2" t="s">
        <v>180</v>
      </c>
      <c r="J35" s="2" t="s">
        <v>41</v>
      </c>
      <c r="K35" s="2" t="s">
        <v>227</v>
      </c>
      <c r="L35" s="2" t="s">
        <v>32</v>
      </c>
      <c r="M35" s="19">
        <f t="shared" si="0"/>
        <v>4</v>
      </c>
      <c r="N35" s="2" t="s">
        <v>228</v>
      </c>
      <c r="O35" s="2" t="s">
        <v>229</v>
      </c>
      <c r="P35" s="2" t="s">
        <v>35</v>
      </c>
      <c r="Q35" s="2" t="s">
        <v>147</v>
      </c>
      <c r="R35" s="2" t="s">
        <v>230</v>
      </c>
      <c r="S35" s="2" t="s">
        <v>231</v>
      </c>
      <c r="T35" s="2" t="s">
        <v>37</v>
      </c>
      <c r="U35" s="2"/>
      <c r="V35" s="2">
        <v>3</v>
      </c>
      <c r="W35" s="2"/>
    </row>
    <row r="36" spans="1:23" ht="37" customHeight="1">
      <c r="A36" s="2" t="s">
        <v>224</v>
      </c>
      <c r="B36" s="2" t="s">
        <v>232</v>
      </c>
      <c r="C36" s="7" t="s">
        <v>233</v>
      </c>
      <c r="D36" s="7"/>
      <c r="E36" s="7"/>
      <c r="F36" s="7"/>
      <c r="G36" s="7"/>
      <c r="H36" s="7" t="s">
        <v>234</v>
      </c>
      <c r="I36" s="2" t="s">
        <v>235</v>
      </c>
      <c r="J36" s="2" t="s">
        <v>50</v>
      </c>
      <c r="K36" s="2" t="s">
        <v>42</v>
      </c>
      <c r="L36" s="2" t="s">
        <v>236</v>
      </c>
      <c r="M36" s="19">
        <f t="shared" si="0"/>
        <v>2</v>
      </c>
      <c r="N36" s="2" t="s">
        <v>237</v>
      </c>
      <c r="O36" s="2" t="s">
        <v>238</v>
      </c>
      <c r="P36" s="2" t="s">
        <v>45</v>
      </c>
      <c r="Q36" s="2" t="s">
        <v>131</v>
      </c>
      <c r="R36" s="2" t="s">
        <v>239</v>
      </c>
      <c r="S36" s="2" t="s">
        <v>240</v>
      </c>
      <c r="T36" s="2" t="s">
        <v>241</v>
      </c>
      <c r="U36" s="2"/>
      <c r="V36" s="2">
        <v>1</v>
      </c>
      <c r="W36" s="2"/>
    </row>
    <row r="37" spans="1:23" ht="34" customHeight="1">
      <c r="A37" s="2" t="s">
        <v>224</v>
      </c>
      <c r="B37" s="2" t="s">
        <v>242</v>
      </c>
      <c r="C37" s="4">
        <v>0.3</v>
      </c>
      <c r="D37" s="4">
        <v>0.2</v>
      </c>
      <c r="E37" s="7"/>
      <c r="F37" s="7"/>
      <c r="G37" s="5">
        <v>0.15</v>
      </c>
      <c r="H37" s="5" t="s">
        <v>243</v>
      </c>
      <c r="I37" s="2" t="s">
        <v>71</v>
      </c>
      <c r="J37" s="2" t="s">
        <v>50</v>
      </c>
      <c r="K37" s="2" t="s">
        <v>244</v>
      </c>
      <c r="L37" s="2" t="s">
        <v>79</v>
      </c>
      <c r="M37" s="19">
        <f t="shared" si="0"/>
        <v>4</v>
      </c>
      <c r="N37" s="2" t="s">
        <v>245</v>
      </c>
      <c r="O37" s="2" t="s">
        <v>246</v>
      </c>
      <c r="P37" s="2" t="s">
        <v>45</v>
      </c>
      <c r="Q37" s="2" t="s">
        <v>147</v>
      </c>
      <c r="R37" s="2" t="s">
        <v>247</v>
      </c>
      <c r="S37" s="2"/>
      <c r="T37" s="2" t="s">
        <v>37</v>
      </c>
      <c r="U37" s="2"/>
      <c r="V37" s="2">
        <v>3</v>
      </c>
      <c r="W37" s="2"/>
    </row>
    <row r="38" spans="1:23" ht="37" customHeight="1">
      <c r="A38" s="2" t="s">
        <v>224</v>
      </c>
      <c r="B38" s="2" t="s">
        <v>248</v>
      </c>
      <c r="C38" s="4">
        <v>5.4</v>
      </c>
      <c r="D38" s="16">
        <v>1.588235294117647</v>
      </c>
      <c r="E38" s="6">
        <v>2</v>
      </c>
      <c r="F38" s="4">
        <v>0.5</v>
      </c>
      <c r="G38" s="6">
        <v>12</v>
      </c>
      <c r="H38" s="6" t="s">
        <v>249</v>
      </c>
      <c r="I38" s="2" t="s">
        <v>250</v>
      </c>
      <c r="J38" s="2" t="s">
        <v>41</v>
      </c>
      <c r="K38" s="2" t="s">
        <v>227</v>
      </c>
      <c r="L38" s="2" t="s">
        <v>32</v>
      </c>
      <c r="M38" s="19">
        <f t="shared" si="0"/>
        <v>6</v>
      </c>
      <c r="N38" s="2" t="s">
        <v>251</v>
      </c>
      <c r="O38" s="2" t="s">
        <v>252</v>
      </c>
      <c r="P38" s="2" t="s">
        <v>45</v>
      </c>
      <c r="Q38" s="2"/>
      <c r="R38" s="2" t="s">
        <v>253</v>
      </c>
      <c r="S38" s="2" t="s">
        <v>231</v>
      </c>
      <c r="T38" s="2" t="s">
        <v>37</v>
      </c>
      <c r="U38" s="2" t="s">
        <v>254</v>
      </c>
      <c r="V38" s="2">
        <v>4</v>
      </c>
      <c r="W38" s="2" t="s">
        <v>255</v>
      </c>
    </row>
    <row r="39" spans="1:23" ht="64" customHeight="1">
      <c r="A39" s="2" t="s">
        <v>224</v>
      </c>
      <c r="B39" s="2" t="s">
        <v>256</v>
      </c>
      <c r="C39" s="4">
        <v>0.4</v>
      </c>
      <c r="D39" s="4">
        <v>0.1</v>
      </c>
      <c r="E39" s="12">
        <v>1</v>
      </c>
      <c r="F39" s="12">
        <v>0</v>
      </c>
      <c r="G39" s="8">
        <v>1E-3</v>
      </c>
      <c r="H39" s="8" t="s">
        <v>257</v>
      </c>
      <c r="I39" s="2" t="s">
        <v>60</v>
      </c>
      <c r="J39" s="2" t="s">
        <v>50</v>
      </c>
      <c r="K39" s="2" t="s">
        <v>119</v>
      </c>
      <c r="L39" s="2" t="s">
        <v>32</v>
      </c>
      <c r="M39" s="19">
        <f t="shared" si="0"/>
        <v>6</v>
      </c>
      <c r="N39" s="2" t="s">
        <v>120</v>
      </c>
      <c r="O39" s="2" t="s">
        <v>258</v>
      </c>
      <c r="P39" s="2" t="s">
        <v>122</v>
      </c>
      <c r="Q39" s="2"/>
      <c r="R39" s="2" t="s">
        <v>239</v>
      </c>
      <c r="S39" s="2" t="s">
        <v>259</v>
      </c>
      <c r="T39" s="2" t="s">
        <v>37</v>
      </c>
      <c r="U39" s="2" t="s">
        <v>147</v>
      </c>
      <c r="V39" s="2">
        <v>3</v>
      </c>
      <c r="W39" s="2" t="s">
        <v>148</v>
      </c>
    </row>
    <row r="40" spans="1:23" ht="64" customHeight="1">
      <c r="A40" s="2" t="s">
        <v>224</v>
      </c>
      <c r="B40" s="2" t="s">
        <v>260</v>
      </c>
      <c r="C40" s="4">
        <v>0.3</v>
      </c>
      <c r="D40" s="5">
        <v>0.04</v>
      </c>
      <c r="E40" s="12">
        <v>1</v>
      </c>
      <c r="F40" s="12">
        <v>0</v>
      </c>
      <c r="G40" s="7"/>
      <c r="H40" s="7" t="s">
        <v>261</v>
      </c>
      <c r="I40" s="2" t="s">
        <v>60</v>
      </c>
      <c r="J40" s="2" t="s">
        <v>50</v>
      </c>
      <c r="K40" s="2" t="s">
        <v>119</v>
      </c>
      <c r="L40" s="2" t="s">
        <v>32</v>
      </c>
      <c r="M40" s="19">
        <f t="shared" si="0"/>
        <v>5</v>
      </c>
      <c r="N40" s="2" t="s">
        <v>120</v>
      </c>
      <c r="O40" s="2" t="s">
        <v>262</v>
      </c>
      <c r="P40" s="2" t="s">
        <v>122</v>
      </c>
      <c r="Q40" s="2" t="s">
        <v>222</v>
      </c>
      <c r="R40" s="2" t="s">
        <v>239</v>
      </c>
      <c r="S40" s="2"/>
      <c r="T40" s="2" t="s">
        <v>37</v>
      </c>
      <c r="U40" s="2" t="s">
        <v>147</v>
      </c>
      <c r="V40" s="2">
        <v>2</v>
      </c>
      <c r="W40" s="2" t="s">
        <v>148</v>
      </c>
    </row>
    <row r="41" spans="1:23" ht="64" customHeight="1">
      <c r="A41" s="2" t="s">
        <v>224</v>
      </c>
      <c r="B41" s="2" t="s">
        <v>263</v>
      </c>
      <c r="C41" s="4">
        <v>0.4</v>
      </c>
      <c r="D41" s="5">
        <v>0.09</v>
      </c>
      <c r="E41" s="12">
        <v>1</v>
      </c>
      <c r="F41" s="12">
        <v>0</v>
      </c>
      <c r="G41" s="8">
        <v>3.0000000000000001E-3</v>
      </c>
      <c r="H41" s="8" t="s">
        <v>264</v>
      </c>
      <c r="I41" s="2" t="s">
        <v>60</v>
      </c>
      <c r="J41" s="2" t="s">
        <v>50</v>
      </c>
      <c r="K41" s="2" t="s">
        <v>119</v>
      </c>
      <c r="L41" s="2" t="s">
        <v>32</v>
      </c>
      <c r="M41" s="19">
        <f t="shared" si="0"/>
        <v>6</v>
      </c>
      <c r="N41" s="2" t="s">
        <v>120</v>
      </c>
      <c r="O41" s="2" t="s">
        <v>265</v>
      </c>
      <c r="P41" s="2" t="s">
        <v>122</v>
      </c>
      <c r="Q41" s="2"/>
      <c r="R41" s="2" t="s">
        <v>239</v>
      </c>
      <c r="S41" s="2" t="s">
        <v>266</v>
      </c>
      <c r="T41" s="2" t="s">
        <v>37</v>
      </c>
      <c r="U41" s="2" t="s">
        <v>147</v>
      </c>
      <c r="V41" s="2">
        <v>3</v>
      </c>
      <c r="W41" s="2" t="s">
        <v>148</v>
      </c>
    </row>
    <row r="42" spans="1:23" ht="64" customHeight="1">
      <c r="A42" s="2" t="s">
        <v>224</v>
      </c>
      <c r="B42" s="2" t="s">
        <v>267</v>
      </c>
      <c r="C42" s="4">
        <v>0.4</v>
      </c>
      <c r="D42" s="4">
        <v>0.1</v>
      </c>
      <c r="E42" s="12">
        <v>1</v>
      </c>
      <c r="F42" s="12">
        <v>0</v>
      </c>
      <c r="G42" s="8">
        <v>1E-3</v>
      </c>
      <c r="H42" s="8" t="s">
        <v>264</v>
      </c>
      <c r="I42" s="2" t="s">
        <v>60</v>
      </c>
      <c r="J42" s="2" t="s">
        <v>50</v>
      </c>
      <c r="K42" s="2" t="s">
        <v>119</v>
      </c>
      <c r="L42" s="2" t="s">
        <v>32</v>
      </c>
      <c r="M42" s="19">
        <f t="shared" si="0"/>
        <v>6</v>
      </c>
      <c r="N42" s="2" t="s">
        <v>120</v>
      </c>
      <c r="O42" s="2" t="s">
        <v>268</v>
      </c>
      <c r="P42" s="2" t="s">
        <v>122</v>
      </c>
      <c r="Q42" s="2"/>
      <c r="R42" s="2" t="s">
        <v>239</v>
      </c>
      <c r="S42" s="2" t="s">
        <v>269</v>
      </c>
      <c r="T42" s="2" t="s">
        <v>37</v>
      </c>
      <c r="U42" s="2" t="s">
        <v>147</v>
      </c>
      <c r="V42" s="2">
        <v>3</v>
      </c>
      <c r="W42" s="2" t="s">
        <v>148</v>
      </c>
    </row>
    <row r="43" spans="1:23" ht="34" customHeight="1">
      <c r="A43" s="2" t="s">
        <v>224</v>
      </c>
      <c r="B43" s="2" t="s">
        <v>270</v>
      </c>
      <c r="C43" s="4">
        <v>0.4</v>
      </c>
      <c r="D43" s="4">
        <v>0.1</v>
      </c>
      <c r="E43" s="6">
        <v>1</v>
      </c>
      <c r="F43" s="7"/>
      <c r="G43" s="8">
        <v>1E-3</v>
      </c>
      <c r="H43" s="8" t="s">
        <v>205</v>
      </c>
      <c r="I43" s="2" t="s">
        <v>180</v>
      </c>
      <c r="J43" s="2" t="s">
        <v>50</v>
      </c>
      <c r="K43" s="2" t="s">
        <v>101</v>
      </c>
      <c r="L43" s="2" t="s">
        <v>32</v>
      </c>
      <c r="M43" s="19">
        <f t="shared" si="0"/>
        <v>5</v>
      </c>
      <c r="N43" s="2" t="s">
        <v>206</v>
      </c>
      <c r="O43" s="2" t="s">
        <v>271</v>
      </c>
      <c r="P43" s="2" t="s">
        <v>45</v>
      </c>
      <c r="Q43" s="2" t="s">
        <v>65</v>
      </c>
      <c r="R43" s="2" t="s">
        <v>239</v>
      </c>
      <c r="S43" s="2"/>
      <c r="T43" s="2" t="s">
        <v>37</v>
      </c>
      <c r="U43" s="2"/>
      <c r="V43" s="2">
        <v>4</v>
      </c>
      <c r="W43" s="2"/>
    </row>
    <row r="44" spans="1:23" ht="34" customHeight="1">
      <c r="A44" s="2" t="s">
        <v>224</v>
      </c>
      <c r="B44" s="2" t="s">
        <v>272</v>
      </c>
      <c r="C44" s="6">
        <v>4</v>
      </c>
      <c r="D44" s="5">
        <v>1.35</v>
      </c>
      <c r="E44" s="5">
        <v>1.95</v>
      </c>
      <c r="F44" s="7"/>
      <c r="G44" s="6">
        <v>10</v>
      </c>
      <c r="H44" s="6" t="s">
        <v>273</v>
      </c>
      <c r="I44" s="2" t="s">
        <v>29</v>
      </c>
      <c r="J44" s="2" t="s">
        <v>41</v>
      </c>
      <c r="K44" s="2" t="s">
        <v>78</v>
      </c>
      <c r="L44" s="2" t="s">
        <v>32</v>
      </c>
      <c r="M44" s="19">
        <f t="shared" si="0"/>
        <v>5</v>
      </c>
      <c r="N44" s="2" t="s">
        <v>274</v>
      </c>
      <c r="O44" s="2" t="s">
        <v>275</v>
      </c>
      <c r="P44" s="2" t="s">
        <v>130</v>
      </c>
      <c r="Q44" s="2" t="s">
        <v>65</v>
      </c>
      <c r="R44" s="2" t="s">
        <v>276</v>
      </c>
      <c r="S44" s="2" t="s">
        <v>277</v>
      </c>
      <c r="T44" s="2" t="s">
        <v>37</v>
      </c>
      <c r="U44" s="2"/>
      <c r="V44" s="2">
        <v>4</v>
      </c>
      <c r="W44" s="2"/>
    </row>
    <row r="45" spans="1:23" ht="34" customHeight="1">
      <c r="A45" s="2" t="s">
        <v>224</v>
      </c>
      <c r="B45" s="2" t="s">
        <v>278</v>
      </c>
      <c r="C45" s="6">
        <v>4</v>
      </c>
      <c r="D45" s="5">
        <v>1.35</v>
      </c>
      <c r="E45" s="4">
        <v>1.8</v>
      </c>
      <c r="F45" s="7"/>
      <c r="G45" s="4">
        <v>8.5</v>
      </c>
      <c r="H45" s="4" t="s">
        <v>273</v>
      </c>
      <c r="I45" s="2" t="s">
        <v>29</v>
      </c>
      <c r="J45" s="2" t="s">
        <v>41</v>
      </c>
      <c r="K45" s="2" t="s">
        <v>78</v>
      </c>
      <c r="L45" s="2" t="s">
        <v>32</v>
      </c>
      <c r="M45" s="19">
        <f t="shared" si="0"/>
        <v>5</v>
      </c>
      <c r="N45" s="2" t="s">
        <v>274</v>
      </c>
      <c r="O45" s="2" t="s">
        <v>279</v>
      </c>
      <c r="P45" s="2" t="s">
        <v>130</v>
      </c>
      <c r="Q45" s="2" t="s">
        <v>65</v>
      </c>
      <c r="R45" s="2" t="s">
        <v>276</v>
      </c>
      <c r="S45" s="2"/>
      <c r="T45" s="2" t="s">
        <v>37</v>
      </c>
      <c r="U45" s="2"/>
      <c r="V45" s="2">
        <v>4</v>
      </c>
      <c r="W45" s="2"/>
    </row>
    <row r="46" spans="1:23" ht="34" customHeight="1">
      <c r="A46" s="2" t="s">
        <v>224</v>
      </c>
      <c r="B46" s="2" t="s">
        <v>280</v>
      </c>
      <c r="C46" s="4">
        <v>5.2</v>
      </c>
      <c r="D46" s="4">
        <v>1.7</v>
      </c>
      <c r="E46" s="7"/>
      <c r="F46" s="7"/>
      <c r="G46" s="4">
        <v>10.4</v>
      </c>
      <c r="H46" s="4" t="s">
        <v>226</v>
      </c>
      <c r="I46" s="2" t="s">
        <v>29</v>
      </c>
      <c r="J46" s="2" t="s">
        <v>41</v>
      </c>
      <c r="K46" s="2" t="s">
        <v>281</v>
      </c>
      <c r="L46" s="2" t="s">
        <v>32</v>
      </c>
      <c r="M46" s="19">
        <f t="shared" si="0"/>
        <v>4</v>
      </c>
      <c r="N46" s="2" t="s">
        <v>282</v>
      </c>
      <c r="O46" s="2" t="s">
        <v>283</v>
      </c>
      <c r="P46" s="2" t="s">
        <v>45</v>
      </c>
      <c r="Q46" s="2" t="s">
        <v>147</v>
      </c>
      <c r="R46" s="2" t="s">
        <v>284</v>
      </c>
      <c r="S46" s="2" t="s">
        <v>231</v>
      </c>
      <c r="T46" s="2" t="s">
        <v>37</v>
      </c>
      <c r="U46" s="2"/>
      <c r="V46" s="2">
        <v>3</v>
      </c>
      <c r="W46" s="2"/>
    </row>
    <row r="47" spans="1:23" ht="34" customHeight="1">
      <c r="A47" s="2" t="s">
        <v>224</v>
      </c>
      <c r="B47" s="2" t="s">
        <v>285</v>
      </c>
      <c r="C47" s="4">
        <v>0.3</v>
      </c>
      <c r="D47" s="5">
        <v>0.24</v>
      </c>
      <c r="E47" s="6">
        <v>2</v>
      </c>
      <c r="F47" s="7"/>
      <c r="G47" s="4">
        <v>0.1</v>
      </c>
      <c r="H47" s="4" t="s">
        <v>261</v>
      </c>
      <c r="I47" s="2" t="s">
        <v>180</v>
      </c>
      <c r="J47" s="2" t="s">
        <v>72</v>
      </c>
      <c r="K47" s="2" t="s">
        <v>101</v>
      </c>
      <c r="L47" s="2" t="s">
        <v>79</v>
      </c>
      <c r="M47" s="19">
        <f t="shared" si="0"/>
        <v>5</v>
      </c>
      <c r="N47" s="2" t="s">
        <v>206</v>
      </c>
      <c r="O47" s="2" t="s">
        <v>286</v>
      </c>
      <c r="P47" s="2" t="s">
        <v>45</v>
      </c>
      <c r="Q47" s="2" t="s">
        <v>65</v>
      </c>
      <c r="R47" s="2" t="s">
        <v>287</v>
      </c>
      <c r="S47" s="2"/>
      <c r="T47" s="2" t="s">
        <v>37</v>
      </c>
      <c r="U47" s="2"/>
      <c r="V47" s="2">
        <v>4</v>
      </c>
      <c r="W47" s="2"/>
    </row>
    <row r="48" spans="1:23" ht="37" customHeight="1">
      <c r="A48" s="2" t="s">
        <v>224</v>
      </c>
      <c r="B48" s="2" t="s">
        <v>288</v>
      </c>
      <c r="C48" s="5">
        <v>0.41</v>
      </c>
      <c r="D48" s="5">
        <v>0.11</v>
      </c>
      <c r="E48" s="6">
        <v>1</v>
      </c>
      <c r="F48" s="12">
        <v>0</v>
      </c>
      <c r="G48" s="5">
        <v>0.05</v>
      </c>
      <c r="H48" s="5" t="s">
        <v>48</v>
      </c>
      <c r="I48" s="2" t="s">
        <v>60</v>
      </c>
      <c r="J48" s="2" t="s">
        <v>61</v>
      </c>
      <c r="K48" s="2" t="s">
        <v>151</v>
      </c>
      <c r="L48" s="2" t="s">
        <v>32</v>
      </c>
      <c r="M48" s="19">
        <f t="shared" si="0"/>
        <v>6</v>
      </c>
      <c r="N48" s="2" t="s">
        <v>63</v>
      </c>
      <c r="O48" s="2" t="s">
        <v>289</v>
      </c>
      <c r="P48" s="2" t="s">
        <v>45</v>
      </c>
      <c r="Q48" s="2"/>
      <c r="R48" s="2" t="s">
        <v>290</v>
      </c>
      <c r="S48" s="2"/>
      <c r="T48" s="2" t="s">
        <v>37</v>
      </c>
      <c r="U48" s="2" t="s">
        <v>65</v>
      </c>
      <c r="V48" s="2">
        <v>4</v>
      </c>
      <c r="W48" s="2" t="s">
        <v>66</v>
      </c>
    </row>
    <row r="49" spans="1:23" ht="37" customHeight="1">
      <c r="A49" s="2" t="s">
        <v>224</v>
      </c>
      <c r="B49" s="2" t="s">
        <v>291</v>
      </c>
      <c r="C49" s="4">
        <v>0.4</v>
      </c>
      <c r="D49" s="7" t="s">
        <v>292</v>
      </c>
      <c r="E49" s="12">
        <v>1</v>
      </c>
      <c r="F49" s="12">
        <v>0</v>
      </c>
      <c r="G49" s="8">
        <v>5.0000000000000001E-3</v>
      </c>
      <c r="H49" s="8" t="s">
        <v>293</v>
      </c>
      <c r="I49" s="2" t="s">
        <v>294</v>
      </c>
      <c r="J49" s="2" t="s">
        <v>72</v>
      </c>
      <c r="K49" s="2" t="s">
        <v>42</v>
      </c>
      <c r="L49" s="2" t="s">
        <v>32</v>
      </c>
      <c r="M49" s="19">
        <f t="shared" si="0"/>
        <v>6</v>
      </c>
      <c r="N49" s="2" t="s">
        <v>295</v>
      </c>
      <c r="O49" s="2" t="s">
        <v>296</v>
      </c>
      <c r="P49" s="2" t="s">
        <v>45</v>
      </c>
      <c r="Q49" s="2"/>
      <c r="R49" s="2" t="s">
        <v>239</v>
      </c>
      <c r="S49" s="2"/>
      <c r="T49" s="2" t="s">
        <v>37</v>
      </c>
      <c r="U49" s="2" t="s">
        <v>147</v>
      </c>
      <c r="V49" s="2">
        <v>3</v>
      </c>
      <c r="W49" s="2" t="s">
        <v>297</v>
      </c>
    </row>
    <row r="50" spans="1:23" ht="34" customHeight="1">
      <c r="A50" s="2" t="s">
        <v>224</v>
      </c>
      <c r="B50" s="2" t="s">
        <v>298</v>
      </c>
      <c r="C50" s="4">
        <v>8.5</v>
      </c>
      <c r="D50" s="5">
        <v>2.42</v>
      </c>
      <c r="E50" s="5">
        <v>1.65</v>
      </c>
      <c r="F50" s="5">
        <v>0.33</v>
      </c>
      <c r="G50" s="4">
        <v>12.3</v>
      </c>
      <c r="H50" s="4" t="s">
        <v>299</v>
      </c>
      <c r="I50" s="2" t="s">
        <v>29</v>
      </c>
      <c r="J50" s="2" t="s">
        <v>41</v>
      </c>
      <c r="K50" s="2" t="s">
        <v>42</v>
      </c>
      <c r="L50" s="2" t="s">
        <v>32</v>
      </c>
      <c r="M50" s="19">
        <f t="shared" si="0"/>
        <v>6</v>
      </c>
      <c r="N50" s="2" t="s">
        <v>300</v>
      </c>
      <c r="O50" s="2" t="s">
        <v>301</v>
      </c>
      <c r="P50" s="2" t="s">
        <v>45</v>
      </c>
      <c r="Q50" s="2"/>
      <c r="R50" s="2" t="s">
        <v>302</v>
      </c>
      <c r="S50" s="2"/>
      <c r="T50" s="2" t="s">
        <v>37</v>
      </c>
      <c r="U50" s="2"/>
      <c r="V50" s="2">
        <v>5</v>
      </c>
      <c r="W50" s="2"/>
    </row>
    <row r="51" spans="1:23" ht="64" customHeight="1">
      <c r="A51" s="2" t="s">
        <v>224</v>
      </c>
      <c r="B51" s="2" t="s">
        <v>303</v>
      </c>
      <c r="C51" s="4">
        <v>0.9</v>
      </c>
      <c r="D51" s="5">
        <v>0.25</v>
      </c>
      <c r="E51" s="12">
        <v>1</v>
      </c>
      <c r="F51" s="12">
        <v>0</v>
      </c>
      <c r="G51" s="5">
        <v>0.17</v>
      </c>
      <c r="H51" s="5" t="s">
        <v>304</v>
      </c>
      <c r="I51" s="2" t="s">
        <v>60</v>
      </c>
      <c r="J51" s="2" t="s">
        <v>50</v>
      </c>
      <c r="K51" s="2" t="s">
        <v>119</v>
      </c>
      <c r="L51" s="2" t="s">
        <v>32</v>
      </c>
      <c r="M51" s="19">
        <f t="shared" si="0"/>
        <v>6</v>
      </c>
      <c r="N51" s="2" t="s">
        <v>120</v>
      </c>
      <c r="O51" s="2" t="s">
        <v>305</v>
      </c>
      <c r="P51" s="2" t="s">
        <v>122</v>
      </c>
      <c r="Q51" s="2"/>
      <c r="R51" s="2" t="s">
        <v>306</v>
      </c>
      <c r="S51" s="2" t="s">
        <v>307</v>
      </c>
      <c r="T51" s="2" t="s">
        <v>37</v>
      </c>
      <c r="U51" s="2" t="s">
        <v>147</v>
      </c>
      <c r="V51" s="2">
        <v>3</v>
      </c>
      <c r="W51" s="2" t="s">
        <v>148</v>
      </c>
    </row>
    <row r="52" spans="1:23" ht="34" customHeight="1">
      <c r="A52" s="2" t="s">
        <v>224</v>
      </c>
      <c r="B52" s="2" t="s">
        <v>308</v>
      </c>
      <c r="C52" s="4">
        <v>0.6</v>
      </c>
      <c r="D52" s="4">
        <v>0.1</v>
      </c>
      <c r="E52" s="7"/>
      <c r="F52" s="7"/>
      <c r="G52" s="5">
        <v>0.02</v>
      </c>
      <c r="H52" s="5" t="s">
        <v>309</v>
      </c>
      <c r="I52" s="2" t="s">
        <v>310</v>
      </c>
      <c r="J52" s="2" t="s">
        <v>50</v>
      </c>
      <c r="K52" s="2" t="s">
        <v>119</v>
      </c>
      <c r="L52" s="2" t="s">
        <v>32</v>
      </c>
      <c r="M52" s="19">
        <f t="shared" si="0"/>
        <v>4</v>
      </c>
      <c r="N52" s="2" t="s">
        <v>311</v>
      </c>
      <c r="O52" s="2" t="s">
        <v>312</v>
      </c>
      <c r="P52" s="2" t="s">
        <v>122</v>
      </c>
      <c r="Q52" s="2" t="s">
        <v>147</v>
      </c>
      <c r="R52" s="2" t="s">
        <v>306</v>
      </c>
      <c r="S52" s="2"/>
      <c r="T52" s="2" t="s">
        <v>37</v>
      </c>
      <c r="U52" s="2"/>
      <c r="V52" s="2">
        <v>3</v>
      </c>
      <c r="W52" s="2"/>
    </row>
    <row r="53" spans="1:23" ht="34" customHeight="1">
      <c r="A53" s="2" t="s">
        <v>224</v>
      </c>
      <c r="B53" s="2" t="s">
        <v>313</v>
      </c>
      <c r="C53" s="5">
        <v>1.31</v>
      </c>
      <c r="D53" s="5">
        <v>0.35</v>
      </c>
      <c r="E53" s="7" t="s">
        <v>314</v>
      </c>
      <c r="F53" s="7" t="s">
        <v>315</v>
      </c>
      <c r="G53" s="4">
        <v>0.2</v>
      </c>
      <c r="H53" s="4" t="s">
        <v>198</v>
      </c>
      <c r="I53" s="2" t="s">
        <v>316</v>
      </c>
      <c r="J53" s="2" t="s">
        <v>61</v>
      </c>
      <c r="K53" s="2" t="s">
        <v>317</v>
      </c>
      <c r="L53" s="2" t="s">
        <v>32</v>
      </c>
      <c r="M53" s="19">
        <f t="shared" si="0"/>
        <v>6</v>
      </c>
      <c r="N53" s="2" t="s">
        <v>318</v>
      </c>
      <c r="O53" s="2" t="s">
        <v>319</v>
      </c>
      <c r="P53" s="2" t="s">
        <v>45</v>
      </c>
      <c r="Q53" s="2"/>
      <c r="R53" s="2" t="s">
        <v>320</v>
      </c>
      <c r="S53" s="2" t="s">
        <v>321</v>
      </c>
      <c r="T53" s="2" t="s">
        <v>37</v>
      </c>
      <c r="U53" s="2"/>
      <c r="V53" s="2">
        <v>5</v>
      </c>
      <c r="W53" s="2"/>
    </row>
    <row r="54" spans="1:23" ht="64" customHeight="1">
      <c r="A54" s="2" t="s">
        <v>224</v>
      </c>
      <c r="B54" s="2" t="s">
        <v>322</v>
      </c>
      <c r="C54" s="5">
        <v>0.93</v>
      </c>
      <c r="D54" s="5">
        <v>0.23</v>
      </c>
      <c r="E54" s="12">
        <v>1</v>
      </c>
      <c r="F54" s="12">
        <v>0</v>
      </c>
      <c r="G54" s="5">
        <v>0.16</v>
      </c>
      <c r="H54" s="5" t="s">
        <v>323</v>
      </c>
      <c r="I54" s="2" t="s">
        <v>60</v>
      </c>
      <c r="J54" s="2" t="s">
        <v>50</v>
      </c>
      <c r="K54" s="2" t="s">
        <v>119</v>
      </c>
      <c r="L54" s="2" t="s">
        <v>236</v>
      </c>
      <c r="M54" s="19">
        <f t="shared" si="0"/>
        <v>6</v>
      </c>
      <c r="N54" s="2" t="s">
        <v>120</v>
      </c>
      <c r="O54" s="2" t="s">
        <v>324</v>
      </c>
      <c r="P54" s="2" t="s">
        <v>122</v>
      </c>
      <c r="Q54" s="2"/>
      <c r="R54" s="2" t="s">
        <v>239</v>
      </c>
      <c r="S54" s="2" t="s">
        <v>325</v>
      </c>
      <c r="T54" s="2" t="s">
        <v>326</v>
      </c>
      <c r="U54" s="2" t="s">
        <v>147</v>
      </c>
      <c r="V54" s="2">
        <v>3</v>
      </c>
      <c r="W54" s="2" t="s">
        <v>148</v>
      </c>
    </row>
    <row r="55" spans="1:23" ht="64" customHeight="1">
      <c r="A55" s="2" t="s">
        <v>224</v>
      </c>
      <c r="B55" s="2" t="s">
        <v>327</v>
      </c>
      <c r="C55" s="5">
        <v>0.91</v>
      </c>
      <c r="D55" s="5">
        <v>0.23</v>
      </c>
      <c r="E55" s="12">
        <v>1</v>
      </c>
      <c r="F55" s="12">
        <v>0</v>
      </c>
      <c r="G55" s="5">
        <v>0.22</v>
      </c>
      <c r="H55" s="5" t="s">
        <v>76</v>
      </c>
      <c r="I55" s="2" t="s">
        <v>328</v>
      </c>
      <c r="J55" s="2" t="s">
        <v>50</v>
      </c>
      <c r="K55" s="2" t="s">
        <v>329</v>
      </c>
      <c r="L55" s="2" t="s">
        <v>32</v>
      </c>
      <c r="M55" s="19">
        <f t="shared" si="0"/>
        <v>6</v>
      </c>
      <c r="N55" s="2" t="s">
        <v>330</v>
      </c>
      <c r="O55" s="2" t="s">
        <v>331</v>
      </c>
      <c r="P55" s="2" t="s">
        <v>35</v>
      </c>
      <c r="Q55" s="2"/>
      <c r="R55" s="2" t="s">
        <v>332</v>
      </c>
      <c r="S55" s="2" t="s">
        <v>333</v>
      </c>
      <c r="T55" s="2" t="s">
        <v>37</v>
      </c>
      <c r="U55" s="2" t="s">
        <v>147</v>
      </c>
      <c r="V55" s="2">
        <v>3</v>
      </c>
      <c r="W55" s="2" t="s">
        <v>148</v>
      </c>
    </row>
    <row r="56" spans="1:23" ht="37" customHeight="1">
      <c r="A56" s="2" t="s">
        <v>224</v>
      </c>
      <c r="B56" s="2" t="s">
        <v>334</v>
      </c>
      <c r="C56" s="5">
        <v>2.96</v>
      </c>
      <c r="D56" s="5">
        <v>1.18</v>
      </c>
      <c r="E56" s="5">
        <v>1.95</v>
      </c>
      <c r="F56" s="5">
        <v>0.53</v>
      </c>
      <c r="G56" s="4">
        <v>5.5</v>
      </c>
      <c r="H56" s="4" t="s">
        <v>335</v>
      </c>
      <c r="I56" s="2" t="s">
        <v>29</v>
      </c>
      <c r="J56" s="2" t="s">
        <v>336</v>
      </c>
      <c r="K56" s="2" t="s">
        <v>337</v>
      </c>
      <c r="L56" s="2" t="s">
        <v>32</v>
      </c>
      <c r="M56" s="19">
        <f t="shared" si="0"/>
        <v>6</v>
      </c>
      <c r="N56" s="2" t="s">
        <v>338</v>
      </c>
      <c r="O56" s="2" t="s">
        <v>339</v>
      </c>
      <c r="P56" s="2" t="s">
        <v>45</v>
      </c>
      <c r="Q56" s="2"/>
      <c r="R56" s="2" t="s">
        <v>340</v>
      </c>
      <c r="S56" s="2" t="s">
        <v>341</v>
      </c>
      <c r="T56" s="2" t="s">
        <v>37</v>
      </c>
      <c r="U56" s="2"/>
      <c r="V56" s="2">
        <v>5</v>
      </c>
      <c r="W56" s="2"/>
    </row>
    <row r="57" spans="1:23" ht="34" customHeight="1">
      <c r="A57" s="2" t="s">
        <v>224</v>
      </c>
      <c r="B57" s="2" t="s">
        <v>342</v>
      </c>
      <c r="C57" s="5">
        <v>3.22</v>
      </c>
      <c r="D57" s="5">
        <v>0.79</v>
      </c>
      <c r="E57" s="5">
        <v>1.45</v>
      </c>
      <c r="F57" s="5">
        <v>0.32</v>
      </c>
      <c r="G57" s="4">
        <v>1.5</v>
      </c>
      <c r="H57" s="4" t="s">
        <v>343</v>
      </c>
      <c r="I57" s="2" t="s">
        <v>344</v>
      </c>
      <c r="J57" s="2" t="s">
        <v>345</v>
      </c>
      <c r="K57" s="2" t="s">
        <v>281</v>
      </c>
      <c r="L57" s="2" t="s">
        <v>32</v>
      </c>
      <c r="M57" s="19">
        <f t="shared" si="0"/>
        <v>6</v>
      </c>
      <c r="N57" s="2" t="s">
        <v>346</v>
      </c>
      <c r="O57" s="2" t="s">
        <v>347</v>
      </c>
      <c r="P57" s="2" t="s">
        <v>45</v>
      </c>
      <c r="Q57" s="2"/>
      <c r="R57" s="2" t="s">
        <v>348</v>
      </c>
      <c r="S57" s="2" t="s">
        <v>349</v>
      </c>
      <c r="T57" s="2" t="s">
        <v>37</v>
      </c>
      <c r="U57" s="2"/>
      <c r="V57" s="2">
        <v>5</v>
      </c>
      <c r="W57" s="2"/>
    </row>
    <row r="58" spans="1:23" ht="34" customHeight="1">
      <c r="A58" s="2" t="s">
        <v>224</v>
      </c>
      <c r="B58" s="2" t="s">
        <v>350</v>
      </c>
      <c r="C58" s="6">
        <v>3</v>
      </c>
      <c r="D58" s="4">
        <v>0.9</v>
      </c>
      <c r="E58" s="7"/>
      <c r="F58" s="7"/>
      <c r="G58" s="4">
        <v>3.2</v>
      </c>
      <c r="H58" s="4" t="s">
        <v>351</v>
      </c>
      <c r="I58" s="2" t="s">
        <v>71</v>
      </c>
      <c r="J58" s="2" t="s">
        <v>61</v>
      </c>
      <c r="K58" s="2" t="s">
        <v>352</v>
      </c>
      <c r="L58" s="2" t="s">
        <v>32</v>
      </c>
      <c r="M58" s="19">
        <f t="shared" si="0"/>
        <v>4</v>
      </c>
      <c r="N58" s="2" t="s">
        <v>353</v>
      </c>
      <c r="O58" s="2" t="s">
        <v>354</v>
      </c>
      <c r="P58" s="2" t="s">
        <v>130</v>
      </c>
      <c r="Q58" s="2" t="s">
        <v>147</v>
      </c>
      <c r="R58" s="2" t="s">
        <v>355</v>
      </c>
      <c r="S58" s="2" t="s">
        <v>356</v>
      </c>
      <c r="T58" s="2" t="s">
        <v>37</v>
      </c>
      <c r="U58" s="2"/>
      <c r="V58" s="2">
        <v>3</v>
      </c>
      <c r="W58" s="2"/>
    </row>
    <row r="59" spans="1:23" ht="34" customHeight="1">
      <c r="A59" s="2" t="s">
        <v>224</v>
      </c>
      <c r="B59" s="2" t="s">
        <v>357</v>
      </c>
      <c r="C59" s="5">
        <v>0.25</v>
      </c>
      <c r="D59" s="4">
        <v>0.2</v>
      </c>
      <c r="E59" s="5">
        <v>1.34</v>
      </c>
      <c r="F59" s="7"/>
      <c r="G59" s="8">
        <v>4.0000000000000001E-3</v>
      </c>
      <c r="H59" s="8" t="s">
        <v>257</v>
      </c>
      <c r="I59" s="2" t="s">
        <v>180</v>
      </c>
      <c r="J59" s="2" t="s">
        <v>72</v>
      </c>
      <c r="K59" s="2" t="s">
        <v>101</v>
      </c>
      <c r="L59" s="2" t="s">
        <v>79</v>
      </c>
      <c r="M59" s="19">
        <f t="shared" si="0"/>
        <v>5</v>
      </c>
      <c r="N59" s="2" t="s">
        <v>206</v>
      </c>
      <c r="O59" s="2" t="s">
        <v>358</v>
      </c>
      <c r="P59" s="2" t="s">
        <v>45</v>
      </c>
      <c r="Q59" s="2" t="s">
        <v>65</v>
      </c>
      <c r="R59" s="2" t="s">
        <v>359</v>
      </c>
      <c r="S59" s="2"/>
      <c r="T59" s="2" t="s">
        <v>37</v>
      </c>
      <c r="U59" s="2"/>
      <c r="V59" s="2">
        <v>4</v>
      </c>
      <c r="W59" s="2"/>
    </row>
    <row r="60" spans="1:23" ht="37" customHeight="1">
      <c r="A60" s="2" t="s">
        <v>224</v>
      </c>
      <c r="B60" s="2" t="s">
        <v>360</v>
      </c>
      <c r="C60" s="7"/>
      <c r="D60" s="7"/>
      <c r="E60" s="7"/>
      <c r="F60" s="7"/>
      <c r="G60" s="7"/>
      <c r="H60" s="7" t="s">
        <v>117</v>
      </c>
      <c r="I60" s="2" t="s">
        <v>49</v>
      </c>
      <c r="J60" s="2" t="s">
        <v>50</v>
      </c>
      <c r="K60" s="2" t="s">
        <v>42</v>
      </c>
      <c r="L60" s="2" t="s">
        <v>32</v>
      </c>
      <c r="M60" s="19">
        <f t="shared" si="0"/>
        <v>1</v>
      </c>
      <c r="N60" s="2" t="s">
        <v>181</v>
      </c>
      <c r="O60" s="2" t="s">
        <v>361</v>
      </c>
      <c r="P60" s="2" t="s">
        <v>54</v>
      </c>
      <c r="Q60" s="2" t="s">
        <v>55</v>
      </c>
      <c r="R60" s="2" t="s">
        <v>359</v>
      </c>
      <c r="S60" s="2" t="s">
        <v>362</v>
      </c>
      <c r="T60" s="2" t="s">
        <v>37</v>
      </c>
      <c r="U60" s="2"/>
      <c r="V60" s="2">
        <v>0</v>
      </c>
      <c r="W60" s="2"/>
    </row>
    <row r="61" spans="1:23" ht="34" customHeight="1">
      <c r="A61" s="2" t="s">
        <v>224</v>
      </c>
      <c r="B61" s="2" t="s">
        <v>363</v>
      </c>
      <c r="C61" s="8">
        <v>6.2E-2</v>
      </c>
      <c r="D61" s="8">
        <v>5.1999999999999998E-2</v>
      </c>
      <c r="E61" s="6">
        <v>10</v>
      </c>
      <c r="F61" s="7"/>
      <c r="G61" s="5">
        <v>0.34</v>
      </c>
      <c r="H61" s="5" t="s">
        <v>86</v>
      </c>
      <c r="I61" s="2" t="s">
        <v>180</v>
      </c>
      <c r="J61" s="2" t="s">
        <v>50</v>
      </c>
      <c r="K61" s="2" t="s">
        <v>101</v>
      </c>
      <c r="L61" s="2" t="s">
        <v>79</v>
      </c>
      <c r="M61" s="19">
        <f t="shared" si="0"/>
        <v>5</v>
      </c>
      <c r="N61" s="2" t="s">
        <v>206</v>
      </c>
      <c r="O61" s="2" t="s">
        <v>364</v>
      </c>
      <c r="P61" s="2" t="s">
        <v>45</v>
      </c>
      <c r="Q61" s="2" t="s">
        <v>65</v>
      </c>
      <c r="R61" s="2" t="s">
        <v>365</v>
      </c>
      <c r="S61" s="2"/>
      <c r="T61" s="2" t="s">
        <v>37</v>
      </c>
      <c r="U61" s="2"/>
      <c r="V61" s="2">
        <v>4</v>
      </c>
      <c r="W61" s="2"/>
    </row>
    <row r="62" spans="1:23" ht="37" customHeight="1">
      <c r="A62" s="2" t="s">
        <v>224</v>
      </c>
      <c r="B62" s="2" t="s">
        <v>366</v>
      </c>
      <c r="C62" s="5">
        <v>0.33</v>
      </c>
      <c r="D62" s="5">
        <v>0.09</v>
      </c>
      <c r="E62" s="12">
        <v>1</v>
      </c>
      <c r="F62" s="12">
        <v>0</v>
      </c>
      <c r="G62" s="8">
        <v>5.0000000000000001E-3</v>
      </c>
      <c r="H62" s="8" t="s">
        <v>243</v>
      </c>
      <c r="I62" s="2" t="s">
        <v>150</v>
      </c>
      <c r="J62" s="2" t="s">
        <v>72</v>
      </c>
      <c r="K62" s="2" t="s">
        <v>42</v>
      </c>
      <c r="L62" s="2" t="s">
        <v>32</v>
      </c>
      <c r="M62" s="19">
        <f t="shared" si="0"/>
        <v>6</v>
      </c>
      <c r="N62" s="2" t="s">
        <v>367</v>
      </c>
      <c r="O62" s="2" t="s">
        <v>368</v>
      </c>
      <c r="P62" s="2" t="s">
        <v>45</v>
      </c>
      <c r="Q62" s="2"/>
      <c r="R62" s="2" t="s">
        <v>369</v>
      </c>
      <c r="S62" s="2"/>
      <c r="T62" s="2" t="s">
        <v>37</v>
      </c>
      <c r="U62" s="2" t="s">
        <v>147</v>
      </c>
      <c r="V62" s="2">
        <v>3</v>
      </c>
      <c r="W62" s="2" t="s">
        <v>370</v>
      </c>
    </row>
    <row r="63" spans="1:23" ht="34" customHeight="1">
      <c r="A63" s="2" t="s">
        <v>224</v>
      </c>
      <c r="B63" s="2" t="s">
        <v>371</v>
      </c>
      <c r="C63" s="4">
        <v>0.7</v>
      </c>
      <c r="D63" s="5">
        <v>0.25</v>
      </c>
      <c r="E63" s="7"/>
      <c r="F63" s="7"/>
      <c r="G63" s="8">
        <v>7.4999999999999997E-2</v>
      </c>
      <c r="H63" s="8" t="s">
        <v>243</v>
      </c>
      <c r="I63" s="2" t="s">
        <v>29</v>
      </c>
      <c r="J63" s="2" t="s">
        <v>72</v>
      </c>
      <c r="K63" s="2" t="s">
        <v>42</v>
      </c>
      <c r="L63" s="2" t="s">
        <v>32</v>
      </c>
      <c r="M63" s="19">
        <f t="shared" si="0"/>
        <v>4</v>
      </c>
      <c r="N63" s="2" t="s">
        <v>181</v>
      </c>
      <c r="O63" s="2" t="s">
        <v>372</v>
      </c>
      <c r="P63" s="2" t="s">
        <v>45</v>
      </c>
      <c r="Q63" s="2" t="s">
        <v>147</v>
      </c>
      <c r="R63" s="2" t="s">
        <v>373</v>
      </c>
      <c r="S63" s="2"/>
      <c r="T63" s="2" t="s">
        <v>37</v>
      </c>
      <c r="U63" s="2"/>
      <c r="V63" s="2">
        <v>3</v>
      </c>
      <c r="W63" s="2"/>
    </row>
    <row r="64" spans="1:23" ht="34" customHeight="1">
      <c r="A64" s="2" t="s">
        <v>224</v>
      </c>
      <c r="B64" s="2" t="s">
        <v>374</v>
      </c>
      <c r="C64" s="5">
        <v>0.64</v>
      </c>
      <c r="D64" s="5">
        <v>0.36</v>
      </c>
      <c r="E64" s="4">
        <v>2.5</v>
      </c>
      <c r="F64" s="4">
        <v>0.7</v>
      </c>
      <c r="G64" s="4">
        <v>0.3</v>
      </c>
      <c r="H64" s="4" t="s">
        <v>375</v>
      </c>
      <c r="I64" s="2" t="s">
        <v>376</v>
      </c>
      <c r="J64" s="2" t="s">
        <v>72</v>
      </c>
      <c r="K64" s="2" t="s">
        <v>42</v>
      </c>
      <c r="L64" s="2" t="s">
        <v>79</v>
      </c>
      <c r="M64" s="19">
        <f t="shared" si="0"/>
        <v>6</v>
      </c>
      <c r="N64" s="2" t="s">
        <v>377</v>
      </c>
      <c r="O64" s="2" t="s">
        <v>378</v>
      </c>
      <c r="P64" s="2" t="s">
        <v>45</v>
      </c>
      <c r="Q64" s="2"/>
      <c r="R64" s="2" t="s">
        <v>373</v>
      </c>
      <c r="S64" s="2"/>
      <c r="T64" s="2" t="s">
        <v>37</v>
      </c>
      <c r="U64" s="2"/>
      <c r="V64" s="2">
        <v>5</v>
      </c>
      <c r="W64" s="2"/>
    </row>
    <row r="65" spans="1:23" ht="34" customHeight="1">
      <c r="A65" s="2" t="s">
        <v>224</v>
      </c>
      <c r="B65" s="2" t="s">
        <v>379</v>
      </c>
      <c r="C65" s="4">
        <v>5.5</v>
      </c>
      <c r="D65" s="4">
        <v>2.1</v>
      </c>
      <c r="E65" s="6">
        <v>2</v>
      </c>
      <c r="F65" s="5">
        <v>0.35</v>
      </c>
      <c r="G65" s="4">
        <v>16.7</v>
      </c>
      <c r="H65" s="4" t="s">
        <v>380</v>
      </c>
      <c r="I65" s="2" t="s">
        <v>29</v>
      </c>
      <c r="J65" s="2" t="s">
        <v>41</v>
      </c>
      <c r="K65" s="2" t="s">
        <v>381</v>
      </c>
      <c r="L65" s="2" t="s">
        <v>32</v>
      </c>
      <c r="M65" s="19">
        <f t="shared" si="0"/>
        <v>6</v>
      </c>
      <c r="N65" s="2" t="s">
        <v>382</v>
      </c>
      <c r="O65" s="2" t="s">
        <v>383</v>
      </c>
      <c r="P65" s="2" t="s">
        <v>45</v>
      </c>
      <c r="Q65" s="2"/>
      <c r="R65" s="2" t="s">
        <v>384</v>
      </c>
      <c r="S65" s="2" t="s">
        <v>385</v>
      </c>
      <c r="T65" s="2" t="s">
        <v>37</v>
      </c>
      <c r="U65" s="2"/>
      <c r="V65" s="2">
        <v>5</v>
      </c>
      <c r="W65" s="2"/>
    </row>
    <row r="66" spans="1:23" ht="34" customHeight="1">
      <c r="A66" s="2" t="s">
        <v>224</v>
      </c>
      <c r="B66" s="2" t="s">
        <v>386</v>
      </c>
      <c r="C66" s="6">
        <v>7</v>
      </c>
      <c r="D66" s="5">
        <v>1.75</v>
      </c>
      <c r="E66" s="4">
        <v>1.8</v>
      </c>
      <c r="F66" s="4">
        <v>0.3</v>
      </c>
      <c r="G66" s="6">
        <v>12</v>
      </c>
      <c r="H66" s="6" t="s">
        <v>387</v>
      </c>
      <c r="I66" s="2" t="s">
        <v>180</v>
      </c>
      <c r="J66" s="2" t="s">
        <v>41</v>
      </c>
      <c r="K66" s="2" t="s">
        <v>227</v>
      </c>
      <c r="L66" s="2" t="s">
        <v>32</v>
      </c>
      <c r="M66" s="19">
        <f t="shared" si="0"/>
        <v>6</v>
      </c>
      <c r="N66" s="2" t="s">
        <v>388</v>
      </c>
      <c r="O66" s="2" t="s">
        <v>389</v>
      </c>
      <c r="P66" s="2" t="s">
        <v>35</v>
      </c>
      <c r="Q66" s="2"/>
      <c r="R66" s="2" t="s">
        <v>230</v>
      </c>
      <c r="S66" s="2" t="s">
        <v>231</v>
      </c>
      <c r="T66" s="2" t="s">
        <v>37</v>
      </c>
      <c r="U66" s="2"/>
      <c r="V66" s="2">
        <v>5</v>
      </c>
      <c r="W66" s="2"/>
    </row>
    <row r="67" spans="1:23" ht="34" customHeight="1">
      <c r="A67" s="2" t="s">
        <v>224</v>
      </c>
      <c r="B67" s="2" t="s">
        <v>390</v>
      </c>
      <c r="C67" s="4">
        <v>0.4</v>
      </c>
      <c r="D67" s="4">
        <v>0.1</v>
      </c>
      <c r="E67" s="7" t="s">
        <v>391</v>
      </c>
      <c r="F67" s="7"/>
      <c r="G67" s="5">
        <v>0.05</v>
      </c>
      <c r="H67" s="5" t="s">
        <v>392</v>
      </c>
      <c r="I67" s="2" t="s">
        <v>180</v>
      </c>
      <c r="J67" s="2" t="s">
        <v>50</v>
      </c>
      <c r="K67" s="2" t="s">
        <v>119</v>
      </c>
      <c r="L67" s="2" t="s">
        <v>32</v>
      </c>
      <c r="M67" s="19">
        <f t="shared" si="0"/>
        <v>5</v>
      </c>
      <c r="N67" s="2" t="s">
        <v>120</v>
      </c>
      <c r="O67" s="2" t="s">
        <v>393</v>
      </c>
      <c r="P67" s="2" t="s">
        <v>122</v>
      </c>
      <c r="Q67" s="2" t="s">
        <v>65</v>
      </c>
      <c r="R67" s="2" t="s">
        <v>394</v>
      </c>
      <c r="S67" s="2" t="s">
        <v>395</v>
      </c>
      <c r="T67" s="2" t="s">
        <v>37</v>
      </c>
      <c r="U67" s="2"/>
      <c r="V67" s="2">
        <v>4</v>
      </c>
      <c r="W67" s="2"/>
    </row>
    <row r="68" spans="1:23" ht="34" customHeight="1">
      <c r="A68" s="2" t="s">
        <v>224</v>
      </c>
      <c r="B68" s="2" t="s">
        <v>396</v>
      </c>
      <c r="C68" s="4">
        <v>0.4</v>
      </c>
      <c r="D68" s="4">
        <v>0.1</v>
      </c>
      <c r="E68" s="7" t="s">
        <v>391</v>
      </c>
      <c r="F68" s="7"/>
      <c r="G68" s="5">
        <v>0.04</v>
      </c>
      <c r="H68" s="5" t="s">
        <v>392</v>
      </c>
      <c r="I68" s="2" t="s">
        <v>180</v>
      </c>
      <c r="J68" s="2" t="s">
        <v>50</v>
      </c>
      <c r="K68" s="2" t="s">
        <v>119</v>
      </c>
      <c r="L68" s="2" t="s">
        <v>32</v>
      </c>
      <c r="M68" s="19">
        <f t="shared" si="0"/>
        <v>5</v>
      </c>
      <c r="N68" s="2" t="s">
        <v>120</v>
      </c>
      <c r="O68" s="2" t="s">
        <v>397</v>
      </c>
      <c r="P68" s="2" t="s">
        <v>122</v>
      </c>
      <c r="Q68" s="2" t="s">
        <v>65</v>
      </c>
      <c r="R68" s="2" t="s">
        <v>394</v>
      </c>
      <c r="S68" s="2" t="s">
        <v>398</v>
      </c>
      <c r="T68" s="2" t="s">
        <v>37</v>
      </c>
      <c r="U68" s="2"/>
      <c r="V68" s="2">
        <v>4</v>
      </c>
      <c r="W68" s="2"/>
    </row>
    <row r="69" spans="1:23" ht="34" customHeight="1">
      <c r="A69" s="2" t="s">
        <v>224</v>
      </c>
      <c r="B69" s="2" t="s">
        <v>399</v>
      </c>
      <c r="C69" s="4">
        <v>0.3</v>
      </c>
      <c r="D69" s="5">
        <v>0.06</v>
      </c>
      <c r="E69" s="7"/>
      <c r="F69" s="7"/>
      <c r="G69" s="5">
        <v>0.01</v>
      </c>
      <c r="H69" s="5" t="s">
        <v>400</v>
      </c>
      <c r="I69" s="2" t="s">
        <v>180</v>
      </c>
      <c r="J69" s="2" t="s">
        <v>50</v>
      </c>
      <c r="K69" s="2" t="s">
        <v>119</v>
      </c>
      <c r="L69" s="2" t="s">
        <v>32</v>
      </c>
      <c r="M69" s="19">
        <f t="shared" si="0"/>
        <v>4</v>
      </c>
      <c r="N69" s="2" t="s">
        <v>120</v>
      </c>
      <c r="O69" s="2" t="s">
        <v>401</v>
      </c>
      <c r="P69" s="2" t="s">
        <v>122</v>
      </c>
      <c r="Q69" s="2" t="s">
        <v>147</v>
      </c>
      <c r="R69" s="2" t="s">
        <v>369</v>
      </c>
      <c r="S69" s="2" t="s">
        <v>402</v>
      </c>
      <c r="T69" s="2" t="s">
        <v>37</v>
      </c>
      <c r="U69" s="2"/>
      <c r="V69" s="2">
        <v>3</v>
      </c>
      <c r="W69" s="2"/>
    </row>
    <row r="70" spans="1:23" ht="34" customHeight="1">
      <c r="A70" s="2" t="s">
        <v>224</v>
      </c>
      <c r="B70" s="2" t="s">
        <v>403</v>
      </c>
      <c r="C70" s="4">
        <v>0.3</v>
      </c>
      <c r="D70" s="5">
        <v>0.08</v>
      </c>
      <c r="E70" s="6">
        <v>1</v>
      </c>
      <c r="F70" s="7"/>
      <c r="G70" s="8">
        <v>1.0999999999999999E-2</v>
      </c>
      <c r="H70" s="8" t="s">
        <v>404</v>
      </c>
      <c r="I70" s="2" t="s">
        <v>180</v>
      </c>
      <c r="J70" s="2" t="s">
        <v>50</v>
      </c>
      <c r="K70" s="2" t="s">
        <v>101</v>
      </c>
      <c r="L70" s="2" t="s">
        <v>32</v>
      </c>
      <c r="M70" s="19">
        <f t="shared" ref="M70:M133" si="1">6-COUNTBLANK(C70:H70)</f>
        <v>5</v>
      </c>
      <c r="N70" s="2" t="s">
        <v>206</v>
      </c>
      <c r="O70" s="2" t="s">
        <v>405</v>
      </c>
      <c r="P70" s="2" t="s">
        <v>45</v>
      </c>
      <c r="Q70" s="2" t="s">
        <v>65</v>
      </c>
      <c r="R70" s="2" t="s">
        <v>369</v>
      </c>
      <c r="S70" s="2"/>
      <c r="T70" s="2" t="s">
        <v>37</v>
      </c>
      <c r="U70" s="2"/>
      <c r="V70" s="2">
        <v>4</v>
      </c>
      <c r="W70" s="2"/>
    </row>
    <row r="71" spans="1:23" ht="37" customHeight="1">
      <c r="A71" s="2" t="s">
        <v>224</v>
      </c>
      <c r="B71" s="2" t="s">
        <v>406</v>
      </c>
      <c r="C71" s="7"/>
      <c r="D71" s="7"/>
      <c r="E71" s="7" t="s">
        <v>407</v>
      </c>
      <c r="F71" s="7"/>
      <c r="G71" s="7"/>
      <c r="H71" s="7" t="s">
        <v>408</v>
      </c>
      <c r="I71" s="2" t="s">
        <v>409</v>
      </c>
      <c r="J71" s="2" t="s">
        <v>50</v>
      </c>
      <c r="K71" s="2" t="s">
        <v>42</v>
      </c>
      <c r="L71" s="2" t="s">
        <v>236</v>
      </c>
      <c r="M71" s="19">
        <f t="shared" si="1"/>
        <v>2</v>
      </c>
      <c r="N71" s="2" t="s">
        <v>237</v>
      </c>
      <c r="O71" s="2" t="s">
        <v>410</v>
      </c>
      <c r="P71" s="2" t="s">
        <v>45</v>
      </c>
      <c r="Q71" s="2" t="s">
        <v>411</v>
      </c>
      <c r="R71" s="2" t="s">
        <v>239</v>
      </c>
      <c r="S71" s="2" t="s">
        <v>240</v>
      </c>
      <c r="T71" s="2" t="s">
        <v>241</v>
      </c>
      <c r="U71" s="2"/>
      <c r="V71" s="2">
        <v>1</v>
      </c>
      <c r="W71" s="2"/>
    </row>
    <row r="72" spans="1:23" ht="34" customHeight="1">
      <c r="A72" s="2" t="s">
        <v>224</v>
      </c>
      <c r="B72" s="2" t="s">
        <v>412</v>
      </c>
      <c r="C72" s="5">
        <v>0.11</v>
      </c>
      <c r="D72" s="8">
        <v>4.4999999999999998E-2</v>
      </c>
      <c r="E72" s="7"/>
      <c r="F72" s="7"/>
      <c r="G72" s="9">
        <v>2.5000000000000001E-3</v>
      </c>
      <c r="H72" s="9" t="s">
        <v>408</v>
      </c>
      <c r="I72" s="2" t="s">
        <v>413</v>
      </c>
      <c r="J72" s="2" t="s">
        <v>72</v>
      </c>
      <c r="K72" s="2" t="s">
        <v>42</v>
      </c>
      <c r="L72" s="2" t="s">
        <v>236</v>
      </c>
      <c r="M72" s="19">
        <f t="shared" si="1"/>
        <v>4</v>
      </c>
      <c r="N72" s="2" t="s">
        <v>414</v>
      </c>
      <c r="O72" s="2" t="s">
        <v>415</v>
      </c>
      <c r="P72" s="2" t="s">
        <v>45</v>
      </c>
      <c r="Q72" s="2" t="s">
        <v>147</v>
      </c>
      <c r="R72" s="2" t="s">
        <v>239</v>
      </c>
      <c r="S72" s="2" t="s">
        <v>416</v>
      </c>
      <c r="T72" s="2" t="s">
        <v>326</v>
      </c>
      <c r="U72" s="2"/>
      <c r="V72" s="2">
        <v>3</v>
      </c>
      <c r="W72" s="2"/>
    </row>
    <row r="73" spans="1:23" ht="64" customHeight="1">
      <c r="A73" s="2" t="s">
        <v>224</v>
      </c>
      <c r="B73" s="2" t="s">
        <v>417</v>
      </c>
      <c r="C73" s="5">
        <v>0.25</v>
      </c>
      <c r="D73" s="7"/>
      <c r="E73" s="12">
        <v>1</v>
      </c>
      <c r="F73" s="12">
        <v>0</v>
      </c>
      <c r="G73" s="7"/>
      <c r="H73" s="7"/>
      <c r="I73" s="2" t="s">
        <v>60</v>
      </c>
      <c r="J73" s="2" t="s">
        <v>50</v>
      </c>
      <c r="K73" s="2" t="s">
        <v>119</v>
      </c>
      <c r="L73" s="2" t="s">
        <v>32</v>
      </c>
      <c r="M73" s="19">
        <f t="shared" si="1"/>
        <v>3</v>
      </c>
      <c r="N73" s="2" t="s">
        <v>120</v>
      </c>
      <c r="O73" s="2" t="s">
        <v>418</v>
      </c>
      <c r="P73" s="2" t="s">
        <v>122</v>
      </c>
      <c r="Q73" s="2" t="s">
        <v>419</v>
      </c>
      <c r="R73" s="2" t="s">
        <v>394</v>
      </c>
      <c r="S73" s="2"/>
      <c r="T73" s="2" t="s">
        <v>37</v>
      </c>
      <c r="U73" s="2" t="s">
        <v>147</v>
      </c>
      <c r="V73" s="2">
        <v>1</v>
      </c>
      <c r="W73" s="2" t="s">
        <v>148</v>
      </c>
    </row>
    <row r="74" spans="1:23" ht="64" customHeight="1">
      <c r="A74" s="2" t="s">
        <v>224</v>
      </c>
      <c r="B74" s="2" t="s">
        <v>420</v>
      </c>
      <c r="C74" s="4">
        <v>0.3</v>
      </c>
      <c r="D74" s="5">
        <v>0.12</v>
      </c>
      <c r="E74" s="12">
        <v>1</v>
      </c>
      <c r="F74" s="12">
        <v>0</v>
      </c>
      <c r="G74" s="5">
        <v>0.02</v>
      </c>
      <c r="H74" s="5" t="s">
        <v>293</v>
      </c>
      <c r="I74" s="2" t="s">
        <v>60</v>
      </c>
      <c r="J74" s="2" t="s">
        <v>50</v>
      </c>
      <c r="K74" s="2" t="s">
        <v>119</v>
      </c>
      <c r="L74" s="2" t="s">
        <v>32</v>
      </c>
      <c r="M74" s="19">
        <f t="shared" si="1"/>
        <v>6</v>
      </c>
      <c r="N74" s="2" t="s">
        <v>120</v>
      </c>
      <c r="O74" s="2" t="s">
        <v>421</v>
      </c>
      <c r="P74" s="2" t="s">
        <v>122</v>
      </c>
      <c r="Q74" s="2"/>
      <c r="R74" s="2" t="s">
        <v>394</v>
      </c>
      <c r="S74" s="2"/>
      <c r="T74" s="2" t="s">
        <v>37</v>
      </c>
      <c r="U74" s="2" t="s">
        <v>147</v>
      </c>
      <c r="V74" s="2">
        <v>3</v>
      </c>
      <c r="W74" s="2" t="s">
        <v>148</v>
      </c>
    </row>
    <row r="75" spans="1:23" ht="64" customHeight="1">
      <c r="A75" s="2" t="s">
        <v>224</v>
      </c>
      <c r="B75" s="2" t="s">
        <v>422</v>
      </c>
      <c r="C75" s="5">
        <v>0.38</v>
      </c>
      <c r="D75" s="5">
        <v>0.13</v>
      </c>
      <c r="E75" s="12">
        <v>1</v>
      </c>
      <c r="F75" s="12">
        <v>0</v>
      </c>
      <c r="G75" s="7"/>
      <c r="H75" s="7" t="s">
        <v>293</v>
      </c>
      <c r="I75" s="2" t="s">
        <v>60</v>
      </c>
      <c r="J75" s="2" t="s">
        <v>50</v>
      </c>
      <c r="K75" s="2" t="s">
        <v>119</v>
      </c>
      <c r="L75" s="2" t="s">
        <v>236</v>
      </c>
      <c r="M75" s="19">
        <f t="shared" si="1"/>
        <v>5</v>
      </c>
      <c r="N75" s="2" t="s">
        <v>120</v>
      </c>
      <c r="O75" s="2" t="s">
        <v>423</v>
      </c>
      <c r="P75" s="2" t="s">
        <v>122</v>
      </c>
      <c r="Q75" s="2" t="s">
        <v>222</v>
      </c>
      <c r="R75" s="2" t="s">
        <v>394</v>
      </c>
      <c r="S75" s="2" t="s">
        <v>424</v>
      </c>
      <c r="T75" s="2" t="s">
        <v>326</v>
      </c>
      <c r="U75" s="2" t="s">
        <v>147</v>
      </c>
      <c r="V75" s="2">
        <v>2</v>
      </c>
      <c r="W75" s="2" t="s">
        <v>148</v>
      </c>
    </row>
    <row r="76" spans="1:23" ht="34" customHeight="1">
      <c r="A76" s="2" t="s">
        <v>224</v>
      </c>
      <c r="B76" s="2" t="s">
        <v>425</v>
      </c>
      <c r="C76" s="5">
        <v>0.25</v>
      </c>
      <c r="D76" s="5">
        <v>0.04</v>
      </c>
      <c r="E76" s="7"/>
      <c r="F76" s="7"/>
      <c r="G76" s="8">
        <v>4.7E-2</v>
      </c>
      <c r="H76" s="8" t="s">
        <v>426</v>
      </c>
      <c r="I76" s="2" t="s">
        <v>180</v>
      </c>
      <c r="J76" s="2" t="s">
        <v>50</v>
      </c>
      <c r="K76" s="2" t="s">
        <v>119</v>
      </c>
      <c r="L76" s="2" t="s">
        <v>32</v>
      </c>
      <c r="M76" s="19">
        <f t="shared" si="1"/>
        <v>4</v>
      </c>
      <c r="N76" s="2" t="s">
        <v>120</v>
      </c>
      <c r="O76" s="2" t="s">
        <v>427</v>
      </c>
      <c r="P76" s="2" t="s">
        <v>122</v>
      </c>
      <c r="Q76" s="2" t="s">
        <v>147</v>
      </c>
      <c r="R76" s="2" t="s">
        <v>373</v>
      </c>
      <c r="S76" s="2" t="s">
        <v>428</v>
      </c>
      <c r="T76" s="2" t="s">
        <v>37</v>
      </c>
      <c r="U76" s="2"/>
      <c r="V76" s="2">
        <v>3</v>
      </c>
      <c r="W76" s="2"/>
    </row>
    <row r="77" spans="1:23" ht="34" customHeight="1">
      <c r="A77" s="2" t="s">
        <v>224</v>
      </c>
      <c r="B77" s="2" t="s">
        <v>429</v>
      </c>
      <c r="C77" s="5">
        <v>0.84</v>
      </c>
      <c r="D77" s="5">
        <v>0.13</v>
      </c>
      <c r="E77" s="4">
        <v>1.5</v>
      </c>
      <c r="F77" s="7"/>
      <c r="G77" s="5">
        <v>0.43</v>
      </c>
      <c r="H77" s="5" t="s">
        <v>430</v>
      </c>
      <c r="I77" s="2" t="s">
        <v>180</v>
      </c>
      <c r="J77" s="2" t="s">
        <v>61</v>
      </c>
      <c r="K77" s="2" t="s">
        <v>101</v>
      </c>
      <c r="L77" s="2" t="s">
        <v>32</v>
      </c>
      <c r="M77" s="19">
        <f t="shared" si="1"/>
        <v>5</v>
      </c>
      <c r="N77" s="2" t="s">
        <v>206</v>
      </c>
      <c r="O77" s="2" t="s">
        <v>431</v>
      </c>
      <c r="P77" s="2" t="s">
        <v>45</v>
      </c>
      <c r="Q77" s="2" t="s">
        <v>65</v>
      </c>
      <c r="R77" s="2" t="s">
        <v>373</v>
      </c>
      <c r="S77" s="2"/>
      <c r="T77" s="2" t="s">
        <v>37</v>
      </c>
      <c r="U77" s="2"/>
      <c r="V77" s="2">
        <v>4</v>
      </c>
      <c r="W77" s="2"/>
    </row>
    <row r="78" spans="1:23" ht="34" customHeight="1">
      <c r="A78" s="2" t="s">
        <v>224</v>
      </c>
      <c r="B78" s="2" t="s">
        <v>432</v>
      </c>
      <c r="C78" s="4">
        <v>0.2</v>
      </c>
      <c r="D78" s="5">
        <v>0.14000000000000001</v>
      </c>
      <c r="E78" s="6">
        <v>2</v>
      </c>
      <c r="F78" s="7"/>
      <c r="G78" s="5">
        <v>0.08</v>
      </c>
      <c r="H78" s="5" t="s">
        <v>433</v>
      </c>
      <c r="I78" s="2" t="s">
        <v>180</v>
      </c>
      <c r="J78" s="2" t="s">
        <v>50</v>
      </c>
      <c r="K78" s="2" t="s">
        <v>101</v>
      </c>
      <c r="L78" s="2" t="s">
        <v>236</v>
      </c>
      <c r="M78" s="19">
        <f t="shared" si="1"/>
        <v>5</v>
      </c>
      <c r="N78" s="2" t="s">
        <v>206</v>
      </c>
      <c r="O78" s="2" t="s">
        <v>434</v>
      </c>
      <c r="P78" s="2" t="s">
        <v>45</v>
      </c>
      <c r="Q78" s="2" t="s">
        <v>65</v>
      </c>
      <c r="R78" s="2" t="s">
        <v>394</v>
      </c>
      <c r="S78" s="2"/>
      <c r="T78" s="2" t="s">
        <v>326</v>
      </c>
      <c r="U78" s="2"/>
      <c r="V78" s="2">
        <v>4</v>
      </c>
      <c r="W78" s="2"/>
    </row>
    <row r="79" spans="1:23" ht="34" customHeight="1">
      <c r="A79" s="2" t="s">
        <v>224</v>
      </c>
      <c r="B79" s="2" t="s">
        <v>435</v>
      </c>
      <c r="C79" s="5">
        <v>0.55000000000000004</v>
      </c>
      <c r="D79" s="5">
        <v>0.45</v>
      </c>
      <c r="E79" s="6">
        <v>3</v>
      </c>
      <c r="F79" s="7"/>
      <c r="G79" s="4">
        <v>0.3</v>
      </c>
      <c r="H79" s="4" t="s">
        <v>436</v>
      </c>
      <c r="I79" s="2" t="s">
        <v>180</v>
      </c>
      <c r="J79" s="2" t="s">
        <v>50</v>
      </c>
      <c r="K79" s="2" t="s">
        <v>101</v>
      </c>
      <c r="L79" s="2" t="s">
        <v>236</v>
      </c>
      <c r="M79" s="19">
        <f t="shared" si="1"/>
        <v>5</v>
      </c>
      <c r="N79" s="2" t="s">
        <v>206</v>
      </c>
      <c r="O79" s="2" t="s">
        <v>437</v>
      </c>
      <c r="P79" s="2" t="s">
        <v>45</v>
      </c>
      <c r="Q79" s="2" t="s">
        <v>65</v>
      </c>
      <c r="R79" s="2" t="s">
        <v>394</v>
      </c>
      <c r="S79" s="2"/>
      <c r="T79" s="2" t="s">
        <v>326</v>
      </c>
      <c r="U79" s="2"/>
      <c r="V79" s="2">
        <v>4</v>
      </c>
      <c r="W79" s="2"/>
    </row>
    <row r="80" spans="1:23" ht="34" customHeight="1">
      <c r="A80" s="2" t="s">
        <v>224</v>
      </c>
      <c r="B80" s="2" t="s">
        <v>438</v>
      </c>
      <c r="C80" s="5">
        <v>0.36</v>
      </c>
      <c r="D80" s="5">
        <v>0.23</v>
      </c>
      <c r="E80" s="7"/>
      <c r="F80" s="7"/>
      <c r="G80" s="4">
        <v>0.2</v>
      </c>
      <c r="H80" s="4" t="s">
        <v>243</v>
      </c>
      <c r="I80" s="2" t="s">
        <v>180</v>
      </c>
      <c r="J80" s="2" t="s">
        <v>72</v>
      </c>
      <c r="K80" s="2" t="s">
        <v>42</v>
      </c>
      <c r="L80" s="2" t="s">
        <v>79</v>
      </c>
      <c r="M80" s="19">
        <f t="shared" si="1"/>
        <v>4</v>
      </c>
      <c r="N80" s="2" t="s">
        <v>181</v>
      </c>
      <c r="O80" s="2" t="s">
        <v>439</v>
      </c>
      <c r="P80" s="2" t="s">
        <v>45</v>
      </c>
      <c r="Q80" s="2" t="s">
        <v>147</v>
      </c>
      <c r="R80" s="2" t="s">
        <v>394</v>
      </c>
      <c r="S80" s="2" t="s">
        <v>440</v>
      </c>
      <c r="T80" s="2" t="s">
        <v>37</v>
      </c>
      <c r="U80" s="2"/>
      <c r="V80" s="2">
        <v>3</v>
      </c>
      <c r="W80" s="2"/>
    </row>
    <row r="81" spans="1:23" ht="34" customHeight="1">
      <c r="A81" s="2" t="s">
        <v>224</v>
      </c>
      <c r="B81" s="2" t="s">
        <v>441</v>
      </c>
      <c r="C81" s="7" t="s">
        <v>442</v>
      </c>
      <c r="D81" s="7" t="s">
        <v>443</v>
      </c>
      <c r="E81" s="7" t="s">
        <v>444</v>
      </c>
      <c r="F81" s="7"/>
      <c r="G81" s="7" t="s">
        <v>445</v>
      </c>
      <c r="H81" s="7" t="s">
        <v>243</v>
      </c>
      <c r="I81" s="2" t="s">
        <v>71</v>
      </c>
      <c r="J81" s="2" t="s">
        <v>50</v>
      </c>
      <c r="K81" s="2" t="s">
        <v>446</v>
      </c>
      <c r="L81" s="2" t="s">
        <v>79</v>
      </c>
      <c r="M81" s="19">
        <f t="shared" si="1"/>
        <v>5</v>
      </c>
      <c r="N81" s="2" t="s">
        <v>447</v>
      </c>
      <c r="O81" s="2" t="s">
        <v>448</v>
      </c>
      <c r="P81" s="2" t="s">
        <v>130</v>
      </c>
      <c r="Q81" s="2" t="s">
        <v>65</v>
      </c>
      <c r="R81" s="2" t="s">
        <v>394</v>
      </c>
      <c r="S81" s="2" t="s">
        <v>449</v>
      </c>
      <c r="T81" s="2" t="s">
        <v>37</v>
      </c>
      <c r="U81" s="2"/>
      <c r="V81" s="2">
        <v>4</v>
      </c>
      <c r="W81" s="2"/>
    </row>
    <row r="82" spans="1:23" ht="34" customHeight="1">
      <c r="A82" s="2" t="s">
        <v>224</v>
      </c>
      <c r="B82" s="2" t="s">
        <v>450</v>
      </c>
      <c r="C82" s="5">
        <v>0.35</v>
      </c>
      <c r="D82" s="4">
        <v>0.2</v>
      </c>
      <c r="E82" s="7"/>
      <c r="F82" s="7"/>
      <c r="G82" s="4">
        <v>0.1</v>
      </c>
      <c r="H82" s="4" t="s">
        <v>375</v>
      </c>
      <c r="I82" s="2" t="s">
        <v>180</v>
      </c>
      <c r="J82" s="2" t="s">
        <v>72</v>
      </c>
      <c r="K82" s="2" t="s">
        <v>42</v>
      </c>
      <c r="L82" s="2" t="s">
        <v>79</v>
      </c>
      <c r="M82" s="19">
        <f t="shared" si="1"/>
        <v>4</v>
      </c>
      <c r="N82" s="2" t="s">
        <v>181</v>
      </c>
      <c r="O82" s="2" t="s">
        <v>451</v>
      </c>
      <c r="P82" s="2" t="s">
        <v>45</v>
      </c>
      <c r="Q82" s="2" t="s">
        <v>147</v>
      </c>
      <c r="R82" s="2" t="s">
        <v>394</v>
      </c>
      <c r="S82" s="2"/>
      <c r="T82" s="2" t="s">
        <v>37</v>
      </c>
      <c r="U82" s="2"/>
      <c r="V82" s="2">
        <v>3</v>
      </c>
      <c r="W82" s="2"/>
    </row>
    <row r="83" spans="1:23" ht="64" customHeight="1">
      <c r="A83" s="2" t="s">
        <v>224</v>
      </c>
      <c r="B83" s="2" t="s">
        <v>452</v>
      </c>
      <c r="C83" s="5">
        <v>0.28000000000000003</v>
      </c>
      <c r="D83" s="7"/>
      <c r="E83" s="12">
        <v>1</v>
      </c>
      <c r="F83" s="12">
        <v>0</v>
      </c>
      <c r="G83" s="7"/>
      <c r="H83" s="7" t="s">
        <v>194</v>
      </c>
      <c r="I83" s="2" t="s">
        <v>60</v>
      </c>
      <c r="J83" s="2" t="s">
        <v>50</v>
      </c>
      <c r="K83" s="2" t="s">
        <v>119</v>
      </c>
      <c r="L83" s="2" t="s">
        <v>32</v>
      </c>
      <c r="M83" s="19">
        <f t="shared" si="1"/>
        <v>4</v>
      </c>
      <c r="N83" s="2" t="s">
        <v>120</v>
      </c>
      <c r="O83" s="2" t="s">
        <v>453</v>
      </c>
      <c r="P83" s="2" t="s">
        <v>122</v>
      </c>
      <c r="Q83" s="2" t="s">
        <v>419</v>
      </c>
      <c r="R83" s="2" t="s">
        <v>359</v>
      </c>
      <c r="S83" s="2"/>
      <c r="T83" s="2" t="s">
        <v>37</v>
      </c>
      <c r="U83" s="2" t="s">
        <v>147</v>
      </c>
      <c r="V83" s="2">
        <v>1</v>
      </c>
      <c r="W83" s="2" t="s">
        <v>148</v>
      </c>
    </row>
    <row r="84" spans="1:23" ht="64" customHeight="1">
      <c r="A84" s="2" t="s">
        <v>224</v>
      </c>
      <c r="B84" s="2" t="s">
        <v>454</v>
      </c>
      <c r="C84" s="4">
        <v>0.4</v>
      </c>
      <c r="D84" s="5">
        <v>0.09</v>
      </c>
      <c r="E84" s="12">
        <v>1</v>
      </c>
      <c r="F84" s="12">
        <v>0</v>
      </c>
      <c r="G84" s="5">
        <v>0.03</v>
      </c>
      <c r="H84" s="5" t="s">
        <v>455</v>
      </c>
      <c r="I84" s="2" t="s">
        <v>60</v>
      </c>
      <c r="J84" s="2" t="s">
        <v>50</v>
      </c>
      <c r="K84" s="2" t="s">
        <v>119</v>
      </c>
      <c r="L84" s="2" t="s">
        <v>32</v>
      </c>
      <c r="M84" s="19">
        <f t="shared" si="1"/>
        <v>6</v>
      </c>
      <c r="N84" s="2" t="s">
        <v>120</v>
      </c>
      <c r="O84" s="2" t="s">
        <v>456</v>
      </c>
      <c r="P84" s="2" t="s">
        <v>122</v>
      </c>
      <c r="Q84" s="2"/>
      <c r="R84" s="2" t="s">
        <v>359</v>
      </c>
      <c r="S84" s="2" t="s">
        <v>457</v>
      </c>
      <c r="T84" s="2" t="s">
        <v>37</v>
      </c>
      <c r="U84" s="2" t="s">
        <v>147</v>
      </c>
      <c r="V84" s="2">
        <v>3</v>
      </c>
      <c r="W84" s="2" t="s">
        <v>148</v>
      </c>
    </row>
    <row r="85" spans="1:23" ht="37" customHeight="1">
      <c r="A85" s="2" t="s">
        <v>224</v>
      </c>
      <c r="B85" s="2" t="s">
        <v>458</v>
      </c>
      <c r="C85" s="5">
        <v>0.65</v>
      </c>
      <c r="D85" s="4">
        <v>0.2</v>
      </c>
      <c r="E85" s="6">
        <v>1</v>
      </c>
      <c r="F85" s="12">
        <v>0</v>
      </c>
      <c r="G85" s="5">
        <v>0.15</v>
      </c>
      <c r="H85" s="5" t="s">
        <v>459</v>
      </c>
      <c r="I85" s="2" t="s">
        <v>60</v>
      </c>
      <c r="J85" s="2" t="s">
        <v>61</v>
      </c>
      <c r="K85" s="2" t="s">
        <v>460</v>
      </c>
      <c r="L85" s="2" t="s">
        <v>32</v>
      </c>
      <c r="M85" s="19">
        <f t="shared" si="1"/>
        <v>6</v>
      </c>
      <c r="N85" s="2" t="s">
        <v>63</v>
      </c>
      <c r="O85" s="2" t="s">
        <v>461</v>
      </c>
      <c r="P85" s="2" t="s">
        <v>45</v>
      </c>
      <c r="Q85" s="2"/>
      <c r="R85" s="2" t="s">
        <v>359</v>
      </c>
      <c r="S85" s="2"/>
      <c r="T85" s="2" t="s">
        <v>37</v>
      </c>
      <c r="U85" s="2" t="s">
        <v>65</v>
      </c>
      <c r="V85" s="2">
        <v>4</v>
      </c>
      <c r="W85" s="2" t="s">
        <v>66</v>
      </c>
    </row>
    <row r="86" spans="1:23" ht="34" customHeight="1">
      <c r="A86" s="2" t="s">
        <v>462</v>
      </c>
      <c r="B86" s="2" t="s">
        <v>463</v>
      </c>
      <c r="C86" s="7" t="s">
        <v>464</v>
      </c>
      <c r="D86" s="7" t="s">
        <v>465</v>
      </c>
      <c r="E86" s="7" t="s">
        <v>466</v>
      </c>
      <c r="F86" s="7"/>
      <c r="G86" s="7" t="s">
        <v>467</v>
      </c>
      <c r="H86" s="7" t="s">
        <v>243</v>
      </c>
      <c r="I86" s="2" t="s">
        <v>29</v>
      </c>
      <c r="J86" s="2" t="s">
        <v>41</v>
      </c>
      <c r="K86" s="2" t="s">
        <v>199</v>
      </c>
      <c r="L86" s="2" t="s">
        <v>32</v>
      </c>
      <c r="M86" s="19">
        <f t="shared" si="1"/>
        <v>5</v>
      </c>
      <c r="N86" s="2" t="s">
        <v>468</v>
      </c>
      <c r="O86" s="2" t="s">
        <v>469</v>
      </c>
      <c r="P86" s="2" t="s">
        <v>45</v>
      </c>
      <c r="Q86" s="2" t="s">
        <v>65</v>
      </c>
      <c r="R86" s="2" t="s">
        <v>470</v>
      </c>
      <c r="S86" s="2" t="s">
        <v>471</v>
      </c>
      <c r="T86" s="2" t="s">
        <v>37</v>
      </c>
      <c r="U86" s="2"/>
      <c r="V86" s="2">
        <v>4</v>
      </c>
      <c r="W86" s="2"/>
    </row>
    <row r="87" spans="1:23" ht="34" customHeight="1">
      <c r="A87" s="2" t="s">
        <v>462</v>
      </c>
      <c r="B87" s="2" t="s">
        <v>472</v>
      </c>
      <c r="C87" s="7" t="s">
        <v>466</v>
      </c>
      <c r="D87" s="7" t="s">
        <v>473</v>
      </c>
      <c r="E87" s="7" t="s">
        <v>466</v>
      </c>
      <c r="F87" s="7"/>
      <c r="G87" s="7" t="s">
        <v>474</v>
      </c>
      <c r="H87" s="7" t="s">
        <v>243</v>
      </c>
      <c r="I87" s="2" t="s">
        <v>29</v>
      </c>
      <c r="J87" s="2" t="s">
        <v>41</v>
      </c>
      <c r="K87" s="2" t="s">
        <v>199</v>
      </c>
      <c r="L87" s="2" t="s">
        <v>79</v>
      </c>
      <c r="M87" s="19">
        <f t="shared" si="1"/>
        <v>5</v>
      </c>
      <c r="N87" s="2" t="s">
        <v>468</v>
      </c>
      <c r="O87" s="2" t="s">
        <v>475</v>
      </c>
      <c r="P87" s="2" t="s">
        <v>45</v>
      </c>
      <c r="Q87" s="2" t="s">
        <v>65</v>
      </c>
      <c r="R87" s="2" t="s">
        <v>470</v>
      </c>
      <c r="S87" s="2" t="s">
        <v>476</v>
      </c>
      <c r="T87" s="2" t="s">
        <v>37</v>
      </c>
      <c r="U87" s="2"/>
      <c r="V87" s="2">
        <v>4</v>
      </c>
      <c r="W87" s="2"/>
    </row>
    <row r="88" spans="1:23" ht="34" customHeight="1">
      <c r="A88" s="2" t="s">
        <v>462</v>
      </c>
      <c r="B88" s="2" t="s">
        <v>477</v>
      </c>
      <c r="C88" s="4">
        <v>6.8</v>
      </c>
      <c r="D88" s="4">
        <v>2.1</v>
      </c>
      <c r="E88" s="4">
        <v>1.8</v>
      </c>
      <c r="F88" s="8">
        <v>0.625</v>
      </c>
      <c r="G88" s="7" t="s">
        <v>478</v>
      </c>
      <c r="H88" s="7" t="s">
        <v>479</v>
      </c>
      <c r="I88" s="2" t="s">
        <v>29</v>
      </c>
      <c r="J88" s="2" t="s">
        <v>41</v>
      </c>
      <c r="K88" s="2" t="s">
        <v>42</v>
      </c>
      <c r="L88" s="2" t="s">
        <v>32</v>
      </c>
      <c r="M88" s="19">
        <f t="shared" si="1"/>
        <v>6</v>
      </c>
      <c r="N88" s="2" t="s">
        <v>480</v>
      </c>
      <c r="O88" s="2" t="s">
        <v>481</v>
      </c>
      <c r="P88" s="2" t="s">
        <v>45</v>
      </c>
      <c r="Q88" s="2"/>
      <c r="R88" s="2" t="s">
        <v>470</v>
      </c>
      <c r="S88" s="2"/>
      <c r="T88" s="2" t="s">
        <v>37</v>
      </c>
      <c r="U88" s="2"/>
      <c r="V88" s="2">
        <v>5</v>
      </c>
      <c r="W88" s="2"/>
    </row>
    <row r="89" spans="1:23" ht="34" customHeight="1">
      <c r="A89" s="2" t="s">
        <v>462</v>
      </c>
      <c r="B89" s="2" t="s">
        <v>482</v>
      </c>
      <c r="C89" s="7" t="s">
        <v>483</v>
      </c>
      <c r="D89" s="7" t="s">
        <v>484</v>
      </c>
      <c r="E89" s="7" t="s">
        <v>407</v>
      </c>
      <c r="F89" s="7" t="s">
        <v>485</v>
      </c>
      <c r="G89" s="7" t="s">
        <v>486</v>
      </c>
      <c r="H89" s="7" t="s">
        <v>479</v>
      </c>
      <c r="I89" s="2" t="s">
        <v>29</v>
      </c>
      <c r="J89" s="2" t="s">
        <v>41</v>
      </c>
      <c r="K89" s="2" t="s">
        <v>487</v>
      </c>
      <c r="L89" s="2" t="s">
        <v>32</v>
      </c>
      <c r="M89" s="19">
        <f t="shared" si="1"/>
        <v>6</v>
      </c>
      <c r="N89" s="2" t="s">
        <v>488</v>
      </c>
      <c r="O89" s="2" t="s">
        <v>489</v>
      </c>
      <c r="P89" s="2" t="s">
        <v>35</v>
      </c>
      <c r="Q89" s="2"/>
      <c r="R89" s="2" t="s">
        <v>470</v>
      </c>
      <c r="S89" s="2" t="s">
        <v>490</v>
      </c>
      <c r="T89" s="2" t="s">
        <v>37</v>
      </c>
      <c r="U89" s="2"/>
      <c r="V89" s="2">
        <v>5</v>
      </c>
      <c r="W89" s="2"/>
    </row>
    <row r="90" spans="1:23" ht="37" customHeight="1">
      <c r="A90" s="2" t="s">
        <v>462</v>
      </c>
      <c r="B90" s="2" t="s">
        <v>491</v>
      </c>
      <c r="C90" s="5">
        <v>0.53</v>
      </c>
      <c r="D90" s="5">
        <v>0.14000000000000001</v>
      </c>
      <c r="E90" s="6">
        <v>1</v>
      </c>
      <c r="F90" s="12">
        <v>0</v>
      </c>
      <c r="G90" s="5">
        <v>0.04</v>
      </c>
      <c r="H90" s="5" t="s">
        <v>293</v>
      </c>
      <c r="I90" s="2" t="s">
        <v>60</v>
      </c>
      <c r="J90" s="2" t="s">
        <v>61</v>
      </c>
      <c r="K90" s="2" t="s">
        <v>62</v>
      </c>
      <c r="L90" s="2" t="s">
        <v>32</v>
      </c>
      <c r="M90" s="19">
        <f t="shared" si="1"/>
        <v>6</v>
      </c>
      <c r="N90" s="2" t="s">
        <v>63</v>
      </c>
      <c r="O90" s="2" t="s">
        <v>492</v>
      </c>
      <c r="P90" s="2" t="s">
        <v>45</v>
      </c>
      <c r="Q90" s="2"/>
      <c r="R90" s="2" t="s">
        <v>493</v>
      </c>
      <c r="S90" s="2"/>
      <c r="T90" s="2" t="s">
        <v>37</v>
      </c>
      <c r="U90" s="2" t="s">
        <v>65</v>
      </c>
      <c r="V90" s="2">
        <v>4</v>
      </c>
      <c r="W90" s="2" t="s">
        <v>66</v>
      </c>
    </row>
    <row r="91" spans="1:23" ht="34" customHeight="1">
      <c r="A91" s="2" t="s">
        <v>462</v>
      </c>
      <c r="B91" s="2" t="s">
        <v>494</v>
      </c>
      <c r="C91" s="4">
        <v>1.8</v>
      </c>
      <c r="D91" s="4">
        <v>0.5</v>
      </c>
      <c r="E91" s="6">
        <v>2</v>
      </c>
      <c r="F91" s="4">
        <v>0.8</v>
      </c>
      <c r="G91" s="6">
        <v>2</v>
      </c>
      <c r="H91" s="6" t="s">
        <v>70</v>
      </c>
      <c r="I91" s="2" t="s">
        <v>29</v>
      </c>
      <c r="J91" s="2" t="s">
        <v>72</v>
      </c>
      <c r="K91" s="2" t="s">
        <v>42</v>
      </c>
      <c r="L91" s="2" t="s">
        <v>32</v>
      </c>
      <c r="M91" s="19">
        <f t="shared" si="1"/>
        <v>6</v>
      </c>
      <c r="N91" s="2" t="s">
        <v>495</v>
      </c>
      <c r="O91" s="2" t="s">
        <v>496</v>
      </c>
      <c r="P91" s="2" t="s">
        <v>45</v>
      </c>
      <c r="Q91" s="2"/>
      <c r="R91" s="2" t="s">
        <v>497</v>
      </c>
      <c r="S91" s="2"/>
      <c r="T91" s="2" t="s">
        <v>37</v>
      </c>
      <c r="U91" s="2"/>
      <c r="V91" s="2">
        <v>5</v>
      </c>
      <c r="W91" s="2"/>
    </row>
    <row r="92" spans="1:23" ht="37" customHeight="1">
      <c r="A92" s="2" t="s">
        <v>462</v>
      </c>
      <c r="B92" s="2" t="s">
        <v>498</v>
      </c>
      <c r="C92" s="5">
        <v>0.27</v>
      </c>
      <c r="D92" s="5">
        <v>0.05</v>
      </c>
      <c r="E92" s="6">
        <v>1</v>
      </c>
      <c r="F92" s="12">
        <v>0</v>
      </c>
      <c r="G92" s="8">
        <v>1.4999999999999999E-2</v>
      </c>
      <c r="H92" s="8" t="s">
        <v>172</v>
      </c>
      <c r="I92" s="2" t="s">
        <v>60</v>
      </c>
      <c r="J92" s="2" t="s">
        <v>50</v>
      </c>
      <c r="K92" s="2" t="s">
        <v>101</v>
      </c>
      <c r="L92" s="2" t="s">
        <v>32</v>
      </c>
      <c r="M92" s="19">
        <f t="shared" si="1"/>
        <v>6</v>
      </c>
      <c r="N92" s="2" t="s">
        <v>63</v>
      </c>
      <c r="O92" s="2" t="s">
        <v>499</v>
      </c>
      <c r="P92" s="2" t="s">
        <v>45</v>
      </c>
      <c r="Q92" s="2"/>
      <c r="R92" s="2" t="s">
        <v>500</v>
      </c>
      <c r="S92" s="2"/>
      <c r="T92" s="2" t="s">
        <v>37</v>
      </c>
      <c r="U92" s="2" t="s">
        <v>65</v>
      </c>
      <c r="V92" s="2">
        <v>4</v>
      </c>
      <c r="W92" s="2" t="s">
        <v>66</v>
      </c>
    </row>
    <row r="93" spans="1:23" ht="34" customHeight="1">
      <c r="A93" s="2" t="s">
        <v>462</v>
      </c>
      <c r="B93" s="2" t="s">
        <v>501</v>
      </c>
      <c r="C93" s="4">
        <v>1.4</v>
      </c>
      <c r="D93" s="5">
        <v>0.25</v>
      </c>
      <c r="E93" s="4">
        <v>1.8</v>
      </c>
      <c r="F93" s="4">
        <v>0.6</v>
      </c>
      <c r="G93" s="4">
        <v>0.5</v>
      </c>
      <c r="H93" s="4" t="s">
        <v>76</v>
      </c>
      <c r="I93" s="2" t="s">
        <v>29</v>
      </c>
      <c r="J93" s="2" t="s">
        <v>41</v>
      </c>
      <c r="K93" s="2" t="s">
        <v>502</v>
      </c>
      <c r="L93" s="2" t="s">
        <v>32</v>
      </c>
      <c r="M93" s="19">
        <f t="shared" si="1"/>
        <v>6</v>
      </c>
      <c r="N93" s="2" t="s">
        <v>503</v>
      </c>
      <c r="O93" s="2" t="s">
        <v>504</v>
      </c>
      <c r="P93" s="2" t="s">
        <v>45</v>
      </c>
      <c r="Q93" s="2"/>
      <c r="R93" s="2" t="s">
        <v>505</v>
      </c>
      <c r="S93" s="2" t="s">
        <v>506</v>
      </c>
      <c r="T93" s="2" t="s">
        <v>37</v>
      </c>
      <c r="U93" s="2"/>
      <c r="V93" s="2">
        <v>5</v>
      </c>
      <c r="W93" s="2"/>
    </row>
    <row r="94" spans="1:23" ht="34" customHeight="1">
      <c r="A94" s="2" t="s">
        <v>462</v>
      </c>
      <c r="B94" s="2" t="s">
        <v>507</v>
      </c>
      <c r="C94" s="5">
        <v>0.45</v>
      </c>
      <c r="D94" s="5">
        <v>0.33</v>
      </c>
      <c r="E94" s="7"/>
      <c r="F94" s="7"/>
      <c r="G94" s="4">
        <v>0.1</v>
      </c>
      <c r="H94" s="4" t="s">
        <v>408</v>
      </c>
      <c r="I94" s="2" t="s">
        <v>180</v>
      </c>
      <c r="J94" s="2" t="s">
        <v>72</v>
      </c>
      <c r="K94" s="2" t="s">
        <v>42</v>
      </c>
      <c r="L94" s="2" t="s">
        <v>79</v>
      </c>
      <c r="M94" s="19">
        <f t="shared" si="1"/>
        <v>4</v>
      </c>
      <c r="N94" s="2" t="s">
        <v>181</v>
      </c>
      <c r="O94" s="2" t="s">
        <v>508</v>
      </c>
      <c r="P94" s="2" t="s">
        <v>45</v>
      </c>
      <c r="Q94" s="2" t="s">
        <v>147</v>
      </c>
      <c r="R94" s="2" t="s">
        <v>509</v>
      </c>
      <c r="S94" s="2"/>
      <c r="T94" s="2" t="s">
        <v>37</v>
      </c>
      <c r="U94" s="2"/>
      <c r="V94" s="2">
        <v>3</v>
      </c>
      <c r="W94" s="2"/>
    </row>
    <row r="95" spans="1:23" ht="34" customHeight="1">
      <c r="A95" s="2" t="s">
        <v>510</v>
      </c>
      <c r="B95" s="2" t="s">
        <v>511</v>
      </c>
      <c r="C95" s="5">
        <v>0.75</v>
      </c>
      <c r="D95" s="5">
        <v>0.25</v>
      </c>
      <c r="E95" s="6">
        <v>1</v>
      </c>
      <c r="F95" s="12">
        <v>0</v>
      </c>
      <c r="G95" s="5">
        <v>0.08</v>
      </c>
      <c r="H95" s="5" t="s">
        <v>172</v>
      </c>
      <c r="I95" s="2" t="s">
        <v>60</v>
      </c>
      <c r="J95" s="2" t="s">
        <v>50</v>
      </c>
      <c r="K95" s="2" t="s">
        <v>101</v>
      </c>
      <c r="L95" s="2" t="s">
        <v>32</v>
      </c>
      <c r="M95" s="19">
        <f t="shared" si="1"/>
        <v>6</v>
      </c>
      <c r="N95" s="2" t="s">
        <v>512</v>
      </c>
      <c r="O95" s="2" t="s">
        <v>513</v>
      </c>
      <c r="P95" s="2" t="s">
        <v>45</v>
      </c>
      <c r="Q95" s="2"/>
      <c r="R95" s="2" t="s">
        <v>514</v>
      </c>
      <c r="S95" s="2"/>
      <c r="T95" s="2" t="s">
        <v>37</v>
      </c>
      <c r="U95" s="2" t="s">
        <v>65</v>
      </c>
      <c r="V95" s="2">
        <v>4</v>
      </c>
      <c r="W95" s="2" t="s">
        <v>515</v>
      </c>
    </row>
    <row r="96" spans="1:23" ht="37" customHeight="1">
      <c r="A96" s="2" t="s">
        <v>510</v>
      </c>
      <c r="B96" s="2" t="s">
        <v>516</v>
      </c>
      <c r="C96" s="5">
        <v>0.75</v>
      </c>
      <c r="D96" s="5">
        <v>0.25</v>
      </c>
      <c r="E96" s="12">
        <v>1</v>
      </c>
      <c r="F96" s="12">
        <v>0</v>
      </c>
      <c r="G96" s="7" t="s">
        <v>517</v>
      </c>
      <c r="H96" s="7" t="s">
        <v>172</v>
      </c>
      <c r="I96" s="2" t="s">
        <v>518</v>
      </c>
      <c r="J96" s="2" t="s">
        <v>72</v>
      </c>
      <c r="K96" s="2" t="s">
        <v>42</v>
      </c>
      <c r="L96" s="2" t="s">
        <v>32</v>
      </c>
      <c r="M96" s="19">
        <f t="shared" si="1"/>
        <v>6</v>
      </c>
      <c r="N96" s="2" t="s">
        <v>519</v>
      </c>
      <c r="O96" s="2" t="s">
        <v>520</v>
      </c>
      <c r="P96" s="2" t="s">
        <v>45</v>
      </c>
      <c r="Q96" s="2"/>
      <c r="R96" s="2" t="s">
        <v>514</v>
      </c>
      <c r="S96" s="2" t="s">
        <v>521</v>
      </c>
      <c r="T96" s="2" t="s">
        <v>37</v>
      </c>
      <c r="U96" s="2" t="s">
        <v>147</v>
      </c>
      <c r="V96" s="2">
        <v>3</v>
      </c>
      <c r="W96" s="2" t="s">
        <v>522</v>
      </c>
    </row>
    <row r="97" spans="1:23" ht="34" customHeight="1">
      <c r="A97" s="2" t="s">
        <v>510</v>
      </c>
      <c r="B97" s="2" t="s">
        <v>523</v>
      </c>
      <c r="C97" s="7" t="s">
        <v>315</v>
      </c>
      <c r="D97" s="7" t="s">
        <v>524</v>
      </c>
      <c r="E97" s="7"/>
      <c r="F97" s="7"/>
      <c r="G97" s="7" t="s">
        <v>525</v>
      </c>
      <c r="H97" s="7" t="s">
        <v>408</v>
      </c>
      <c r="I97" s="2" t="s">
        <v>29</v>
      </c>
      <c r="J97" s="2" t="s">
        <v>41</v>
      </c>
      <c r="K97" s="2" t="s">
        <v>526</v>
      </c>
      <c r="L97" s="2" t="s">
        <v>79</v>
      </c>
      <c r="M97" s="19">
        <f t="shared" si="1"/>
        <v>4</v>
      </c>
      <c r="N97" s="2" t="s">
        <v>527</v>
      </c>
      <c r="O97" s="2" t="s">
        <v>528</v>
      </c>
      <c r="P97" s="2" t="s">
        <v>190</v>
      </c>
      <c r="Q97" s="2" t="s">
        <v>147</v>
      </c>
      <c r="R97" s="2" t="s">
        <v>529</v>
      </c>
      <c r="S97" s="2" t="s">
        <v>530</v>
      </c>
      <c r="T97" s="2" t="s">
        <v>37</v>
      </c>
      <c r="U97" s="2"/>
      <c r="V97" s="2">
        <v>3</v>
      </c>
      <c r="W97" s="2"/>
    </row>
    <row r="98" spans="1:23" ht="34" customHeight="1">
      <c r="A98" s="2" t="s">
        <v>510</v>
      </c>
      <c r="B98" s="2" t="s">
        <v>531</v>
      </c>
      <c r="C98" s="4">
        <v>0.3</v>
      </c>
      <c r="D98" s="8">
        <v>7.4999999999999997E-2</v>
      </c>
      <c r="E98" s="6">
        <v>1</v>
      </c>
      <c r="F98" s="12">
        <v>0</v>
      </c>
      <c r="G98" s="8">
        <v>7.4999999999999997E-2</v>
      </c>
      <c r="H98" s="8" t="s">
        <v>48</v>
      </c>
      <c r="I98" s="2" t="s">
        <v>60</v>
      </c>
      <c r="J98" s="2" t="s">
        <v>50</v>
      </c>
      <c r="K98" s="2" t="s">
        <v>101</v>
      </c>
      <c r="L98" s="2" t="s">
        <v>32</v>
      </c>
      <c r="M98" s="19">
        <f t="shared" si="1"/>
        <v>6</v>
      </c>
      <c r="N98" s="2" t="s">
        <v>512</v>
      </c>
      <c r="O98" s="2" t="s">
        <v>532</v>
      </c>
      <c r="P98" s="2" t="s">
        <v>45</v>
      </c>
      <c r="Q98" s="2"/>
      <c r="R98" s="2" t="s">
        <v>533</v>
      </c>
      <c r="S98" s="2"/>
      <c r="T98" s="2" t="s">
        <v>37</v>
      </c>
      <c r="U98" s="2" t="s">
        <v>65</v>
      </c>
      <c r="V98" s="2">
        <v>4</v>
      </c>
      <c r="W98" s="2" t="s">
        <v>515</v>
      </c>
    </row>
    <row r="99" spans="1:23" ht="34" customHeight="1">
      <c r="A99" s="2" t="s">
        <v>510</v>
      </c>
      <c r="B99" s="2" t="s">
        <v>534</v>
      </c>
      <c r="C99" s="5">
        <v>0.28000000000000003</v>
      </c>
      <c r="D99" s="5">
        <v>0.16</v>
      </c>
      <c r="E99" s="7"/>
      <c r="F99" s="7"/>
      <c r="G99" s="8">
        <v>2.8000000000000001E-2</v>
      </c>
      <c r="H99" s="8" t="s">
        <v>205</v>
      </c>
      <c r="I99" s="2" t="s">
        <v>29</v>
      </c>
      <c r="J99" s="2" t="s">
        <v>336</v>
      </c>
      <c r="K99" s="2" t="s">
        <v>535</v>
      </c>
      <c r="L99" s="2" t="s">
        <v>79</v>
      </c>
      <c r="M99" s="19">
        <f t="shared" si="1"/>
        <v>4</v>
      </c>
      <c r="N99" s="2" t="s">
        <v>536</v>
      </c>
      <c r="O99" s="2" t="s">
        <v>537</v>
      </c>
      <c r="P99" s="2" t="s">
        <v>45</v>
      </c>
      <c r="Q99" s="2" t="s">
        <v>147</v>
      </c>
      <c r="R99" s="2" t="s">
        <v>514</v>
      </c>
      <c r="S99" s="2"/>
      <c r="T99" s="2" t="s">
        <v>37</v>
      </c>
      <c r="U99" s="2"/>
      <c r="V99" s="2">
        <v>3</v>
      </c>
      <c r="W99" s="2"/>
    </row>
    <row r="100" spans="1:23" ht="37" customHeight="1">
      <c r="A100" s="2" t="s">
        <v>510</v>
      </c>
      <c r="B100" s="2" t="s">
        <v>538</v>
      </c>
      <c r="C100" s="4">
        <v>1.1000000000000001</v>
      </c>
      <c r="D100" s="4">
        <v>0.2</v>
      </c>
      <c r="E100" s="12">
        <v>1</v>
      </c>
      <c r="F100" s="12">
        <v>0</v>
      </c>
      <c r="G100" s="4">
        <v>0.1</v>
      </c>
      <c r="H100" s="4" t="s">
        <v>172</v>
      </c>
      <c r="I100" s="2" t="s">
        <v>60</v>
      </c>
      <c r="J100" s="2" t="s">
        <v>72</v>
      </c>
      <c r="K100" s="2" t="s">
        <v>42</v>
      </c>
      <c r="L100" s="2" t="s">
        <v>32</v>
      </c>
      <c r="M100" s="19">
        <f t="shared" si="1"/>
        <v>6</v>
      </c>
      <c r="N100" s="2" t="s">
        <v>181</v>
      </c>
      <c r="O100" s="2" t="s">
        <v>539</v>
      </c>
      <c r="P100" s="2" t="s">
        <v>45</v>
      </c>
      <c r="Q100" s="2"/>
      <c r="R100" s="2" t="s">
        <v>514</v>
      </c>
      <c r="S100" s="2"/>
      <c r="T100" s="2" t="s">
        <v>37</v>
      </c>
      <c r="U100" s="2" t="s">
        <v>147</v>
      </c>
      <c r="V100" s="2">
        <v>3</v>
      </c>
      <c r="W100" s="2" t="s">
        <v>540</v>
      </c>
    </row>
    <row r="101" spans="1:23" ht="34" customHeight="1">
      <c r="A101" s="2" t="s">
        <v>510</v>
      </c>
      <c r="B101" s="2" t="s">
        <v>541</v>
      </c>
      <c r="C101" s="4">
        <v>1.1000000000000001</v>
      </c>
      <c r="D101" s="4">
        <v>0.2</v>
      </c>
      <c r="E101" s="7" t="s">
        <v>542</v>
      </c>
      <c r="F101" s="7" t="s">
        <v>543</v>
      </c>
      <c r="G101" s="5">
        <v>0.22</v>
      </c>
      <c r="H101" s="5" t="s">
        <v>172</v>
      </c>
      <c r="I101" s="2" t="s">
        <v>29</v>
      </c>
      <c r="J101" s="2" t="s">
        <v>72</v>
      </c>
      <c r="K101" s="2" t="s">
        <v>544</v>
      </c>
      <c r="L101" s="2" t="s">
        <v>32</v>
      </c>
      <c r="M101" s="19">
        <f t="shared" si="1"/>
        <v>6</v>
      </c>
      <c r="N101" s="2" t="s">
        <v>545</v>
      </c>
      <c r="O101" s="2" t="s">
        <v>546</v>
      </c>
      <c r="P101" s="2" t="s">
        <v>35</v>
      </c>
      <c r="Q101" s="2"/>
      <c r="R101" s="2" t="s">
        <v>514</v>
      </c>
      <c r="S101" s="2" t="s">
        <v>547</v>
      </c>
      <c r="T101" s="2" t="s">
        <v>37</v>
      </c>
      <c r="U101" s="2"/>
      <c r="V101" s="2">
        <v>5</v>
      </c>
      <c r="W101" s="2"/>
    </row>
    <row r="102" spans="1:23" ht="37" customHeight="1">
      <c r="A102" s="2" t="s">
        <v>510</v>
      </c>
      <c r="B102" s="2" t="s">
        <v>548</v>
      </c>
      <c r="C102" s="5">
        <v>4.42</v>
      </c>
      <c r="D102" s="16">
        <v>1.4733333333333329</v>
      </c>
      <c r="E102" s="4">
        <v>1.7</v>
      </c>
      <c r="F102" s="5">
        <v>0.24</v>
      </c>
      <c r="G102" s="4">
        <v>11.2</v>
      </c>
      <c r="H102" s="4" t="s">
        <v>549</v>
      </c>
      <c r="I102" s="2" t="s">
        <v>250</v>
      </c>
      <c r="J102" s="2" t="s">
        <v>41</v>
      </c>
      <c r="K102" s="2" t="s">
        <v>550</v>
      </c>
      <c r="L102" s="2" t="s">
        <v>32</v>
      </c>
      <c r="M102" s="19">
        <f t="shared" si="1"/>
        <v>6</v>
      </c>
      <c r="N102" s="2" t="s">
        <v>551</v>
      </c>
      <c r="O102" s="2" t="s">
        <v>552</v>
      </c>
      <c r="P102" s="2" t="s">
        <v>45</v>
      </c>
      <c r="Q102" s="2"/>
      <c r="R102" s="2" t="s">
        <v>553</v>
      </c>
      <c r="S102" s="2" t="s">
        <v>554</v>
      </c>
      <c r="T102" s="2" t="s">
        <v>37</v>
      </c>
      <c r="U102" s="2" t="s">
        <v>254</v>
      </c>
      <c r="V102" s="2">
        <v>4</v>
      </c>
      <c r="W102" s="2" t="s">
        <v>555</v>
      </c>
    </row>
    <row r="103" spans="1:23" ht="37" customHeight="1">
      <c r="A103" s="2" t="s">
        <v>556</v>
      </c>
      <c r="B103" s="2" t="s">
        <v>557</v>
      </c>
      <c r="C103" s="5">
        <v>0.65</v>
      </c>
      <c r="D103" s="4">
        <v>0.2</v>
      </c>
      <c r="E103" s="12">
        <v>1</v>
      </c>
      <c r="F103" s="12">
        <v>0</v>
      </c>
      <c r="G103" s="4">
        <v>0.1</v>
      </c>
      <c r="H103" s="4" t="s">
        <v>400</v>
      </c>
      <c r="I103" s="2" t="s">
        <v>558</v>
      </c>
      <c r="J103" s="2" t="s">
        <v>94</v>
      </c>
      <c r="K103" s="2" t="s">
        <v>559</v>
      </c>
      <c r="L103" s="2" t="s">
        <v>32</v>
      </c>
      <c r="M103" s="19">
        <f t="shared" si="1"/>
        <v>6</v>
      </c>
      <c r="N103" s="2" t="s">
        <v>560</v>
      </c>
      <c r="O103" s="2" t="s">
        <v>561</v>
      </c>
      <c r="P103" s="2" t="s">
        <v>35</v>
      </c>
      <c r="Q103" s="2"/>
      <c r="R103" s="2" t="s">
        <v>562</v>
      </c>
      <c r="S103" s="2" t="s">
        <v>563</v>
      </c>
      <c r="T103" s="2" t="s">
        <v>37</v>
      </c>
      <c r="U103" s="2" t="s">
        <v>147</v>
      </c>
      <c r="V103" s="2">
        <v>3</v>
      </c>
      <c r="W103" s="2" t="s">
        <v>564</v>
      </c>
    </row>
    <row r="104" spans="1:23" ht="34" customHeight="1">
      <c r="A104" s="2" t="s">
        <v>565</v>
      </c>
      <c r="B104" s="2" t="s">
        <v>566</v>
      </c>
      <c r="C104" s="5">
        <v>0.15</v>
      </c>
      <c r="D104" s="5">
        <v>0.09</v>
      </c>
      <c r="E104" s="7"/>
      <c r="F104" s="7"/>
      <c r="G104" s="7"/>
      <c r="H104" s="7" t="s">
        <v>567</v>
      </c>
      <c r="I104" s="2" t="s">
        <v>568</v>
      </c>
      <c r="J104" s="2" t="s">
        <v>50</v>
      </c>
      <c r="K104" s="2" t="s">
        <v>42</v>
      </c>
      <c r="L104" s="2" t="s">
        <v>79</v>
      </c>
      <c r="M104" s="19">
        <f t="shared" si="1"/>
        <v>3</v>
      </c>
      <c r="N104" s="2" t="s">
        <v>569</v>
      </c>
      <c r="O104" s="2" t="s">
        <v>570</v>
      </c>
      <c r="P104" s="2" t="s">
        <v>45</v>
      </c>
      <c r="Q104" s="2" t="s">
        <v>141</v>
      </c>
      <c r="R104" s="2" t="s">
        <v>571</v>
      </c>
      <c r="S104" s="2"/>
      <c r="T104" s="2" t="s">
        <v>37</v>
      </c>
      <c r="U104" s="2"/>
      <c r="V104" s="2">
        <v>2</v>
      </c>
      <c r="W104" s="2"/>
    </row>
    <row r="105" spans="1:23" ht="34" customHeight="1">
      <c r="A105" s="2" t="s">
        <v>565</v>
      </c>
      <c r="B105" s="2" t="s">
        <v>572</v>
      </c>
      <c r="C105" s="5">
        <v>0.15</v>
      </c>
      <c r="D105" s="5">
        <v>0.09</v>
      </c>
      <c r="E105" s="7"/>
      <c r="F105" s="7"/>
      <c r="G105" s="8">
        <v>5.0000000000000001E-3</v>
      </c>
      <c r="H105" s="8" t="s">
        <v>408</v>
      </c>
      <c r="I105" s="2" t="s">
        <v>573</v>
      </c>
      <c r="J105" s="2" t="s">
        <v>50</v>
      </c>
      <c r="K105" s="2" t="s">
        <v>51</v>
      </c>
      <c r="L105" s="2" t="s">
        <v>79</v>
      </c>
      <c r="M105" s="19">
        <f t="shared" si="1"/>
        <v>4</v>
      </c>
      <c r="N105" s="2" t="s">
        <v>574</v>
      </c>
      <c r="O105" s="2" t="s">
        <v>575</v>
      </c>
      <c r="P105" s="2" t="s">
        <v>576</v>
      </c>
      <c r="Q105" s="2" t="s">
        <v>147</v>
      </c>
      <c r="R105" s="2" t="s">
        <v>571</v>
      </c>
      <c r="S105" s="2"/>
      <c r="T105" s="2" t="s">
        <v>37</v>
      </c>
      <c r="U105" s="2"/>
      <c r="V105" s="2">
        <v>3</v>
      </c>
      <c r="W105" s="2"/>
    </row>
    <row r="106" spans="1:23" ht="34" customHeight="1">
      <c r="A106" s="2" t="s">
        <v>565</v>
      </c>
      <c r="B106" s="2" t="s">
        <v>577</v>
      </c>
      <c r="C106" s="4">
        <v>0.2</v>
      </c>
      <c r="D106" s="4">
        <v>0.1</v>
      </c>
      <c r="E106" s="7"/>
      <c r="F106" s="7"/>
      <c r="G106" s="8">
        <v>2E-3</v>
      </c>
      <c r="H106" s="8" t="s">
        <v>578</v>
      </c>
      <c r="I106" s="2" t="s">
        <v>579</v>
      </c>
      <c r="J106" s="2" t="s">
        <v>580</v>
      </c>
      <c r="K106" s="2" t="s">
        <v>42</v>
      </c>
      <c r="L106" s="2" t="s">
        <v>79</v>
      </c>
      <c r="M106" s="19">
        <f t="shared" si="1"/>
        <v>4</v>
      </c>
      <c r="N106" s="2" t="s">
        <v>181</v>
      </c>
      <c r="O106" s="2" t="s">
        <v>581</v>
      </c>
      <c r="P106" s="2" t="s">
        <v>45</v>
      </c>
      <c r="Q106" s="2" t="s">
        <v>147</v>
      </c>
      <c r="R106" s="2" t="s">
        <v>582</v>
      </c>
      <c r="S106" s="2" t="s">
        <v>583</v>
      </c>
      <c r="T106" s="2" t="s">
        <v>37</v>
      </c>
      <c r="U106" s="2"/>
      <c r="V106" s="2">
        <v>3</v>
      </c>
      <c r="W106" s="2"/>
    </row>
    <row r="107" spans="1:23" ht="34" customHeight="1">
      <c r="A107" s="2" t="s">
        <v>565</v>
      </c>
      <c r="B107" s="2" t="s">
        <v>584</v>
      </c>
      <c r="C107" s="5">
        <v>0.15</v>
      </c>
      <c r="D107" s="5">
        <v>0.09</v>
      </c>
      <c r="E107" s="7"/>
      <c r="F107" s="7"/>
      <c r="G107" s="8">
        <v>1.4999999999999999E-2</v>
      </c>
      <c r="H107" s="8" t="s">
        <v>408</v>
      </c>
      <c r="I107" s="2" t="s">
        <v>585</v>
      </c>
      <c r="J107" s="2" t="s">
        <v>94</v>
      </c>
      <c r="K107" s="2" t="s">
        <v>199</v>
      </c>
      <c r="L107" s="2" t="s">
        <v>79</v>
      </c>
      <c r="M107" s="19">
        <f t="shared" si="1"/>
        <v>4</v>
      </c>
      <c r="N107" s="2" t="s">
        <v>586</v>
      </c>
      <c r="O107" s="2" t="s">
        <v>587</v>
      </c>
      <c r="P107" s="2" t="s">
        <v>45</v>
      </c>
      <c r="Q107" s="2" t="s">
        <v>147</v>
      </c>
      <c r="R107" s="2" t="s">
        <v>588</v>
      </c>
      <c r="S107" s="2"/>
      <c r="T107" s="2" t="s">
        <v>37</v>
      </c>
      <c r="U107" s="2"/>
      <c r="V107" s="2">
        <v>3</v>
      </c>
      <c r="W107" s="2"/>
    </row>
    <row r="108" spans="1:23" ht="34" customHeight="1">
      <c r="A108" s="2" t="s">
        <v>565</v>
      </c>
      <c r="B108" s="2" t="s">
        <v>589</v>
      </c>
      <c r="C108" s="5">
        <v>0.15</v>
      </c>
      <c r="D108" s="5">
        <v>0.09</v>
      </c>
      <c r="E108" s="4">
        <v>2.2999999999999998</v>
      </c>
      <c r="F108" s="7"/>
      <c r="G108" s="8">
        <v>5.3999999999999999E-2</v>
      </c>
      <c r="H108" s="8" t="s">
        <v>243</v>
      </c>
      <c r="I108" s="2" t="s">
        <v>590</v>
      </c>
      <c r="J108" s="2" t="s">
        <v>591</v>
      </c>
      <c r="K108" s="2" t="s">
        <v>559</v>
      </c>
      <c r="L108" s="2" t="s">
        <v>79</v>
      </c>
      <c r="M108" s="19">
        <f t="shared" si="1"/>
        <v>5</v>
      </c>
      <c r="N108" s="2" t="s">
        <v>592</v>
      </c>
      <c r="O108" s="2" t="s">
        <v>593</v>
      </c>
      <c r="P108" s="2" t="s">
        <v>45</v>
      </c>
      <c r="Q108" s="2" t="s">
        <v>65</v>
      </c>
      <c r="R108" s="2" t="s">
        <v>588</v>
      </c>
      <c r="S108" s="2"/>
      <c r="T108" s="2" t="s">
        <v>37</v>
      </c>
      <c r="U108" s="2"/>
      <c r="V108" s="2">
        <v>4</v>
      </c>
      <c r="W108" s="2"/>
    </row>
    <row r="109" spans="1:23" ht="34" customHeight="1">
      <c r="A109" s="2" t="s">
        <v>565</v>
      </c>
      <c r="B109" s="2" t="s">
        <v>594</v>
      </c>
      <c r="C109" s="4">
        <v>0.5</v>
      </c>
      <c r="D109" s="5">
        <v>0.25</v>
      </c>
      <c r="E109" s="6">
        <v>2</v>
      </c>
      <c r="F109" s="7"/>
      <c r="G109" s="5">
        <v>0.31</v>
      </c>
      <c r="H109" s="5" t="s">
        <v>293</v>
      </c>
      <c r="I109" s="2" t="s">
        <v>595</v>
      </c>
      <c r="J109" s="2" t="s">
        <v>41</v>
      </c>
      <c r="K109" s="2" t="s">
        <v>42</v>
      </c>
      <c r="L109" s="2" t="s">
        <v>79</v>
      </c>
      <c r="M109" s="19">
        <f t="shared" si="1"/>
        <v>5</v>
      </c>
      <c r="N109" s="2" t="s">
        <v>596</v>
      </c>
      <c r="O109" s="2" t="s">
        <v>597</v>
      </c>
      <c r="P109" s="2" t="s">
        <v>598</v>
      </c>
      <c r="Q109" s="2" t="s">
        <v>65</v>
      </c>
      <c r="R109" s="2" t="s">
        <v>582</v>
      </c>
      <c r="S109" s="2"/>
      <c r="T109" s="2" t="s">
        <v>37</v>
      </c>
      <c r="U109" s="2"/>
      <c r="V109" s="2">
        <v>4</v>
      </c>
      <c r="W109" s="2"/>
    </row>
    <row r="110" spans="1:23" ht="34" customHeight="1">
      <c r="A110" s="2" t="s">
        <v>599</v>
      </c>
      <c r="B110" s="2" t="s">
        <v>600</v>
      </c>
      <c r="C110" s="8">
        <v>0.45500000000000002</v>
      </c>
      <c r="D110" s="8">
        <v>0.126</v>
      </c>
      <c r="E110" s="6">
        <v>1</v>
      </c>
      <c r="F110" s="12">
        <v>0</v>
      </c>
      <c r="G110" s="5">
        <v>0.03</v>
      </c>
      <c r="H110" s="5" t="s">
        <v>219</v>
      </c>
      <c r="I110" s="2" t="s">
        <v>601</v>
      </c>
      <c r="J110" s="2" t="s">
        <v>50</v>
      </c>
      <c r="K110" s="2" t="s">
        <v>101</v>
      </c>
      <c r="L110" s="2" t="s">
        <v>32</v>
      </c>
      <c r="M110" s="19">
        <f t="shared" si="1"/>
        <v>6</v>
      </c>
      <c r="N110" s="2" t="s">
        <v>602</v>
      </c>
      <c r="O110" s="2" t="s">
        <v>603</v>
      </c>
      <c r="P110" s="2" t="s">
        <v>45</v>
      </c>
      <c r="Q110" s="2"/>
      <c r="R110" s="2" t="s">
        <v>604</v>
      </c>
      <c r="S110" s="2" t="s">
        <v>605</v>
      </c>
      <c r="T110" s="2" t="s">
        <v>37</v>
      </c>
      <c r="U110" s="2" t="s">
        <v>65</v>
      </c>
      <c r="V110" s="2">
        <v>4</v>
      </c>
      <c r="W110" s="2" t="s">
        <v>606</v>
      </c>
    </row>
    <row r="111" spans="1:23" ht="37" customHeight="1">
      <c r="A111" s="2" t="s">
        <v>599</v>
      </c>
      <c r="B111" s="2" t="s">
        <v>607</v>
      </c>
      <c r="C111" s="8">
        <v>0.45600000000000002</v>
      </c>
      <c r="D111" s="8">
        <v>0.126</v>
      </c>
      <c r="E111" s="12">
        <v>1</v>
      </c>
      <c r="F111" s="12">
        <v>0</v>
      </c>
      <c r="G111" s="8">
        <v>3.5000000000000003E-2</v>
      </c>
      <c r="H111" s="8" t="s">
        <v>219</v>
      </c>
      <c r="I111" s="2" t="s">
        <v>608</v>
      </c>
      <c r="J111" s="2" t="s">
        <v>72</v>
      </c>
      <c r="K111" s="2" t="s">
        <v>42</v>
      </c>
      <c r="L111" s="2" t="s">
        <v>32</v>
      </c>
      <c r="M111" s="19">
        <f t="shared" si="1"/>
        <v>6</v>
      </c>
      <c r="N111" s="2" t="s">
        <v>181</v>
      </c>
      <c r="O111" s="2" t="s">
        <v>609</v>
      </c>
      <c r="P111" s="2" t="s">
        <v>45</v>
      </c>
      <c r="Q111" s="2"/>
      <c r="R111" s="2" t="s">
        <v>610</v>
      </c>
      <c r="S111" s="2" t="s">
        <v>611</v>
      </c>
      <c r="T111" s="2" t="s">
        <v>37</v>
      </c>
      <c r="U111" s="2" t="s">
        <v>147</v>
      </c>
      <c r="V111" s="2">
        <v>3</v>
      </c>
      <c r="W111" s="2" t="s">
        <v>612</v>
      </c>
    </row>
    <row r="112" spans="1:23" ht="37" customHeight="1">
      <c r="A112" s="2" t="s">
        <v>599</v>
      </c>
      <c r="B112" s="2" t="s">
        <v>613</v>
      </c>
      <c r="C112" s="5">
        <v>0.36</v>
      </c>
      <c r="D112" s="5">
        <v>7.0000000000000007E-2</v>
      </c>
      <c r="E112" s="4">
        <v>2.8</v>
      </c>
      <c r="F112" s="7"/>
      <c r="G112" s="8">
        <v>3.5000000000000003E-2</v>
      </c>
      <c r="H112" s="8" t="s">
        <v>400</v>
      </c>
      <c r="I112" s="2" t="s">
        <v>614</v>
      </c>
      <c r="J112" s="2" t="s">
        <v>72</v>
      </c>
      <c r="K112" s="2" t="s">
        <v>615</v>
      </c>
      <c r="L112" s="2" t="s">
        <v>32</v>
      </c>
      <c r="M112" s="19">
        <f t="shared" si="1"/>
        <v>5</v>
      </c>
      <c r="N112" s="2" t="s">
        <v>616</v>
      </c>
      <c r="O112" s="2" t="s">
        <v>617</v>
      </c>
      <c r="P112" s="2" t="s">
        <v>45</v>
      </c>
      <c r="Q112" s="2" t="s">
        <v>65</v>
      </c>
      <c r="R112" s="2" t="s">
        <v>618</v>
      </c>
      <c r="S112" s="2" t="s">
        <v>619</v>
      </c>
      <c r="T112" s="2" t="s">
        <v>37</v>
      </c>
      <c r="U112" s="2"/>
      <c r="V112" s="2">
        <v>4</v>
      </c>
      <c r="W112" s="2"/>
    </row>
    <row r="113" spans="1:23" ht="37" customHeight="1">
      <c r="A113" s="2" t="s">
        <v>599</v>
      </c>
      <c r="B113" s="2" t="s">
        <v>620</v>
      </c>
      <c r="C113" s="5">
        <v>0.45</v>
      </c>
      <c r="D113" s="8">
        <v>0.125</v>
      </c>
      <c r="E113" s="6">
        <v>1</v>
      </c>
      <c r="F113" s="12">
        <v>0</v>
      </c>
      <c r="G113" s="5">
        <v>0.04</v>
      </c>
      <c r="H113" s="5" t="s">
        <v>400</v>
      </c>
      <c r="I113" s="2" t="s">
        <v>601</v>
      </c>
      <c r="J113" s="2" t="s">
        <v>72</v>
      </c>
      <c r="K113" s="2" t="s">
        <v>615</v>
      </c>
      <c r="L113" s="2" t="s">
        <v>32</v>
      </c>
      <c r="M113" s="19">
        <f t="shared" si="1"/>
        <v>6</v>
      </c>
      <c r="N113" s="2" t="s">
        <v>621</v>
      </c>
      <c r="O113" s="2" t="s">
        <v>622</v>
      </c>
      <c r="P113" s="2" t="s">
        <v>45</v>
      </c>
      <c r="Q113" s="2"/>
      <c r="R113" s="2" t="s">
        <v>623</v>
      </c>
      <c r="S113" s="2" t="s">
        <v>624</v>
      </c>
      <c r="T113" s="2" t="s">
        <v>37</v>
      </c>
      <c r="U113" s="2" t="s">
        <v>65</v>
      </c>
      <c r="V113" s="2">
        <v>4</v>
      </c>
      <c r="W113" s="2" t="s">
        <v>625</v>
      </c>
    </row>
    <row r="114" spans="1:23" ht="34" customHeight="1">
      <c r="A114" s="2" t="s">
        <v>626</v>
      </c>
      <c r="B114" s="2" t="s">
        <v>627</v>
      </c>
      <c r="C114" s="4">
        <v>0.9</v>
      </c>
      <c r="D114" s="5">
        <v>0.45</v>
      </c>
      <c r="E114" s="4">
        <v>1.7</v>
      </c>
      <c r="F114" s="7" t="s">
        <v>628</v>
      </c>
      <c r="G114" s="5">
        <v>0.75</v>
      </c>
      <c r="H114" s="5" t="s">
        <v>117</v>
      </c>
      <c r="I114" s="2" t="s">
        <v>629</v>
      </c>
      <c r="J114" s="2" t="s">
        <v>72</v>
      </c>
      <c r="K114" s="2" t="s">
        <v>630</v>
      </c>
      <c r="L114" s="2" t="s">
        <v>79</v>
      </c>
      <c r="M114" s="19">
        <f t="shared" si="1"/>
        <v>6</v>
      </c>
      <c r="N114" s="2" t="s">
        <v>631</v>
      </c>
      <c r="O114" s="2" t="s">
        <v>632</v>
      </c>
      <c r="P114" s="2" t="s">
        <v>633</v>
      </c>
      <c r="Q114" s="2"/>
      <c r="R114" s="2" t="s">
        <v>634</v>
      </c>
      <c r="S114" s="2"/>
      <c r="T114" s="2" t="s">
        <v>37</v>
      </c>
      <c r="U114" s="2"/>
      <c r="V114" s="2">
        <v>5</v>
      </c>
      <c r="W114" s="2"/>
    </row>
    <row r="115" spans="1:23" ht="37" customHeight="1">
      <c r="A115" s="2" t="s">
        <v>635</v>
      </c>
      <c r="B115" s="2" t="s">
        <v>636</v>
      </c>
      <c r="C115" s="8">
        <v>0.22500000000000001</v>
      </c>
      <c r="D115" s="8">
        <v>4.1000000000000002E-2</v>
      </c>
      <c r="E115" s="6">
        <v>1</v>
      </c>
      <c r="F115" s="12">
        <v>0</v>
      </c>
      <c r="G115" s="8">
        <v>1.4999999999999999E-2</v>
      </c>
      <c r="H115" s="8" t="s">
        <v>172</v>
      </c>
      <c r="I115" s="2" t="s">
        <v>601</v>
      </c>
      <c r="J115" s="2" t="s">
        <v>50</v>
      </c>
      <c r="K115" s="2" t="s">
        <v>101</v>
      </c>
      <c r="L115" s="2" t="s">
        <v>32</v>
      </c>
      <c r="M115" s="19">
        <f t="shared" si="1"/>
        <v>6</v>
      </c>
      <c r="N115" s="2" t="s">
        <v>63</v>
      </c>
      <c r="O115" s="2" t="s">
        <v>637</v>
      </c>
      <c r="P115" s="2" t="s">
        <v>45</v>
      </c>
      <c r="Q115" s="2"/>
      <c r="R115" s="2" t="s">
        <v>638</v>
      </c>
      <c r="S115" s="2"/>
      <c r="T115" s="2" t="s">
        <v>37</v>
      </c>
      <c r="U115" s="2" t="s">
        <v>65</v>
      </c>
      <c r="V115" s="2">
        <v>4</v>
      </c>
      <c r="W115" s="2" t="s">
        <v>639</v>
      </c>
    </row>
    <row r="116" spans="1:23" ht="34" customHeight="1">
      <c r="A116" s="2" t="s">
        <v>640</v>
      </c>
      <c r="B116" s="2" t="s">
        <v>641</v>
      </c>
      <c r="C116" s="4">
        <v>3.2</v>
      </c>
      <c r="D116" s="6">
        <v>1</v>
      </c>
      <c r="E116" s="6">
        <v>2</v>
      </c>
      <c r="F116" s="4">
        <v>0.5</v>
      </c>
      <c r="G116" s="5">
        <v>5.05</v>
      </c>
      <c r="H116" s="5" t="s">
        <v>39</v>
      </c>
      <c r="I116" s="2" t="s">
        <v>642</v>
      </c>
      <c r="J116" s="2" t="s">
        <v>41</v>
      </c>
      <c r="K116" s="2" t="s">
        <v>550</v>
      </c>
      <c r="L116" s="2" t="s">
        <v>32</v>
      </c>
      <c r="M116" s="19">
        <f t="shared" si="1"/>
        <v>6</v>
      </c>
      <c r="N116" s="2" t="s">
        <v>643</v>
      </c>
      <c r="O116" s="2" t="s">
        <v>644</v>
      </c>
      <c r="P116" s="2" t="s">
        <v>45</v>
      </c>
      <c r="Q116" s="2"/>
      <c r="R116" s="2" t="s">
        <v>645</v>
      </c>
      <c r="S116" s="2" t="s">
        <v>646</v>
      </c>
      <c r="T116" s="2" t="s">
        <v>37</v>
      </c>
      <c r="U116" s="2"/>
      <c r="V116" s="2">
        <v>5</v>
      </c>
      <c r="W116" s="2"/>
    </row>
    <row r="117" spans="1:23" ht="34" customHeight="1">
      <c r="A117" s="2" t="s">
        <v>640</v>
      </c>
      <c r="B117" s="2" t="s">
        <v>647</v>
      </c>
      <c r="C117" s="4">
        <v>7.8</v>
      </c>
      <c r="D117" s="4">
        <v>1.5</v>
      </c>
      <c r="E117" s="5">
        <v>1.85</v>
      </c>
      <c r="F117" s="7"/>
      <c r="G117" s="6">
        <v>10</v>
      </c>
      <c r="H117" s="6" t="s">
        <v>648</v>
      </c>
      <c r="I117" s="2" t="s">
        <v>649</v>
      </c>
      <c r="J117" s="2" t="s">
        <v>41</v>
      </c>
      <c r="K117" s="2" t="s">
        <v>42</v>
      </c>
      <c r="L117" s="2" t="s">
        <v>32</v>
      </c>
      <c r="M117" s="19">
        <f t="shared" si="1"/>
        <v>5</v>
      </c>
      <c r="N117" s="2" t="s">
        <v>650</v>
      </c>
      <c r="O117" s="2" t="s">
        <v>651</v>
      </c>
      <c r="P117" s="2" t="s">
        <v>35</v>
      </c>
      <c r="Q117" s="2" t="s">
        <v>65</v>
      </c>
      <c r="R117" s="2" t="s">
        <v>652</v>
      </c>
      <c r="S117" s="2" t="s">
        <v>653</v>
      </c>
      <c r="T117" s="2" t="s">
        <v>37</v>
      </c>
      <c r="U117" s="2"/>
      <c r="V117" s="2">
        <v>4</v>
      </c>
      <c r="W117" s="2"/>
    </row>
    <row r="118" spans="1:23" ht="34" customHeight="1">
      <c r="A118" s="2" t="s">
        <v>640</v>
      </c>
      <c r="B118" s="2" t="s">
        <v>654</v>
      </c>
      <c r="C118" s="4">
        <v>0.5</v>
      </c>
      <c r="D118" s="4">
        <v>0.3</v>
      </c>
      <c r="E118" s="5">
        <v>2.75</v>
      </c>
      <c r="F118" s="4">
        <v>0.5</v>
      </c>
      <c r="G118" s="4">
        <v>1.5</v>
      </c>
      <c r="H118" s="4" t="s">
        <v>172</v>
      </c>
      <c r="I118" s="2" t="s">
        <v>655</v>
      </c>
      <c r="J118" s="2" t="s">
        <v>656</v>
      </c>
      <c r="K118" s="2" t="s">
        <v>51</v>
      </c>
      <c r="L118" s="2" t="s">
        <v>79</v>
      </c>
      <c r="M118" s="19">
        <f t="shared" si="1"/>
        <v>6</v>
      </c>
      <c r="N118" s="2" t="s">
        <v>657</v>
      </c>
      <c r="O118" s="2" t="s">
        <v>658</v>
      </c>
      <c r="P118" s="2" t="s">
        <v>45</v>
      </c>
      <c r="Q118" s="2"/>
      <c r="R118" s="2" t="s">
        <v>659</v>
      </c>
      <c r="S118" s="2" t="s">
        <v>660</v>
      </c>
      <c r="T118" s="2" t="s">
        <v>37</v>
      </c>
      <c r="U118" s="2"/>
      <c r="V118" s="2">
        <v>5</v>
      </c>
      <c r="W118" s="2"/>
    </row>
    <row r="119" spans="1:23" ht="64" customHeight="1">
      <c r="A119" s="2" t="s">
        <v>640</v>
      </c>
      <c r="B119" s="2" t="s">
        <v>661</v>
      </c>
      <c r="C119" s="5">
        <v>0.63</v>
      </c>
      <c r="D119" s="4">
        <v>0.2</v>
      </c>
      <c r="E119" s="12">
        <v>1</v>
      </c>
      <c r="F119" s="12">
        <v>0</v>
      </c>
      <c r="G119" s="8">
        <v>4.4999999999999998E-2</v>
      </c>
      <c r="H119" s="8" t="s">
        <v>662</v>
      </c>
      <c r="I119" s="2" t="s">
        <v>663</v>
      </c>
      <c r="J119" s="2" t="s">
        <v>50</v>
      </c>
      <c r="K119" s="2" t="s">
        <v>664</v>
      </c>
      <c r="L119" s="2" t="s">
        <v>32</v>
      </c>
      <c r="M119" s="19">
        <f t="shared" si="1"/>
        <v>6</v>
      </c>
      <c r="N119" s="2" t="s">
        <v>665</v>
      </c>
      <c r="O119" s="2" t="s">
        <v>666</v>
      </c>
      <c r="P119" s="2" t="s">
        <v>122</v>
      </c>
      <c r="Q119" s="2"/>
      <c r="R119" s="2" t="s">
        <v>667</v>
      </c>
      <c r="S119" s="2"/>
      <c r="T119" s="2" t="s">
        <v>37</v>
      </c>
      <c r="U119" s="2" t="s">
        <v>147</v>
      </c>
      <c r="V119" s="2">
        <v>3</v>
      </c>
      <c r="W119" s="2" t="s">
        <v>668</v>
      </c>
    </row>
    <row r="120" spans="1:23" ht="37" customHeight="1">
      <c r="A120" s="2" t="s">
        <v>640</v>
      </c>
      <c r="B120" s="2" t="s">
        <v>669</v>
      </c>
      <c r="C120" s="5">
        <v>0.55000000000000004</v>
      </c>
      <c r="D120" s="5">
        <v>0.08</v>
      </c>
      <c r="E120" s="6">
        <v>1</v>
      </c>
      <c r="F120" s="12">
        <v>0</v>
      </c>
      <c r="G120" s="8">
        <v>2.1999999999999999E-2</v>
      </c>
      <c r="H120" s="8" t="s">
        <v>670</v>
      </c>
      <c r="I120" s="2" t="s">
        <v>671</v>
      </c>
      <c r="J120" s="2" t="s">
        <v>72</v>
      </c>
      <c r="K120" s="2" t="s">
        <v>615</v>
      </c>
      <c r="L120" s="2" t="s">
        <v>32</v>
      </c>
      <c r="M120" s="19">
        <f t="shared" si="1"/>
        <v>6</v>
      </c>
      <c r="N120" s="2" t="s">
        <v>672</v>
      </c>
      <c r="O120" s="2" t="s">
        <v>673</v>
      </c>
      <c r="P120" s="2" t="s">
        <v>45</v>
      </c>
      <c r="Q120" s="2"/>
      <c r="R120" s="2" t="s">
        <v>674</v>
      </c>
      <c r="S120" s="2"/>
      <c r="T120" s="2" t="s">
        <v>37</v>
      </c>
      <c r="U120" s="2" t="s">
        <v>65</v>
      </c>
      <c r="V120" s="2">
        <v>4</v>
      </c>
      <c r="W120" s="2" t="s">
        <v>675</v>
      </c>
    </row>
    <row r="121" spans="1:23" ht="34" customHeight="1">
      <c r="A121" s="2" t="s">
        <v>640</v>
      </c>
      <c r="B121" s="2" t="s">
        <v>676</v>
      </c>
      <c r="C121" s="6">
        <v>1</v>
      </c>
      <c r="D121" s="5">
        <v>0.53</v>
      </c>
      <c r="E121" s="4">
        <v>2.5</v>
      </c>
      <c r="F121" s="4">
        <v>0.7</v>
      </c>
      <c r="G121" s="4">
        <v>3.5</v>
      </c>
      <c r="H121" s="4" t="s">
        <v>172</v>
      </c>
      <c r="I121" s="2" t="s">
        <v>677</v>
      </c>
      <c r="J121" s="2" t="s">
        <v>656</v>
      </c>
      <c r="K121" s="2" t="s">
        <v>51</v>
      </c>
      <c r="L121" s="2" t="s">
        <v>79</v>
      </c>
      <c r="M121" s="19">
        <f t="shared" si="1"/>
        <v>6</v>
      </c>
      <c r="N121" s="2" t="s">
        <v>657</v>
      </c>
      <c r="O121" s="2" t="s">
        <v>678</v>
      </c>
      <c r="P121" s="2" t="s">
        <v>45</v>
      </c>
      <c r="Q121" s="2"/>
      <c r="R121" s="2" t="s">
        <v>667</v>
      </c>
      <c r="S121" s="2" t="s">
        <v>679</v>
      </c>
      <c r="T121" s="2" t="s">
        <v>37</v>
      </c>
      <c r="U121" s="2"/>
      <c r="V121" s="2">
        <v>5</v>
      </c>
      <c r="W121" s="2"/>
    </row>
    <row r="122" spans="1:23" ht="34" customHeight="1">
      <c r="A122" s="2" t="s">
        <v>640</v>
      </c>
      <c r="B122" s="2" t="s">
        <v>680</v>
      </c>
      <c r="C122" s="5">
        <v>0.76</v>
      </c>
      <c r="D122" s="5">
        <v>0.44</v>
      </c>
      <c r="E122" s="4">
        <v>1.8</v>
      </c>
      <c r="F122" s="7"/>
      <c r="G122" s="4">
        <v>0.8</v>
      </c>
      <c r="H122" s="4" t="s">
        <v>172</v>
      </c>
      <c r="I122" s="2" t="s">
        <v>681</v>
      </c>
      <c r="J122" s="2" t="s">
        <v>41</v>
      </c>
      <c r="K122" s="2" t="s">
        <v>42</v>
      </c>
      <c r="L122" s="2" t="s">
        <v>79</v>
      </c>
      <c r="M122" s="19">
        <f t="shared" si="1"/>
        <v>5</v>
      </c>
      <c r="N122" s="2" t="s">
        <v>682</v>
      </c>
      <c r="O122" s="2" t="s">
        <v>683</v>
      </c>
      <c r="P122" s="2" t="s">
        <v>45</v>
      </c>
      <c r="Q122" s="2" t="s">
        <v>65</v>
      </c>
      <c r="R122" s="2" t="s">
        <v>667</v>
      </c>
      <c r="S122" s="2"/>
      <c r="T122" s="2" t="s">
        <v>37</v>
      </c>
      <c r="U122" s="2"/>
      <c r="V122" s="2">
        <v>4</v>
      </c>
      <c r="W122" s="2"/>
    </row>
    <row r="123" spans="1:23" ht="34" customHeight="1">
      <c r="A123" s="2" t="s">
        <v>640</v>
      </c>
      <c r="B123" s="2" t="s">
        <v>684</v>
      </c>
      <c r="C123" s="5">
        <v>0.36</v>
      </c>
      <c r="D123" s="5">
        <v>0.24</v>
      </c>
      <c r="E123" s="4">
        <v>1.8</v>
      </c>
      <c r="F123" s="7" t="s">
        <v>685</v>
      </c>
      <c r="G123" s="5">
        <v>0.28000000000000003</v>
      </c>
      <c r="H123" s="5" t="s">
        <v>117</v>
      </c>
      <c r="I123" s="2" t="s">
        <v>686</v>
      </c>
      <c r="J123" s="2" t="s">
        <v>72</v>
      </c>
      <c r="K123" s="2" t="s">
        <v>687</v>
      </c>
      <c r="L123" s="2" t="s">
        <v>79</v>
      </c>
      <c r="M123" s="19">
        <f t="shared" si="1"/>
        <v>6</v>
      </c>
      <c r="N123" s="2" t="s">
        <v>688</v>
      </c>
      <c r="O123" s="2" t="s">
        <v>689</v>
      </c>
      <c r="P123" s="2" t="s">
        <v>190</v>
      </c>
      <c r="Q123" s="2"/>
      <c r="R123" s="2" t="s">
        <v>674</v>
      </c>
      <c r="S123" s="2" t="s">
        <v>690</v>
      </c>
      <c r="T123" s="2" t="s">
        <v>37</v>
      </c>
      <c r="U123" s="2"/>
      <c r="V123" s="2">
        <v>5</v>
      </c>
      <c r="W123" s="2"/>
    </row>
    <row r="124" spans="1:23" ht="34" customHeight="1">
      <c r="A124" s="2" t="s">
        <v>640</v>
      </c>
      <c r="B124" s="2" t="s">
        <v>691</v>
      </c>
      <c r="C124" s="5">
        <v>0.36</v>
      </c>
      <c r="D124" s="5">
        <v>0.24</v>
      </c>
      <c r="E124" s="6">
        <v>2</v>
      </c>
      <c r="F124" s="4">
        <v>0.5</v>
      </c>
      <c r="G124" s="5">
        <v>0.36</v>
      </c>
      <c r="H124" s="5" t="s">
        <v>692</v>
      </c>
      <c r="I124" s="2" t="s">
        <v>693</v>
      </c>
      <c r="J124" s="2" t="s">
        <v>694</v>
      </c>
      <c r="K124" s="2" t="s">
        <v>695</v>
      </c>
      <c r="L124" s="2" t="s">
        <v>79</v>
      </c>
      <c r="M124" s="19">
        <f t="shared" si="1"/>
        <v>6</v>
      </c>
      <c r="N124" s="2" t="s">
        <v>696</v>
      </c>
      <c r="O124" s="2" t="s">
        <v>697</v>
      </c>
      <c r="P124" s="2" t="s">
        <v>45</v>
      </c>
      <c r="Q124" s="2"/>
      <c r="R124" s="2" t="s">
        <v>674</v>
      </c>
      <c r="S124" s="2" t="s">
        <v>698</v>
      </c>
      <c r="T124" s="2" t="s">
        <v>37</v>
      </c>
      <c r="U124" s="2"/>
      <c r="V124" s="2">
        <v>5</v>
      </c>
      <c r="W124" s="2"/>
    </row>
    <row r="125" spans="1:23" ht="34" customHeight="1">
      <c r="A125" s="2" t="s">
        <v>640</v>
      </c>
      <c r="B125" s="2" t="s">
        <v>699</v>
      </c>
      <c r="C125" s="8">
        <v>0.16200000000000001</v>
      </c>
      <c r="D125" s="8">
        <v>7.9000000000000001E-2</v>
      </c>
      <c r="E125" s="5">
        <v>1.33</v>
      </c>
      <c r="F125" s="5">
        <v>0.08</v>
      </c>
      <c r="G125" s="8">
        <v>2.5000000000000001E-2</v>
      </c>
      <c r="H125" s="8" t="s">
        <v>172</v>
      </c>
      <c r="I125" s="2" t="s">
        <v>700</v>
      </c>
      <c r="J125" s="2" t="s">
        <v>72</v>
      </c>
      <c r="K125" s="2" t="s">
        <v>615</v>
      </c>
      <c r="L125" s="2" t="s">
        <v>79</v>
      </c>
      <c r="M125" s="19">
        <f t="shared" si="1"/>
        <v>6</v>
      </c>
      <c r="N125" s="2" t="s">
        <v>701</v>
      </c>
      <c r="O125" s="2" t="s">
        <v>702</v>
      </c>
      <c r="P125" s="2" t="s">
        <v>45</v>
      </c>
      <c r="Q125" s="2"/>
      <c r="R125" s="2" t="s">
        <v>703</v>
      </c>
      <c r="S125" s="2"/>
      <c r="T125" s="2" t="s">
        <v>37</v>
      </c>
      <c r="U125" s="2"/>
      <c r="V125" s="2">
        <v>5</v>
      </c>
      <c r="W125" s="2"/>
    </row>
    <row r="126" spans="1:23" ht="34" customHeight="1">
      <c r="A126" s="2" t="s">
        <v>640</v>
      </c>
      <c r="B126" s="2" t="s">
        <v>704</v>
      </c>
      <c r="C126" s="5">
        <v>1.32</v>
      </c>
      <c r="D126" s="5">
        <v>0.47</v>
      </c>
      <c r="E126" s="5">
        <v>1.83</v>
      </c>
      <c r="F126" s="4">
        <v>0.4</v>
      </c>
      <c r="G126" s="6">
        <v>11</v>
      </c>
      <c r="H126" s="6" t="s">
        <v>705</v>
      </c>
      <c r="I126" s="2" t="s">
        <v>706</v>
      </c>
      <c r="J126" s="2" t="s">
        <v>41</v>
      </c>
      <c r="K126" s="2" t="s">
        <v>707</v>
      </c>
      <c r="L126" s="2" t="s">
        <v>32</v>
      </c>
      <c r="M126" s="19">
        <f t="shared" si="1"/>
        <v>6</v>
      </c>
      <c r="N126" s="2" t="s">
        <v>708</v>
      </c>
      <c r="O126" s="2" t="s">
        <v>709</v>
      </c>
      <c r="P126" s="2" t="s">
        <v>190</v>
      </c>
      <c r="Q126" s="2"/>
      <c r="R126" s="2" t="s">
        <v>710</v>
      </c>
      <c r="S126" s="2" t="s">
        <v>711</v>
      </c>
      <c r="T126" s="2" t="s">
        <v>37</v>
      </c>
      <c r="U126" s="2"/>
      <c r="V126" s="2">
        <v>5</v>
      </c>
      <c r="W126" s="2"/>
    </row>
    <row r="127" spans="1:23" ht="34" customHeight="1">
      <c r="A127" s="2" t="s">
        <v>640</v>
      </c>
      <c r="B127" s="2" t="s">
        <v>712</v>
      </c>
      <c r="C127" s="4">
        <v>1.7</v>
      </c>
      <c r="D127" s="5">
        <v>1.1299999999999999</v>
      </c>
      <c r="E127" s="4">
        <v>2.5</v>
      </c>
      <c r="F127" s="7"/>
      <c r="G127" s="6">
        <v>14</v>
      </c>
      <c r="H127" s="6" t="s">
        <v>713</v>
      </c>
      <c r="I127" s="2" t="s">
        <v>714</v>
      </c>
      <c r="J127" s="2" t="s">
        <v>656</v>
      </c>
      <c r="K127" s="2" t="s">
        <v>715</v>
      </c>
      <c r="L127" s="2" t="s">
        <v>79</v>
      </c>
      <c r="M127" s="19">
        <f t="shared" si="1"/>
        <v>5</v>
      </c>
      <c r="N127" s="2" t="s">
        <v>716</v>
      </c>
      <c r="O127" s="2" t="s">
        <v>717</v>
      </c>
      <c r="P127" s="2" t="s">
        <v>45</v>
      </c>
      <c r="Q127" s="2" t="s">
        <v>65</v>
      </c>
      <c r="R127" s="2" t="s">
        <v>718</v>
      </c>
      <c r="S127" s="2" t="s">
        <v>719</v>
      </c>
      <c r="T127" s="2" t="s">
        <v>37</v>
      </c>
      <c r="U127" s="2"/>
      <c r="V127" s="2">
        <v>4</v>
      </c>
      <c r="W127" s="2"/>
    </row>
    <row r="128" spans="1:23" ht="64" customHeight="1">
      <c r="A128" s="2" t="s">
        <v>640</v>
      </c>
      <c r="B128" s="2" t="s">
        <v>720</v>
      </c>
      <c r="C128" s="5">
        <v>0.67</v>
      </c>
      <c r="D128" s="5">
        <v>0.17</v>
      </c>
      <c r="E128" s="12">
        <v>1</v>
      </c>
      <c r="F128" s="12">
        <v>0</v>
      </c>
      <c r="G128" s="4">
        <v>0.1</v>
      </c>
      <c r="H128" s="4" t="s">
        <v>117</v>
      </c>
      <c r="I128" s="2" t="s">
        <v>721</v>
      </c>
      <c r="J128" s="2" t="s">
        <v>50</v>
      </c>
      <c r="K128" s="2" t="s">
        <v>664</v>
      </c>
      <c r="L128" s="2" t="s">
        <v>32</v>
      </c>
      <c r="M128" s="19">
        <f t="shared" si="1"/>
        <v>6</v>
      </c>
      <c r="N128" s="2" t="s">
        <v>665</v>
      </c>
      <c r="O128" s="2" t="s">
        <v>722</v>
      </c>
      <c r="P128" s="2" t="s">
        <v>45</v>
      </c>
      <c r="Q128" s="2"/>
      <c r="R128" s="2" t="s">
        <v>659</v>
      </c>
      <c r="S128" s="2"/>
      <c r="T128" s="2" t="s">
        <v>37</v>
      </c>
      <c r="U128" s="2" t="s">
        <v>147</v>
      </c>
      <c r="V128" s="2">
        <v>3</v>
      </c>
      <c r="W128" s="2" t="s">
        <v>723</v>
      </c>
    </row>
    <row r="129" spans="1:23" ht="37" customHeight="1">
      <c r="A129" s="2" t="s">
        <v>640</v>
      </c>
      <c r="B129" s="2" t="s">
        <v>724</v>
      </c>
      <c r="C129" s="4">
        <v>1.5</v>
      </c>
      <c r="D129" s="5">
        <v>0.36</v>
      </c>
      <c r="E129" s="6">
        <v>1</v>
      </c>
      <c r="F129" s="6">
        <v>0</v>
      </c>
      <c r="G129" s="4">
        <v>0.4</v>
      </c>
      <c r="H129" s="4" t="s">
        <v>351</v>
      </c>
      <c r="I129" s="2" t="s">
        <v>725</v>
      </c>
      <c r="J129" s="2" t="s">
        <v>72</v>
      </c>
      <c r="K129" s="2" t="s">
        <v>101</v>
      </c>
      <c r="L129" s="2" t="s">
        <v>32</v>
      </c>
      <c r="M129" s="19">
        <f t="shared" si="1"/>
        <v>6</v>
      </c>
      <c r="N129" s="2" t="s">
        <v>726</v>
      </c>
      <c r="O129" s="2" t="s">
        <v>727</v>
      </c>
      <c r="P129" s="2" t="s">
        <v>45</v>
      </c>
      <c r="Q129" s="2"/>
      <c r="R129" s="2" t="s">
        <v>728</v>
      </c>
      <c r="S129" s="2"/>
      <c r="T129" s="2" t="s">
        <v>37</v>
      </c>
      <c r="U129" s="2"/>
      <c r="V129" s="2">
        <v>5</v>
      </c>
      <c r="W129" s="2"/>
    </row>
    <row r="130" spans="1:23" ht="64" customHeight="1">
      <c r="A130" s="2" t="s">
        <v>640</v>
      </c>
      <c r="B130" s="2" t="s">
        <v>729</v>
      </c>
      <c r="C130" s="4">
        <v>0.7</v>
      </c>
      <c r="D130" s="5">
        <v>0.25</v>
      </c>
      <c r="E130" s="12">
        <v>1</v>
      </c>
      <c r="F130" s="12">
        <v>0</v>
      </c>
      <c r="G130" s="5">
        <v>0.17</v>
      </c>
      <c r="H130" s="5" t="s">
        <v>172</v>
      </c>
      <c r="I130" s="2" t="s">
        <v>663</v>
      </c>
      <c r="J130" s="2" t="s">
        <v>50</v>
      </c>
      <c r="K130" s="2" t="s">
        <v>664</v>
      </c>
      <c r="L130" s="2" t="s">
        <v>32</v>
      </c>
      <c r="M130" s="19">
        <f t="shared" si="1"/>
        <v>6</v>
      </c>
      <c r="N130" s="2" t="s">
        <v>665</v>
      </c>
      <c r="O130" s="2" t="s">
        <v>730</v>
      </c>
      <c r="P130" s="2" t="s">
        <v>122</v>
      </c>
      <c r="Q130" s="2"/>
      <c r="R130" s="2" t="s">
        <v>659</v>
      </c>
      <c r="S130" s="2"/>
      <c r="T130" s="2" t="s">
        <v>37</v>
      </c>
      <c r="U130" s="2" t="s">
        <v>147</v>
      </c>
      <c r="V130" s="2">
        <v>3</v>
      </c>
      <c r="W130" s="2" t="s">
        <v>723</v>
      </c>
    </row>
    <row r="131" spans="1:23" ht="37" customHeight="1">
      <c r="A131" s="2" t="s">
        <v>640</v>
      </c>
      <c r="B131" s="2" t="s">
        <v>731</v>
      </c>
      <c r="C131" s="4">
        <v>0.7</v>
      </c>
      <c r="D131" s="4">
        <v>0.2</v>
      </c>
      <c r="E131" s="6">
        <v>1</v>
      </c>
      <c r="F131" s="12">
        <v>0</v>
      </c>
      <c r="G131" s="5">
        <v>0.15</v>
      </c>
      <c r="H131" s="5" t="s">
        <v>117</v>
      </c>
      <c r="I131" s="2" t="s">
        <v>671</v>
      </c>
      <c r="J131" s="2" t="s">
        <v>72</v>
      </c>
      <c r="K131" s="2" t="s">
        <v>615</v>
      </c>
      <c r="L131" s="2" t="s">
        <v>32</v>
      </c>
      <c r="M131" s="19">
        <f t="shared" si="1"/>
        <v>6</v>
      </c>
      <c r="N131" s="2" t="s">
        <v>732</v>
      </c>
      <c r="O131" s="2" t="s">
        <v>733</v>
      </c>
      <c r="P131" s="2" t="s">
        <v>45</v>
      </c>
      <c r="Q131" s="2"/>
      <c r="R131" s="2" t="s">
        <v>734</v>
      </c>
      <c r="S131" s="2" t="s">
        <v>735</v>
      </c>
      <c r="T131" s="2" t="s">
        <v>37</v>
      </c>
      <c r="U131" s="2" t="s">
        <v>65</v>
      </c>
      <c r="V131" s="2">
        <v>4</v>
      </c>
      <c r="W131" s="2" t="s">
        <v>736</v>
      </c>
    </row>
    <row r="132" spans="1:23" ht="34" customHeight="1">
      <c r="A132" s="2" t="s">
        <v>640</v>
      </c>
      <c r="B132" s="2" t="s">
        <v>737</v>
      </c>
      <c r="C132" s="5">
        <v>0.36</v>
      </c>
      <c r="D132" s="5">
        <v>0.08</v>
      </c>
      <c r="E132" s="7"/>
      <c r="F132" s="7"/>
      <c r="G132" s="5">
        <v>0.03</v>
      </c>
      <c r="H132" s="5" t="s">
        <v>117</v>
      </c>
      <c r="I132" s="2" t="s">
        <v>738</v>
      </c>
      <c r="J132" s="2" t="s">
        <v>50</v>
      </c>
      <c r="K132" s="2" t="s">
        <v>664</v>
      </c>
      <c r="L132" s="2" t="s">
        <v>32</v>
      </c>
      <c r="M132" s="19">
        <f t="shared" si="1"/>
        <v>4</v>
      </c>
      <c r="N132" s="2" t="s">
        <v>665</v>
      </c>
      <c r="O132" s="2" t="s">
        <v>739</v>
      </c>
      <c r="P132" s="2" t="s">
        <v>122</v>
      </c>
      <c r="Q132" s="2" t="s">
        <v>147</v>
      </c>
      <c r="R132" s="2" t="s">
        <v>659</v>
      </c>
      <c r="S132" s="2"/>
      <c r="T132" s="2" t="s">
        <v>37</v>
      </c>
      <c r="U132" s="2"/>
      <c r="V132" s="2">
        <v>3</v>
      </c>
      <c r="W132" s="2"/>
    </row>
    <row r="133" spans="1:23" ht="64" customHeight="1">
      <c r="A133" s="2" t="s">
        <v>640</v>
      </c>
      <c r="B133" s="2" t="s">
        <v>740</v>
      </c>
      <c r="C133" s="5">
        <v>0.36</v>
      </c>
      <c r="D133" s="5">
        <v>0.08</v>
      </c>
      <c r="E133" s="12">
        <v>1</v>
      </c>
      <c r="F133" s="12">
        <v>0</v>
      </c>
      <c r="G133" s="8">
        <v>3.5000000000000003E-2</v>
      </c>
      <c r="H133" s="8" t="s">
        <v>662</v>
      </c>
      <c r="I133" s="2" t="s">
        <v>663</v>
      </c>
      <c r="J133" s="2" t="s">
        <v>50</v>
      </c>
      <c r="K133" s="2" t="s">
        <v>281</v>
      </c>
      <c r="L133" s="2" t="s">
        <v>32</v>
      </c>
      <c r="M133" s="19">
        <f t="shared" si="1"/>
        <v>6</v>
      </c>
      <c r="N133" s="2" t="s">
        <v>120</v>
      </c>
      <c r="O133" s="2" t="s">
        <v>741</v>
      </c>
      <c r="P133" s="2" t="s">
        <v>122</v>
      </c>
      <c r="Q133" s="2"/>
      <c r="R133" s="2" t="s">
        <v>742</v>
      </c>
      <c r="S133" s="2" t="s">
        <v>743</v>
      </c>
      <c r="T133" s="2" t="s">
        <v>37</v>
      </c>
      <c r="U133" s="2" t="s">
        <v>147</v>
      </c>
      <c r="V133" s="2">
        <v>3</v>
      </c>
      <c r="W133" s="2" t="s">
        <v>723</v>
      </c>
    </row>
    <row r="134" spans="1:23" ht="34" customHeight="1">
      <c r="A134" s="2" t="s">
        <v>640</v>
      </c>
      <c r="B134" s="2" t="s">
        <v>744</v>
      </c>
      <c r="C134" s="5">
        <v>1.06</v>
      </c>
      <c r="D134" s="5">
        <v>0.32</v>
      </c>
      <c r="E134" s="7"/>
      <c r="F134" s="7"/>
      <c r="G134" s="4">
        <v>0.3</v>
      </c>
      <c r="H134" s="4" t="s">
        <v>745</v>
      </c>
      <c r="I134" s="2" t="s">
        <v>746</v>
      </c>
      <c r="J134" s="2" t="s">
        <v>747</v>
      </c>
      <c r="K134" s="2" t="s">
        <v>748</v>
      </c>
      <c r="L134" s="2" t="s">
        <v>32</v>
      </c>
      <c r="M134" s="19">
        <f t="shared" ref="M134:M197" si="2">6-COUNTBLANK(C134:H134)</f>
        <v>4</v>
      </c>
      <c r="N134" s="2" t="s">
        <v>749</v>
      </c>
      <c r="O134" s="2" t="s">
        <v>750</v>
      </c>
      <c r="P134" s="2" t="s">
        <v>35</v>
      </c>
      <c r="Q134" s="2" t="s">
        <v>147</v>
      </c>
      <c r="R134" s="2" t="s">
        <v>751</v>
      </c>
      <c r="S134" s="2" t="s">
        <v>752</v>
      </c>
      <c r="T134" s="2" t="s">
        <v>37</v>
      </c>
      <c r="U134" s="2"/>
      <c r="V134" s="2">
        <v>3</v>
      </c>
      <c r="W134" s="2"/>
    </row>
    <row r="135" spans="1:23" ht="34" customHeight="1">
      <c r="A135" s="2" t="s">
        <v>640</v>
      </c>
      <c r="B135" s="2" t="s">
        <v>753</v>
      </c>
      <c r="C135" s="4">
        <v>0.4</v>
      </c>
      <c r="D135" s="8">
        <v>0.125</v>
      </c>
      <c r="E135" s="7"/>
      <c r="F135" s="7"/>
      <c r="G135" s="4">
        <v>1.2</v>
      </c>
      <c r="H135" s="4" t="s">
        <v>745</v>
      </c>
      <c r="I135" s="2" t="s">
        <v>754</v>
      </c>
      <c r="J135" s="2" t="s">
        <v>747</v>
      </c>
      <c r="K135" s="2" t="s">
        <v>748</v>
      </c>
      <c r="L135" s="2" t="s">
        <v>32</v>
      </c>
      <c r="M135" s="19">
        <f t="shared" si="2"/>
        <v>4</v>
      </c>
      <c r="N135" s="2" t="s">
        <v>749</v>
      </c>
      <c r="O135" s="2" t="s">
        <v>755</v>
      </c>
      <c r="P135" s="2" t="s">
        <v>35</v>
      </c>
      <c r="Q135" s="2" t="s">
        <v>147</v>
      </c>
      <c r="R135" s="2" t="s">
        <v>751</v>
      </c>
      <c r="S135" s="2" t="s">
        <v>752</v>
      </c>
      <c r="T135" s="2" t="s">
        <v>37</v>
      </c>
      <c r="U135" s="2"/>
      <c r="V135" s="2">
        <v>3</v>
      </c>
      <c r="W135" s="2"/>
    </row>
    <row r="136" spans="1:23" ht="34" customHeight="1">
      <c r="A136" s="2" t="s">
        <v>640</v>
      </c>
      <c r="B136" s="2" t="s">
        <v>756</v>
      </c>
      <c r="C136" s="5">
        <v>1.48</v>
      </c>
      <c r="D136" s="5">
        <v>0.67</v>
      </c>
      <c r="E136" s="7" t="s">
        <v>542</v>
      </c>
      <c r="F136" s="7" t="s">
        <v>757</v>
      </c>
      <c r="G136" s="6">
        <v>2</v>
      </c>
      <c r="H136" s="6" t="s">
        <v>70</v>
      </c>
      <c r="I136" s="2" t="s">
        <v>706</v>
      </c>
      <c r="J136" s="2" t="s">
        <v>94</v>
      </c>
      <c r="K136" s="2" t="s">
        <v>199</v>
      </c>
      <c r="L136" s="2" t="s">
        <v>32</v>
      </c>
      <c r="M136" s="19">
        <f t="shared" si="2"/>
        <v>6</v>
      </c>
      <c r="N136" s="2" t="s">
        <v>758</v>
      </c>
      <c r="O136" s="2" t="s">
        <v>759</v>
      </c>
      <c r="P136" s="2" t="s">
        <v>633</v>
      </c>
      <c r="Q136" s="2"/>
      <c r="R136" s="2" t="s">
        <v>728</v>
      </c>
      <c r="S136" s="2" t="s">
        <v>760</v>
      </c>
      <c r="T136" s="2" t="s">
        <v>37</v>
      </c>
      <c r="U136" s="2"/>
      <c r="V136" s="2">
        <v>5</v>
      </c>
      <c r="W136" s="2"/>
    </row>
    <row r="137" spans="1:23" ht="64" customHeight="1">
      <c r="A137" s="2" t="s">
        <v>640</v>
      </c>
      <c r="B137" s="2" t="s">
        <v>761</v>
      </c>
      <c r="C137" s="5">
        <v>2.4300000000000002</v>
      </c>
      <c r="D137" s="5">
        <v>0.78</v>
      </c>
      <c r="E137" s="12">
        <v>1</v>
      </c>
      <c r="F137" s="12">
        <v>0</v>
      </c>
      <c r="G137" s="6">
        <v>1</v>
      </c>
      <c r="H137" s="6" t="s">
        <v>762</v>
      </c>
      <c r="I137" s="2" t="s">
        <v>763</v>
      </c>
      <c r="J137" s="2" t="s">
        <v>61</v>
      </c>
      <c r="K137" s="2" t="s">
        <v>764</v>
      </c>
      <c r="L137" s="2" t="s">
        <v>32</v>
      </c>
      <c r="M137" s="19">
        <f t="shared" si="2"/>
        <v>6</v>
      </c>
      <c r="N137" s="2" t="s">
        <v>765</v>
      </c>
      <c r="O137" s="2" t="s">
        <v>766</v>
      </c>
      <c r="P137" s="2" t="s">
        <v>45</v>
      </c>
      <c r="Q137" s="2"/>
      <c r="R137" s="2" t="s">
        <v>728</v>
      </c>
      <c r="S137" s="2" t="s">
        <v>767</v>
      </c>
      <c r="T137" s="2" t="s">
        <v>37</v>
      </c>
      <c r="U137" s="2" t="s">
        <v>147</v>
      </c>
      <c r="V137" s="2">
        <v>3</v>
      </c>
      <c r="W137" s="2" t="s">
        <v>768</v>
      </c>
    </row>
    <row r="138" spans="1:23" ht="64" customHeight="1">
      <c r="A138" s="2" t="s">
        <v>640</v>
      </c>
      <c r="B138" s="2" t="s">
        <v>769</v>
      </c>
      <c r="C138" s="5">
        <v>0.62</v>
      </c>
      <c r="D138" s="5">
        <v>0.22</v>
      </c>
      <c r="E138" s="12">
        <v>1</v>
      </c>
      <c r="F138" s="12">
        <v>0</v>
      </c>
      <c r="G138" s="5">
        <v>0.04</v>
      </c>
      <c r="H138" s="5" t="s">
        <v>117</v>
      </c>
      <c r="I138" s="2" t="s">
        <v>770</v>
      </c>
      <c r="J138" s="2" t="s">
        <v>61</v>
      </c>
      <c r="K138" s="2" t="s">
        <v>664</v>
      </c>
      <c r="L138" s="2" t="s">
        <v>32</v>
      </c>
      <c r="M138" s="19">
        <f t="shared" si="2"/>
        <v>6</v>
      </c>
      <c r="N138" s="2" t="s">
        <v>665</v>
      </c>
      <c r="O138" s="2" t="s">
        <v>771</v>
      </c>
      <c r="P138" s="2" t="s">
        <v>45</v>
      </c>
      <c r="Q138" s="2"/>
      <c r="R138" s="2" t="s">
        <v>728</v>
      </c>
      <c r="S138" s="2" t="s">
        <v>772</v>
      </c>
      <c r="T138" s="2" t="s">
        <v>37</v>
      </c>
      <c r="U138" s="2" t="s">
        <v>147</v>
      </c>
      <c r="V138" s="2">
        <v>3</v>
      </c>
      <c r="W138" s="2" t="s">
        <v>723</v>
      </c>
    </row>
    <row r="139" spans="1:23" ht="64" customHeight="1">
      <c r="A139" s="2" t="s">
        <v>640</v>
      </c>
      <c r="B139" s="2" t="s">
        <v>773</v>
      </c>
      <c r="C139" s="6">
        <v>5</v>
      </c>
      <c r="D139" s="6">
        <v>2</v>
      </c>
      <c r="E139" s="12">
        <v>1</v>
      </c>
      <c r="F139" s="12">
        <v>0</v>
      </c>
      <c r="G139" s="6">
        <v>6</v>
      </c>
      <c r="H139" s="6" t="s">
        <v>70</v>
      </c>
      <c r="I139" s="2" t="s">
        <v>774</v>
      </c>
      <c r="J139" s="2" t="s">
        <v>747</v>
      </c>
      <c r="K139" s="2" t="s">
        <v>775</v>
      </c>
      <c r="L139" s="2" t="s">
        <v>32</v>
      </c>
      <c r="M139" s="19">
        <f t="shared" si="2"/>
        <v>6</v>
      </c>
      <c r="N139" s="2" t="s">
        <v>776</v>
      </c>
      <c r="O139" s="2" t="s">
        <v>777</v>
      </c>
      <c r="P139" s="2" t="s">
        <v>778</v>
      </c>
      <c r="Q139" s="2"/>
      <c r="R139" s="2" t="s">
        <v>751</v>
      </c>
      <c r="S139" s="2"/>
      <c r="T139" s="2" t="s">
        <v>37</v>
      </c>
      <c r="U139" s="2" t="s">
        <v>147</v>
      </c>
      <c r="V139" s="2">
        <v>3</v>
      </c>
      <c r="W139" s="2" t="s">
        <v>779</v>
      </c>
    </row>
    <row r="140" spans="1:23" ht="64" customHeight="1">
      <c r="A140" s="2" t="s">
        <v>640</v>
      </c>
      <c r="B140" s="2" t="s">
        <v>780</v>
      </c>
      <c r="C140" s="6">
        <v>1</v>
      </c>
      <c r="D140" s="5">
        <v>0.15</v>
      </c>
      <c r="E140" s="12">
        <v>1</v>
      </c>
      <c r="F140" s="12">
        <v>0</v>
      </c>
      <c r="G140" s="5">
        <v>0.15</v>
      </c>
      <c r="H140" s="5" t="s">
        <v>426</v>
      </c>
      <c r="I140" s="2" t="s">
        <v>721</v>
      </c>
      <c r="J140" s="2" t="s">
        <v>50</v>
      </c>
      <c r="K140" s="2" t="s">
        <v>664</v>
      </c>
      <c r="L140" s="2" t="s">
        <v>32</v>
      </c>
      <c r="M140" s="19">
        <f t="shared" si="2"/>
        <v>6</v>
      </c>
      <c r="N140" s="2" t="s">
        <v>765</v>
      </c>
      <c r="O140" s="2" t="s">
        <v>781</v>
      </c>
      <c r="P140" s="2" t="s">
        <v>45</v>
      </c>
      <c r="Q140" s="2"/>
      <c r="R140" s="2" t="s">
        <v>659</v>
      </c>
      <c r="S140" s="2"/>
      <c r="T140" s="2" t="s">
        <v>37</v>
      </c>
      <c r="U140" s="2" t="s">
        <v>147</v>
      </c>
      <c r="V140" s="2">
        <v>3</v>
      </c>
      <c r="W140" s="2" t="s">
        <v>768</v>
      </c>
    </row>
    <row r="141" spans="1:23" ht="64" customHeight="1">
      <c r="A141" s="2" t="s">
        <v>640</v>
      </c>
      <c r="B141" s="2" t="s">
        <v>782</v>
      </c>
      <c r="C141" s="6">
        <v>1</v>
      </c>
      <c r="D141" s="4">
        <v>0.2</v>
      </c>
      <c r="E141" s="12">
        <v>1</v>
      </c>
      <c r="F141" s="12">
        <v>0</v>
      </c>
      <c r="G141" s="5">
        <v>0.12</v>
      </c>
      <c r="H141" s="5" t="s">
        <v>426</v>
      </c>
      <c r="I141" s="2" t="s">
        <v>783</v>
      </c>
      <c r="J141" s="2" t="s">
        <v>50</v>
      </c>
      <c r="K141" s="2" t="s">
        <v>664</v>
      </c>
      <c r="L141" s="2" t="s">
        <v>32</v>
      </c>
      <c r="M141" s="19">
        <f t="shared" si="2"/>
        <v>6</v>
      </c>
      <c r="N141" s="2" t="s">
        <v>784</v>
      </c>
      <c r="O141" s="2" t="s">
        <v>785</v>
      </c>
      <c r="P141" s="2" t="s">
        <v>45</v>
      </c>
      <c r="Q141" s="2"/>
      <c r="R141" s="2" t="s">
        <v>659</v>
      </c>
      <c r="S141" s="2"/>
      <c r="T141" s="2" t="s">
        <v>37</v>
      </c>
      <c r="U141" s="2" t="s">
        <v>147</v>
      </c>
      <c r="V141" s="2">
        <v>3</v>
      </c>
      <c r="W141" s="2" t="s">
        <v>723</v>
      </c>
    </row>
    <row r="142" spans="1:23" ht="64" customHeight="1">
      <c r="A142" s="2" t="s">
        <v>640</v>
      </c>
      <c r="B142" s="2" t="s">
        <v>786</v>
      </c>
      <c r="C142" s="6">
        <v>1</v>
      </c>
      <c r="D142" s="5">
        <v>0.17</v>
      </c>
      <c r="E142" s="12">
        <v>1</v>
      </c>
      <c r="F142" s="12">
        <v>0</v>
      </c>
      <c r="G142" s="5">
        <v>0.35</v>
      </c>
      <c r="H142" s="5" t="s">
        <v>39</v>
      </c>
      <c r="I142" s="2" t="s">
        <v>787</v>
      </c>
      <c r="J142" s="2" t="s">
        <v>50</v>
      </c>
      <c r="K142" s="2" t="s">
        <v>788</v>
      </c>
      <c r="L142" s="2" t="s">
        <v>32</v>
      </c>
      <c r="M142" s="19">
        <f t="shared" si="2"/>
        <v>6</v>
      </c>
      <c r="N142" s="2" t="s">
        <v>789</v>
      </c>
      <c r="O142" s="2" t="s">
        <v>790</v>
      </c>
      <c r="P142" s="2" t="s">
        <v>45</v>
      </c>
      <c r="Q142" s="2"/>
      <c r="R142" s="2" t="s">
        <v>791</v>
      </c>
      <c r="S142" s="2"/>
      <c r="T142" s="2" t="s">
        <v>37</v>
      </c>
      <c r="U142" s="2" t="s">
        <v>147</v>
      </c>
      <c r="V142" s="2">
        <v>3</v>
      </c>
      <c r="W142" s="2" t="s">
        <v>768</v>
      </c>
    </row>
    <row r="143" spans="1:23" ht="64" customHeight="1">
      <c r="A143" s="2" t="s">
        <v>640</v>
      </c>
      <c r="B143" s="2" t="s">
        <v>792</v>
      </c>
      <c r="C143" s="5">
        <v>0.63</v>
      </c>
      <c r="D143" s="5">
        <v>0.15</v>
      </c>
      <c r="E143" s="12">
        <v>1</v>
      </c>
      <c r="F143" s="12">
        <v>0</v>
      </c>
      <c r="G143" s="5">
        <v>0.06</v>
      </c>
      <c r="H143" s="5" t="s">
        <v>662</v>
      </c>
      <c r="I143" s="2" t="s">
        <v>663</v>
      </c>
      <c r="J143" s="2" t="s">
        <v>50</v>
      </c>
      <c r="K143" s="2" t="s">
        <v>664</v>
      </c>
      <c r="L143" s="2" t="s">
        <v>32</v>
      </c>
      <c r="M143" s="19">
        <f t="shared" si="2"/>
        <v>6</v>
      </c>
      <c r="N143" s="2" t="s">
        <v>665</v>
      </c>
      <c r="O143" s="2" t="s">
        <v>793</v>
      </c>
      <c r="P143" s="2" t="s">
        <v>122</v>
      </c>
      <c r="Q143" s="2"/>
      <c r="R143" s="2" t="s">
        <v>659</v>
      </c>
      <c r="S143" s="2"/>
      <c r="T143" s="2" t="s">
        <v>37</v>
      </c>
      <c r="U143" s="2" t="s">
        <v>147</v>
      </c>
      <c r="V143" s="2">
        <v>3</v>
      </c>
      <c r="W143" s="2" t="s">
        <v>723</v>
      </c>
    </row>
    <row r="144" spans="1:23" ht="64" customHeight="1">
      <c r="A144" s="2" t="s">
        <v>640</v>
      </c>
      <c r="B144" s="2" t="s">
        <v>794</v>
      </c>
      <c r="C144" s="4">
        <v>0.7</v>
      </c>
      <c r="D144" s="5">
        <v>0.25</v>
      </c>
      <c r="E144" s="12">
        <v>1</v>
      </c>
      <c r="F144" s="12">
        <v>0</v>
      </c>
      <c r="G144" s="5">
        <v>0.27</v>
      </c>
      <c r="H144" s="5" t="s">
        <v>172</v>
      </c>
      <c r="I144" s="2" t="s">
        <v>787</v>
      </c>
      <c r="J144" s="2" t="s">
        <v>50</v>
      </c>
      <c r="K144" s="2" t="s">
        <v>788</v>
      </c>
      <c r="L144" s="2" t="s">
        <v>32</v>
      </c>
      <c r="M144" s="19">
        <f t="shared" si="2"/>
        <v>6</v>
      </c>
      <c r="N144" s="2" t="s">
        <v>795</v>
      </c>
      <c r="O144" s="2" t="s">
        <v>796</v>
      </c>
      <c r="P144" s="2" t="s">
        <v>45</v>
      </c>
      <c r="Q144" s="2"/>
      <c r="R144" s="2" t="s">
        <v>791</v>
      </c>
      <c r="S144" s="2"/>
      <c r="T144" s="2" t="s">
        <v>37</v>
      </c>
      <c r="U144" s="2" t="s">
        <v>147</v>
      </c>
      <c r="V144" s="2">
        <v>3</v>
      </c>
      <c r="W144" s="2" t="s">
        <v>723</v>
      </c>
    </row>
    <row r="145" spans="1:23" ht="64" customHeight="1">
      <c r="A145" s="2" t="s">
        <v>640</v>
      </c>
      <c r="B145" s="2" t="s">
        <v>797</v>
      </c>
      <c r="C145" s="5">
        <v>1.25</v>
      </c>
      <c r="D145" s="4">
        <v>0.3</v>
      </c>
      <c r="E145" s="12">
        <v>1</v>
      </c>
      <c r="F145" s="12">
        <v>0</v>
      </c>
      <c r="G145" s="4">
        <v>0.5</v>
      </c>
      <c r="H145" s="4" t="s">
        <v>76</v>
      </c>
      <c r="I145" s="2" t="s">
        <v>798</v>
      </c>
      <c r="J145" s="2" t="s">
        <v>50</v>
      </c>
      <c r="K145" s="2" t="s">
        <v>664</v>
      </c>
      <c r="L145" s="2" t="s">
        <v>32</v>
      </c>
      <c r="M145" s="19">
        <f t="shared" si="2"/>
        <v>6</v>
      </c>
      <c r="N145" s="2" t="s">
        <v>799</v>
      </c>
      <c r="O145" s="2" t="s">
        <v>800</v>
      </c>
      <c r="P145" s="2" t="s">
        <v>45</v>
      </c>
      <c r="Q145" s="2"/>
      <c r="R145" s="2" t="s">
        <v>659</v>
      </c>
      <c r="S145" s="2"/>
      <c r="T145" s="2" t="s">
        <v>37</v>
      </c>
      <c r="U145" s="2" t="s">
        <v>147</v>
      </c>
      <c r="V145" s="2">
        <v>3</v>
      </c>
      <c r="W145" s="2" t="s">
        <v>768</v>
      </c>
    </row>
    <row r="146" spans="1:23" ht="34" customHeight="1">
      <c r="A146" s="2" t="s">
        <v>640</v>
      </c>
      <c r="B146" s="2" t="s">
        <v>801</v>
      </c>
      <c r="C146" s="5">
        <v>0.28000000000000003</v>
      </c>
      <c r="D146" s="8">
        <v>4.8000000000000001E-2</v>
      </c>
      <c r="E146" s="7"/>
      <c r="F146" s="7"/>
      <c r="G146" s="8">
        <v>2.4E-2</v>
      </c>
      <c r="H146" s="8" t="s">
        <v>662</v>
      </c>
      <c r="I146" s="2" t="s">
        <v>802</v>
      </c>
      <c r="J146" s="2" t="s">
        <v>50</v>
      </c>
      <c r="K146" s="2" t="s">
        <v>664</v>
      </c>
      <c r="L146" s="2" t="s">
        <v>32</v>
      </c>
      <c r="M146" s="19">
        <f t="shared" si="2"/>
        <v>4</v>
      </c>
      <c r="N146" s="2" t="s">
        <v>803</v>
      </c>
      <c r="O146" s="2" t="s">
        <v>804</v>
      </c>
      <c r="P146" s="2" t="s">
        <v>45</v>
      </c>
      <c r="Q146" s="2" t="s">
        <v>147</v>
      </c>
      <c r="R146" s="2" t="s">
        <v>659</v>
      </c>
      <c r="S146" s="2"/>
      <c r="T146" s="2" t="s">
        <v>37</v>
      </c>
      <c r="U146" s="2"/>
      <c r="V146" s="2">
        <v>3</v>
      </c>
      <c r="W146" s="2"/>
    </row>
    <row r="147" spans="1:23" ht="34" customHeight="1">
      <c r="A147" s="2" t="s">
        <v>640</v>
      </c>
      <c r="B147" s="2" t="s">
        <v>805</v>
      </c>
      <c r="C147" s="5">
        <v>0.36</v>
      </c>
      <c r="D147" s="5">
        <v>7.0000000000000007E-2</v>
      </c>
      <c r="E147" s="7" t="s">
        <v>806</v>
      </c>
      <c r="F147" s="7"/>
      <c r="G147" s="5">
        <v>0.04</v>
      </c>
      <c r="H147" s="5" t="s">
        <v>117</v>
      </c>
      <c r="I147" s="2" t="s">
        <v>807</v>
      </c>
      <c r="J147" s="2" t="s">
        <v>50</v>
      </c>
      <c r="K147" s="2" t="s">
        <v>788</v>
      </c>
      <c r="L147" s="2" t="s">
        <v>32</v>
      </c>
      <c r="M147" s="19">
        <f t="shared" si="2"/>
        <v>5</v>
      </c>
      <c r="N147" s="2" t="s">
        <v>795</v>
      </c>
      <c r="O147" s="2" t="s">
        <v>808</v>
      </c>
      <c r="P147" s="2" t="s">
        <v>122</v>
      </c>
      <c r="Q147" s="2" t="s">
        <v>65</v>
      </c>
      <c r="R147" s="2" t="s">
        <v>791</v>
      </c>
      <c r="S147" s="2" t="s">
        <v>809</v>
      </c>
      <c r="T147" s="2" t="s">
        <v>37</v>
      </c>
      <c r="U147" s="2"/>
      <c r="V147" s="2">
        <v>4</v>
      </c>
      <c r="W147" s="2"/>
    </row>
    <row r="148" spans="1:23" ht="64" customHeight="1">
      <c r="A148" s="2" t="s">
        <v>640</v>
      </c>
      <c r="B148" s="2" t="s">
        <v>810</v>
      </c>
      <c r="C148" s="4">
        <v>0.4</v>
      </c>
      <c r="D148" s="4">
        <v>0.1</v>
      </c>
      <c r="E148" s="12">
        <v>1</v>
      </c>
      <c r="F148" s="12">
        <v>0</v>
      </c>
      <c r="G148" s="4">
        <v>0.1</v>
      </c>
      <c r="H148" s="4" t="s">
        <v>811</v>
      </c>
      <c r="I148" s="2" t="s">
        <v>663</v>
      </c>
      <c r="J148" s="2" t="s">
        <v>50</v>
      </c>
      <c r="K148" s="2" t="s">
        <v>664</v>
      </c>
      <c r="L148" s="2" t="s">
        <v>32</v>
      </c>
      <c r="M148" s="19">
        <f t="shared" si="2"/>
        <v>6</v>
      </c>
      <c r="N148" s="2" t="s">
        <v>665</v>
      </c>
      <c r="O148" s="2" t="s">
        <v>812</v>
      </c>
      <c r="P148" s="2" t="s">
        <v>122</v>
      </c>
      <c r="Q148" s="2"/>
      <c r="R148" s="2" t="s">
        <v>659</v>
      </c>
      <c r="S148" s="2"/>
      <c r="T148" s="2" t="s">
        <v>37</v>
      </c>
      <c r="U148" s="2" t="s">
        <v>147</v>
      </c>
      <c r="V148" s="2">
        <v>3</v>
      </c>
      <c r="W148" s="2" t="s">
        <v>813</v>
      </c>
    </row>
    <row r="149" spans="1:23" ht="64" customHeight="1">
      <c r="A149" s="2" t="s">
        <v>640</v>
      </c>
      <c r="B149" s="2" t="s">
        <v>814</v>
      </c>
      <c r="C149" s="4">
        <v>0.4</v>
      </c>
      <c r="D149" s="5">
        <v>0.08</v>
      </c>
      <c r="E149" s="12">
        <v>1</v>
      </c>
      <c r="F149" s="12">
        <v>0</v>
      </c>
      <c r="G149" s="5">
        <v>0.03</v>
      </c>
      <c r="H149" s="5" t="s">
        <v>815</v>
      </c>
      <c r="I149" s="2" t="s">
        <v>663</v>
      </c>
      <c r="J149" s="2" t="s">
        <v>50</v>
      </c>
      <c r="K149" s="2" t="s">
        <v>664</v>
      </c>
      <c r="L149" s="2" t="s">
        <v>32</v>
      </c>
      <c r="M149" s="19">
        <f t="shared" si="2"/>
        <v>6</v>
      </c>
      <c r="N149" s="2" t="s">
        <v>665</v>
      </c>
      <c r="O149" s="2" t="s">
        <v>816</v>
      </c>
      <c r="P149" s="2" t="s">
        <v>122</v>
      </c>
      <c r="Q149" s="2"/>
      <c r="R149" s="2" t="s">
        <v>659</v>
      </c>
      <c r="S149" s="2"/>
      <c r="T149" s="2" t="s">
        <v>37</v>
      </c>
      <c r="U149" s="2" t="s">
        <v>147</v>
      </c>
      <c r="V149" s="2">
        <v>3</v>
      </c>
      <c r="W149" s="2" t="s">
        <v>813</v>
      </c>
    </row>
    <row r="150" spans="1:23" ht="64" customHeight="1">
      <c r="A150" s="2" t="s">
        <v>640</v>
      </c>
      <c r="B150" s="2" t="s">
        <v>817</v>
      </c>
      <c r="C150" s="4">
        <v>0.4</v>
      </c>
      <c r="D150" s="4">
        <v>0.1</v>
      </c>
      <c r="E150" s="12">
        <v>1</v>
      </c>
      <c r="F150" s="12">
        <v>0</v>
      </c>
      <c r="G150" s="4">
        <v>0.1</v>
      </c>
      <c r="H150" s="4" t="s">
        <v>48</v>
      </c>
      <c r="I150" s="2" t="s">
        <v>663</v>
      </c>
      <c r="J150" s="2" t="s">
        <v>50</v>
      </c>
      <c r="K150" s="2" t="s">
        <v>664</v>
      </c>
      <c r="L150" s="2" t="s">
        <v>32</v>
      </c>
      <c r="M150" s="19">
        <f t="shared" si="2"/>
        <v>6</v>
      </c>
      <c r="N150" s="2" t="s">
        <v>665</v>
      </c>
      <c r="O150" s="2" t="s">
        <v>818</v>
      </c>
      <c r="P150" s="2" t="s">
        <v>122</v>
      </c>
      <c r="Q150" s="2"/>
      <c r="R150" s="2" t="s">
        <v>659</v>
      </c>
      <c r="S150" s="2"/>
      <c r="T150" s="2" t="s">
        <v>37</v>
      </c>
      <c r="U150" s="2" t="s">
        <v>147</v>
      </c>
      <c r="V150" s="2">
        <v>3</v>
      </c>
      <c r="W150" s="2" t="s">
        <v>813</v>
      </c>
    </row>
    <row r="151" spans="1:23" ht="64" customHeight="1">
      <c r="A151" s="2" t="s">
        <v>640</v>
      </c>
      <c r="B151" s="2" t="s">
        <v>819</v>
      </c>
      <c r="C151" s="4">
        <v>0.4</v>
      </c>
      <c r="D151" s="5">
        <v>0.08</v>
      </c>
      <c r="E151" s="12">
        <v>1</v>
      </c>
      <c r="F151" s="12">
        <v>0</v>
      </c>
      <c r="G151" s="5">
        <v>0.08</v>
      </c>
      <c r="H151" s="5" t="s">
        <v>114</v>
      </c>
      <c r="I151" s="2" t="s">
        <v>787</v>
      </c>
      <c r="J151" s="2" t="s">
        <v>50</v>
      </c>
      <c r="K151" s="2" t="s">
        <v>788</v>
      </c>
      <c r="L151" s="2" t="s">
        <v>32</v>
      </c>
      <c r="M151" s="19">
        <f t="shared" si="2"/>
        <v>6</v>
      </c>
      <c r="N151" s="2" t="s">
        <v>795</v>
      </c>
      <c r="O151" s="2" t="s">
        <v>820</v>
      </c>
      <c r="P151" s="2" t="s">
        <v>45</v>
      </c>
      <c r="Q151" s="2"/>
      <c r="R151" s="2" t="s">
        <v>791</v>
      </c>
      <c r="S151" s="2"/>
      <c r="T151" s="2" t="s">
        <v>37</v>
      </c>
      <c r="U151" s="2" t="s">
        <v>147</v>
      </c>
      <c r="V151" s="2">
        <v>3</v>
      </c>
      <c r="W151" s="2" t="s">
        <v>813</v>
      </c>
    </row>
    <row r="152" spans="1:23" ht="64" customHeight="1">
      <c r="A152" s="2" t="s">
        <v>640</v>
      </c>
      <c r="B152" s="2" t="s">
        <v>821</v>
      </c>
      <c r="C152" s="5">
        <v>0.53</v>
      </c>
      <c r="D152" s="5">
        <v>0.09</v>
      </c>
      <c r="E152" s="12">
        <v>1</v>
      </c>
      <c r="F152" s="12">
        <v>0</v>
      </c>
      <c r="G152" s="4">
        <v>0.1</v>
      </c>
      <c r="H152" s="4" t="s">
        <v>48</v>
      </c>
      <c r="I152" s="2" t="s">
        <v>663</v>
      </c>
      <c r="J152" s="2" t="s">
        <v>50</v>
      </c>
      <c r="K152" s="2" t="s">
        <v>281</v>
      </c>
      <c r="L152" s="2" t="s">
        <v>32</v>
      </c>
      <c r="M152" s="19">
        <f t="shared" si="2"/>
        <v>6</v>
      </c>
      <c r="N152" s="2" t="s">
        <v>120</v>
      </c>
      <c r="O152" s="2" t="s">
        <v>822</v>
      </c>
      <c r="P152" s="2" t="s">
        <v>122</v>
      </c>
      <c r="Q152" s="2"/>
      <c r="R152" s="2" t="s">
        <v>742</v>
      </c>
      <c r="S152" s="2" t="s">
        <v>823</v>
      </c>
      <c r="T152" s="2" t="s">
        <v>37</v>
      </c>
      <c r="U152" s="2" t="s">
        <v>147</v>
      </c>
      <c r="V152" s="2">
        <v>3</v>
      </c>
      <c r="W152" s="2" t="s">
        <v>813</v>
      </c>
    </row>
    <row r="153" spans="1:23" ht="64" customHeight="1">
      <c r="A153" s="2" t="s">
        <v>640</v>
      </c>
      <c r="B153" s="2" t="s">
        <v>824</v>
      </c>
      <c r="C153" s="4">
        <v>0.4</v>
      </c>
      <c r="D153" s="5">
        <v>0.09</v>
      </c>
      <c r="E153" s="12">
        <v>1</v>
      </c>
      <c r="F153" s="12">
        <v>0</v>
      </c>
      <c r="G153" s="5">
        <v>0.11</v>
      </c>
      <c r="H153" s="5" t="s">
        <v>114</v>
      </c>
      <c r="I153" s="2" t="s">
        <v>663</v>
      </c>
      <c r="J153" s="2" t="s">
        <v>50</v>
      </c>
      <c r="K153" s="2" t="s">
        <v>664</v>
      </c>
      <c r="L153" s="2" t="s">
        <v>32</v>
      </c>
      <c r="M153" s="19">
        <f t="shared" si="2"/>
        <v>6</v>
      </c>
      <c r="N153" s="2" t="s">
        <v>665</v>
      </c>
      <c r="O153" s="2" t="s">
        <v>825</v>
      </c>
      <c r="P153" s="2" t="s">
        <v>122</v>
      </c>
      <c r="Q153" s="2"/>
      <c r="R153" s="2" t="s">
        <v>659</v>
      </c>
      <c r="S153" s="2"/>
      <c r="T153" s="2" t="s">
        <v>37</v>
      </c>
      <c r="U153" s="2" t="s">
        <v>147</v>
      </c>
      <c r="V153" s="2">
        <v>3</v>
      </c>
      <c r="W153" s="2" t="s">
        <v>813</v>
      </c>
    </row>
    <row r="154" spans="1:23" ht="64" customHeight="1">
      <c r="A154" s="2" t="s">
        <v>640</v>
      </c>
      <c r="B154" s="2" t="s">
        <v>826</v>
      </c>
      <c r="C154" s="4">
        <v>0.6</v>
      </c>
      <c r="D154" s="5">
        <v>0.12</v>
      </c>
      <c r="E154" s="12">
        <v>1</v>
      </c>
      <c r="F154" s="12">
        <v>0</v>
      </c>
      <c r="G154" s="8">
        <v>9.5000000000000001E-2</v>
      </c>
      <c r="H154" s="8" t="s">
        <v>172</v>
      </c>
      <c r="I154" s="2" t="s">
        <v>787</v>
      </c>
      <c r="J154" s="2" t="s">
        <v>50</v>
      </c>
      <c r="K154" s="2" t="s">
        <v>788</v>
      </c>
      <c r="L154" s="2" t="s">
        <v>32</v>
      </c>
      <c r="M154" s="19">
        <f t="shared" si="2"/>
        <v>6</v>
      </c>
      <c r="N154" s="2" t="s">
        <v>789</v>
      </c>
      <c r="O154" s="2" t="s">
        <v>827</v>
      </c>
      <c r="P154" s="2" t="s">
        <v>45</v>
      </c>
      <c r="Q154" s="2"/>
      <c r="R154" s="2" t="s">
        <v>791</v>
      </c>
      <c r="S154" s="2"/>
      <c r="T154" s="2" t="s">
        <v>37</v>
      </c>
      <c r="U154" s="2" t="s">
        <v>147</v>
      </c>
      <c r="V154" s="2">
        <v>3</v>
      </c>
      <c r="W154" s="2" t="s">
        <v>768</v>
      </c>
    </row>
    <row r="155" spans="1:23" ht="64" customHeight="1">
      <c r="A155" s="2" t="s">
        <v>640</v>
      </c>
      <c r="B155" s="2" t="s">
        <v>828</v>
      </c>
      <c r="C155" s="4">
        <v>0.6</v>
      </c>
      <c r="D155" s="5">
        <v>0.15</v>
      </c>
      <c r="E155" s="12">
        <v>1</v>
      </c>
      <c r="F155" s="12">
        <v>0</v>
      </c>
      <c r="G155" s="5">
        <v>0.05</v>
      </c>
      <c r="H155" s="5" t="s">
        <v>829</v>
      </c>
      <c r="I155" s="2" t="s">
        <v>663</v>
      </c>
      <c r="J155" s="2" t="s">
        <v>50</v>
      </c>
      <c r="K155" s="2" t="s">
        <v>281</v>
      </c>
      <c r="L155" s="2" t="s">
        <v>32</v>
      </c>
      <c r="M155" s="19">
        <f t="shared" si="2"/>
        <v>6</v>
      </c>
      <c r="N155" s="2" t="s">
        <v>120</v>
      </c>
      <c r="O155" s="2" t="s">
        <v>830</v>
      </c>
      <c r="P155" s="2" t="s">
        <v>122</v>
      </c>
      <c r="Q155" s="2"/>
      <c r="R155" s="2" t="s">
        <v>742</v>
      </c>
      <c r="S155" s="2" t="s">
        <v>831</v>
      </c>
      <c r="T155" s="2" t="s">
        <v>37</v>
      </c>
      <c r="U155" s="2" t="s">
        <v>147</v>
      </c>
      <c r="V155" s="2">
        <v>3</v>
      </c>
      <c r="W155" s="2" t="s">
        <v>813</v>
      </c>
    </row>
    <row r="156" spans="1:23" ht="34" customHeight="1">
      <c r="A156" s="2" t="s">
        <v>640</v>
      </c>
      <c r="B156" s="2" t="s">
        <v>832</v>
      </c>
      <c r="C156" s="5">
        <v>2.15</v>
      </c>
      <c r="D156" s="5">
        <v>0.56999999999999995</v>
      </c>
      <c r="E156" s="4">
        <v>1.8</v>
      </c>
      <c r="F156" s="4">
        <v>0.3</v>
      </c>
      <c r="G156" s="6">
        <v>5</v>
      </c>
      <c r="H156" s="6" t="s">
        <v>430</v>
      </c>
      <c r="I156" s="2" t="s">
        <v>29</v>
      </c>
      <c r="J156" s="2" t="s">
        <v>41</v>
      </c>
      <c r="K156" s="2" t="s">
        <v>199</v>
      </c>
      <c r="L156" s="2" t="s">
        <v>32</v>
      </c>
      <c r="M156" s="19">
        <f t="shared" si="2"/>
        <v>6</v>
      </c>
      <c r="N156" s="2" t="s">
        <v>833</v>
      </c>
      <c r="O156" s="2" t="s">
        <v>834</v>
      </c>
      <c r="P156" s="2" t="s">
        <v>45</v>
      </c>
      <c r="Q156" s="2"/>
      <c r="R156" s="2" t="s">
        <v>835</v>
      </c>
      <c r="S156" s="2"/>
      <c r="T156" s="2" t="s">
        <v>37</v>
      </c>
      <c r="U156" s="2"/>
      <c r="V156" s="2">
        <v>5</v>
      </c>
      <c r="W156" s="2"/>
    </row>
    <row r="157" spans="1:23" ht="37" customHeight="1">
      <c r="A157" s="2" t="s">
        <v>640</v>
      </c>
      <c r="B157" s="2" t="s">
        <v>836</v>
      </c>
      <c r="C157" s="7"/>
      <c r="D157" s="7"/>
      <c r="E157" s="7"/>
      <c r="F157" s="7"/>
      <c r="G157" s="7"/>
      <c r="H157" s="7"/>
      <c r="I157" s="2" t="s">
        <v>49</v>
      </c>
      <c r="J157" s="2" t="s">
        <v>50</v>
      </c>
      <c r="K157" s="2" t="s">
        <v>664</v>
      </c>
      <c r="L157" s="2" t="s">
        <v>32</v>
      </c>
      <c r="M157" s="19">
        <f t="shared" si="2"/>
        <v>0</v>
      </c>
      <c r="N157" s="2" t="s">
        <v>803</v>
      </c>
      <c r="O157" s="2" t="s">
        <v>837</v>
      </c>
      <c r="P157" s="2" t="s">
        <v>45</v>
      </c>
      <c r="Q157" s="2" t="s">
        <v>55</v>
      </c>
      <c r="R157" s="2" t="s">
        <v>667</v>
      </c>
      <c r="S157" s="2"/>
      <c r="T157" s="2" t="s">
        <v>37</v>
      </c>
      <c r="U157" s="2"/>
      <c r="V157" s="2">
        <v>0</v>
      </c>
      <c r="W157" s="2"/>
    </row>
    <row r="158" spans="1:23" ht="64" customHeight="1">
      <c r="A158" s="2" t="s">
        <v>640</v>
      </c>
      <c r="B158" s="2" t="s">
        <v>838</v>
      </c>
      <c r="C158" s="4">
        <v>0.4</v>
      </c>
      <c r="D158" s="5">
        <v>0.08</v>
      </c>
      <c r="E158" s="12">
        <v>1</v>
      </c>
      <c r="F158" s="12">
        <v>0</v>
      </c>
      <c r="G158" s="8">
        <v>1.2E-2</v>
      </c>
      <c r="H158" s="8" t="s">
        <v>172</v>
      </c>
      <c r="I158" s="2" t="s">
        <v>663</v>
      </c>
      <c r="J158" s="2" t="s">
        <v>50</v>
      </c>
      <c r="K158" s="2" t="s">
        <v>664</v>
      </c>
      <c r="L158" s="2" t="s">
        <v>32</v>
      </c>
      <c r="M158" s="19">
        <f t="shared" si="2"/>
        <v>6</v>
      </c>
      <c r="N158" s="2" t="s">
        <v>665</v>
      </c>
      <c r="O158" s="2" t="s">
        <v>839</v>
      </c>
      <c r="P158" s="2" t="s">
        <v>122</v>
      </c>
      <c r="Q158" s="2"/>
      <c r="R158" s="2" t="s">
        <v>667</v>
      </c>
      <c r="S158" s="2"/>
      <c r="T158" s="2" t="s">
        <v>37</v>
      </c>
      <c r="U158" s="2" t="s">
        <v>147</v>
      </c>
      <c r="V158" s="2">
        <v>3</v>
      </c>
      <c r="W158" s="2" t="s">
        <v>840</v>
      </c>
    </row>
    <row r="159" spans="1:23" ht="50.5" customHeight="1">
      <c r="A159" s="2" t="s">
        <v>640</v>
      </c>
      <c r="B159" s="2" t="s">
        <v>841</v>
      </c>
      <c r="C159" s="4">
        <v>0.4</v>
      </c>
      <c r="D159" s="5">
        <v>0.08</v>
      </c>
      <c r="E159" s="12">
        <v>1</v>
      </c>
      <c r="F159" s="12">
        <v>0</v>
      </c>
      <c r="G159" s="5">
        <v>0.08</v>
      </c>
      <c r="H159" s="5" t="s">
        <v>662</v>
      </c>
      <c r="I159" s="2" t="s">
        <v>842</v>
      </c>
      <c r="J159" s="2" t="s">
        <v>50</v>
      </c>
      <c r="K159" s="2" t="s">
        <v>788</v>
      </c>
      <c r="L159" s="2" t="s">
        <v>32</v>
      </c>
      <c r="M159" s="19">
        <f t="shared" si="2"/>
        <v>6</v>
      </c>
      <c r="N159" s="2" t="s">
        <v>795</v>
      </c>
      <c r="O159" s="2" t="s">
        <v>843</v>
      </c>
      <c r="P159" s="2" t="s">
        <v>122</v>
      </c>
      <c r="Q159" s="2"/>
      <c r="R159" s="2" t="s">
        <v>791</v>
      </c>
      <c r="S159" s="2"/>
      <c r="T159" s="2" t="s">
        <v>37</v>
      </c>
      <c r="U159" s="2" t="s">
        <v>147</v>
      </c>
      <c r="V159" s="2">
        <v>3</v>
      </c>
      <c r="W159" s="2" t="s">
        <v>844</v>
      </c>
    </row>
    <row r="160" spans="1:23" ht="64" customHeight="1">
      <c r="A160" s="2" t="s">
        <v>640</v>
      </c>
      <c r="B160" s="2" t="s">
        <v>845</v>
      </c>
      <c r="C160" s="5">
        <v>0.55000000000000004</v>
      </c>
      <c r="D160" s="5">
        <v>0.23</v>
      </c>
      <c r="E160" s="12">
        <v>1</v>
      </c>
      <c r="F160" s="12">
        <v>0</v>
      </c>
      <c r="G160" s="7" t="s">
        <v>846</v>
      </c>
      <c r="H160" s="7" t="s">
        <v>662</v>
      </c>
      <c r="I160" s="2" t="s">
        <v>770</v>
      </c>
      <c r="J160" s="2" t="s">
        <v>694</v>
      </c>
      <c r="K160" s="2" t="s">
        <v>664</v>
      </c>
      <c r="L160" s="2" t="s">
        <v>32</v>
      </c>
      <c r="M160" s="19">
        <f t="shared" si="2"/>
        <v>6</v>
      </c>
      <c r="N160" s="2" t="s">
        <v>847</v>
      </c>
      <c r="O160" s="2" t="s">
        <v>848</v>
      </c>
      <c r="P160" s="2" t="s">
        <v>45</v>
      </c>
      <c r="Q160" s="2"/>
      <c r="R160" s="2" t="s">
        <v>667</v>
      </c>
      <c r="S160" s="2" t="s">
        <v>849</v>
      </c>
      <c r="T160" s="2" t="s">
        <v>37</v>
      </c>
      <c r="U160" s="2" t="s">
        <v>147</v>
      </c>
      <c r="V160" s="2">
        <v>3</v>
      </c>
      <c r="W160" s="2" t="s">
        <v>850</v>
      </c>
    </row>
    <row r="161" spans="1:23" ht="37" customHeight="1">
      <c r="A161" s="2" t="s">
        <v>640</v>
      </c>
      <c r="B161" s="2" t="s">
        <v>851</v>
      </c>
      <c r="C161" s="5">
        <v>0.55000000000000004</v>
      </c>
      <c r="D161" s="5">
        <v>0.24</v>
      </c>
      <c r="E161" s="6">
        <v>1</v>
      </c>
      <c r="F161" s="12">
        <v>0</v>
      </c>
      <c r="G161" s="5">
        <v>0.18</v>
      </c>
      <c r="H161" s="5" t="s">
        <v>662</v>
      </c>
      <c r="I161" s="2" t="s">
        <v>671</v>
      </c>
      <c r="J161" s="2" t="s">
        <v>72</v>
      </c>
      <c r="K161" s="2" t="s">
        <v>615</v>
      </c>
      <c r="L161" s="2" t="s">
        <v>32</v>
      </c>
      <c r="M161" s="19">
        <f t="shared" si="2"/>
        <v>6</v>
      </c>
      <c r="N161" s="2" t="s">
        <v>852</v>
      </c>
      <c r="O161" s="2" t="s">
        <v>853</v>
      </c>
      <c r="P161" s="2" t="s">
        <v>45</v>
      </c>
      <c r="Q161" s="2"/>
      <c r="R161" s="2" t="s">
        <v>674</v>
      </c>
      <c r="S161" s="2" t="s">
        <v>854</v>
      </c>
      <c r="T161" s="2" t="s">
        <v>37</v>
      </c>
      <c r="U161" s="2" t="s">
        <v>65</v>
      </c>
      <c r="V161" s="2">
        <v>4</v>
      </c>
      <c r="W161" s="2" t="s">
        <v>855</v>
      </c>
    </row>
    <row r="162" spans="1:23" ht="50.5" customHeight="1">
      <c r="A162" s="2" t="s">
        <v>640</v>
      </c>
      <c r="B162" s="2" t="s">
        <v>856</v>
      </c>
      <c r="C162" s="5">
        <v>0.24</v>
      </c>
      <c r="D162" s="5">
        <v>0.04</v>
      </c>
      <c r="E162" s="12">
        <v>1</v>
      </c>
      <c r="F162" s="12">
        <v>0</v>
      </c>
      <c r="G162" s="8">
        <v>1.4999999999999999E-2</v>
      </c>
      <c r="H162" s="8" t="s">
        <v>829</v>
      </c>
      <c r="I162" s="2" t="s">
        <v>857</v>
      </c>
      <c r="J162" s="2" t="s">
        <v>858</v>
      </c>
      <c r="K162" s="2" t="s">
        <v>859</v>
      </c>
      <c r="L162" s="2" t="s">
        <v>32</v>
      </c>
      <c r="M162" s="19">
        <f t="shared" si="2"/>
        <v>6</v>
      </c>
      <c r="N162" s="2" t="s">
        <v>120</v>
      </c>
      <c r="O162" s="2" t="s">
        <v>860</v>
      </c>
      <c r="P162" s="2" t="s">
        <v>122</v>
      </c>
      <c r="Q162" s="2"/>
      <c r="R162" s="2" t="s">
        <v>861</v>
      </c>
      <c r="S162" s="2" t="s">
        <v>862</v>
      </c>
      <c r="T162" s="2" t="s">
        <v>37</v>
      </c>
      <c r="U162" s="2" t="s">
        <v>147</v>
      </c>
      <c r="V162" s="2">
        <v>3</v>
      </c>
      <c r="W162" s="2" t="s">
        <v>863</v>
      </c>
    </row>
    <row r="163" spans="1:23" ht="37" customHeight="1">
      <c r="A163" s="2" t="s">
        <v>640</v>
      </c>
      <c r="B163" s="2" t="s">
        <v>864</v>
      </c>
      <c r="C163" s="5">
        <v>0.37</v>
      </c>
      <c r="D163" s="7"/>
      <c r="E163" s="6">
        <v>4</v>
      </c>
      <c r="F163" s="7"/>
      <c r="G163" s="5">
        <v>0.05</v>
      </c>
      <c r="H163" s="5" t="s">
        <v>172</v>
      </c>
      <c r="I163" s="2" t="s">
        <v>865</v>
      </c>
      <c r="J163" s="2" t="s">
        <v>50</v>
      </c>
      <c r="K163" s="2" t="s">
        <v>664</v>
      </c>
      <c r="L163" s="2" t="s">
        <v>32</v>
      </c>
      <c r="M163" s="19">
        <f t="shared" si="2"/>
        <v>4</v>
      </c>
      <c r="N163" s="2" t="s">
        <v>866</v>
      </c>
      <c r="O163" s="2" t="s">
        <v>867</v>
      </c>
      <c r="P163" s="2" t="s">
        <v>868</v>
      </c>
      <c r="Q163" s="2" t="s">
        <v>98</v>
      </c>
      <c r="R163" s="2" t="s">
        <v>659</v>
      </c>
      <c r="S163" s="2"/>
      <c r="T163" s="2" t="s">
        <v>37</v>
      </c>
      <c r="U163" s="2"/>
      <c r="V163" s="2">
        <v>3</v>
      </c>
      <c r="W163" s="2"/>
    </row>
    <row r="164" spans="1:23" ht="64" customHeight="1">
      <c r="A164" s="2" t="s">
        <v>869</v>
      </c>
      <c r="B164" s="2" t="s">
        <v>870</v>
      </c>
      <c r="C164" s="5">
        <v>0.54</v>
      </c>
      <c r="D164" s="5">
        <v>0.12</v>
      </c>
      <c r="E164" s="12">
        <v>1</v>
      </c>
      <c r="F164" s="12">
        <v>0</v>
      </c>
      <c r="G164" s="5">
        <v>0.06</v>
      </c>
      <c r="H164" s="5" t="s">
        <v>117</v>
      </c>
      <c r="I164" s="2" t="s">
        <v>663</v>
      </c>
      <c r="J164" s="2" t="s">
        <v>871</v>
      </c>
      <c r="K164" s="2" t="s">
        <v>281</v>
      </c>
      <c r="L164" s="2" t="s">
        <v>32</v>
      </c>
      <c r="M164" s="19">
        <f t="shared" si="2"/>
        <v>6</v>
      </c>
      <c r="N164" s="2" t="s">
        <v>120</v>
      </c>
      <c r="O164" s="2" t="s">
        <v>872</v>
      </c>
      <c r="P164" s="2" t="s">
        <v>122</v>
      </c>
      <c r="Q164" s="2"/>
      <c r="R164" s="2"/>
      <c r="S164" s="2" t="s">
        <v>873</v>
      </c>
      <c r="T164" s="2" t="s">
        <v>37</v>
      </c>
      <c r="U164" s="2" t="s">
        <v>147</v>
      </c>
      <c r="V164" s="2">
        <v>3</v>
      </c>
      <c r="W164" s="2" t="s">
        <v>813</v>
      </c>
    </row>
    <row r="165" spans="1:23" ht="37" customHeight="1">
      <c r="A165" s="2" t="s">
        <v>874</v>
      </c>
      <c r="B165" s="2" t="s">
        <v>875</v>
      </c>
      <c r="C165" s="4">
        <v>0.9</v>
      </c>
      <c r="D165" s="5">
        <v>0.13</v>
      </c>
      <c r="E165" s="12">
        <v>1</v>
      </c>
      <c r="F165" s="12">
        <v>0</v>
      </c>
      <c r="G165" s="5">
        <v>0.12</v>
      </c>
      <c r="H165" s="5" t="s">
        <v>309</v>
      </c>
      <c r="I165" s="2" t="s">
        <v>876</v>
      </c>
      <c r="J165" s="2" t="s">
        <v>61</v>
      </c>
      <c r="K165" s="2" t="s">
        <v>281</v>
      </c>
      <c r="L165" s="2" t="s">
        <v>236</v>
      </c>
      <c r="M165" s="19">
        <f t="shared" si="2"/>
        <v>6</v>
      </c>
      <c r="N165" s="2" t="s">
        <v>877</v>
      </c>
      <c r="O165" s="2" t="s">
        <v>878</v>
      </c>
      <c r="P165" s="2" t="s">
        <v>45</v>
      </c>
      <c r="Q165" s="2"/>
      <c r="R165" s="2" t="s">
        <v>879</v>
      </c>
      <c r="S165" s="2" t="s">
        <v>880</v>
      </c>
      <c r="T165" s="2" t="s">
        <v>326</v>
      </c>
      <c r="U165" s="2" t="s">
        <v>147</v>
      </c>
      <c r="V165" s="2">
        <v>3</v>
      </c>
      <c r="W165" s="2" t="s">
        <v>881</v>
      </c>
    </row>
    <row r="166" spans="1:23" ht="37" customHeight="1">
      <c r="A166" s="2" t="s">
        <v>874</v>
      </c>
      <c r="B166" s="2" t="s">
        <v>882</v>
      </c>
      <c r="C166" s="5">
        <v>0.56000000000000005</v>
      </c>
      <c r="D166" s="5">
        <v>0.17</v>
      </c>
      <c r="E166" s="4">
        <v>1.7</v>
      </c>
      <c r="F166" s="4">
        <v>0.4</v>
      </c>
      <c r="G166" s="5">
        <v>0.17</v>
      </c>
      <c r="H166" s="5" t="s">
        <v>883</v>
      </c>
      <c r="I166" s="2" t="s">
        <v>884</v>
      </c>
      <c r="J166" s="2" t="s">
        <v>61</v>
      </c>
      <c r="K166" s="2" t="s">
        <v>281</v>
      </c>
      <c r="L166" s="2" t="s">
        <v>32</v>
      </c>
      <c r="M166" s="19">
        <f t="shared" si="2"/>
        <v>6</v>
      </c>
      <c r="N166" s="2" t="s">
        <v>885</v>
      </c>
      <c r="O166" s="2" t="s">
        <v>886</v>
      </c>
      <c r="P166" s="2" t="s">
        <v>45</v>
      </c>
      <c r="Q166" s="2"/>
      <c r="R166" s="2" t="s">
        <v>879</v>
      </c>
      <c r="S166" s="2" t="s">
        <v>887</v>
      </c>
      <c r="T166" s="2" t="s">
        <v>37</v>
      </c>
      <c r="U166" s="2"/>
      <c r="V166" s="2">
        <v>5</v>
      </c>
      <c r="W166" s="2"/>
    </row>
    <row r="167" spans="1:23" ht="50.5" customHeight="1">
      <c r="A167" s="2" t="s">
        <v>874</v>
      </c>
      <c r="B167" s="2" t="s">
        <v>888</v>
      </c>
      <c r="C167" s="5">
        <v>1.17</v>
      </c>
      <c r="D167" s="5">
        <v>0.26</v>
      </c>
      <c r="E167" s="12">
        <v>1</v>
      </c>
      <c r="F167" s="12">
        <v>0</v>
      </c>
      <c r="G167" s="5">
        <v>0.28000000000000003</v>
      </c>
      <c r="H167" s="5" t="s">
        <v>889</v>
      </c>
      <c r="I167" s="2" t="s">
        <v>876</v>
      </c>
      <c r="J167" s="2" t="s">
        <v>61</v>
      </c>
      <c r="K167" s="2" t="s">
        <v>281</v>
      </c>
      <c r="L167" s="2" t="s">
        <v>32</v>
      </c>
      <c r="M167" s="19">
        <f t="shared" si="2"/>
        <v>6</v>
      </c>
      <c r="N167" s="2" t="s">
        <v>120</v>
      </c>
      <c r="O167" s="2" t="s">
        <v>890</v>
      </c>
      <c r="P167" s="2" t="s">
        <v>122</v>
      </c>
      <c r="Q167" s="2"/>
      <c r="R167" s="2" t="s">
        <v>879</v>
      </c>
      <c r="S167" s="2" t="s">
        <v>891</v>
      </c>
      <c r="T167" s="2" t="s">
        <v>37</v>
      </c>
      <c r="U167" s="2" t="s">
        <v>147</v>
      </c>
      <c r="V167" s="2">
        <v>3</v>
      </c>
      <c r="W167" s="2" t="s">
        <v>892</v>
      </c>
    </row>
    <row r="168" spans="1:23" ht="37" customHeight="1">
      <c r="A168" s="2" t="s">
        <v>874</v>
      </c>
      <c r="B168" s="2" t="s">
        <v>893</v>
      </c>
      <c r="C168" s="8">
        <v>2.9670000000000001</v>
      </c>
      <c r="D168" s="8">
        <v>1.163</v>
      </c>
      <c r="E168" s="8">
        <v>1.431</v>
      </c>
      <c r="F168" s="8">
        <v>-2.5999999999999999E-2</v>
      </c>
      <c r="G168" s="8">
        <v>3.0539999999999998</v>
      </c>
      <c r="H168" s="8" t="s">
        <v>894</v>
      </c>
      <c r="I168" s="2" t="s">
        <v>895</v>
      </c>
      <c r="J168" s="2" t="s">
        <v>61</v>
      </c>
      <c r="K168" s="2" t="s">
        <v>896</v>
      </c>
      <c r="L168" s="2" t="s">
        <v>32</v>
      </c>
      <c r="M168" s="19">
        <f t="shared" si="2"/>
        <v>6</v>
      </c>
      <c r="N168" s="2" t="s">
        <v>897</v>
      </c>
      <c r="O168" s="2" t="s">
        <v>898</v>
      </c>
      <c r="P168" s="2" t="s">
        <v>45</v>
      </c>
      <c r="Q168" s="2"/>
      <c r="R168" s="2" t="s">
        <v>899</v>
      </c>
      <c r="S168" s="2"/>
      <c r="T168" s="2" t="s">
        <v>37</v>
      </c>
      <c r="U168" s="2"/>
      <c r="V168" s="2">
        <v>5</v>
      </c>
      <c r="W168" s="2"/>
    </row>
    <row r="169" spans="1:23" ht="34" customHeight="1">
      <c r="A169" s="2" t="s">
        <v>874</v>
      </c>
      <c r="B169" s="2" t="s">
        <v>900</v>
      </c>
      <c r="C169" s="5">
        <v>0.85</v>
      </c>
      <c r="D169" s="5">
        <v>0.65</v>
      </c>
      <c r="E169" s="4">
        <v>2.1</v>
      </c>
      <c r="F169" s="4">
        <v>0.5</v>
      </c>
      <c r="G169" s="4">
        <v>1.2</v>
      </c>
      <c r="H169" s="4" t="s">
        <v>901</v>
      </c>
      <c r="I169" s="2" t="s">
        <v>180</v>
      </c>
      <c r="J169" s="2" t="s">
        <v>61</v>
      </c>
      <c r="K169" s="2" t="s">
        <v>902</v>
      </c>
      <c r="L169" s="2" t="s">
        <v>79</v>
      </c>
      <c r="M169" s="19">
        <f t="shared" si="2"/>
        <v>6</v>
      </c>
      <c r="N169" s="2" t="s">
        <v>903</v>
      </c>
      <c r="O169" s="2" t="s">
        <v>904</v>
      </c>
      <c r="P169" s="2" t="s">
        <v>45</v>
      </c>
      <c r="Q169" s="2"/>
      <c r="R169" s="2" t="s">
        <v>905</v>
      </c>
      <c r="S169" s="2" t="s">
        <v>906</v>
      </c>
      <c r="T169" s="2" t="s">
        <v>37</v>
      </c>
      <c r="U169" s="2"/>
      <c r="V169" s="2">
        <v>5</v>
      </c>
      <c r="W169" s="2"/>
    </row>
    <row r="170" spans="1:23" ht="34" customHeight="1">
      <c r="A170" s="2" t="s">
        <v>874</v>
      </c>
      <c r="B170" s="2" t="s">
        <v>907</v>
      </c>
      <c r="C170" s="4">
        <v>0.7</v>
      </c>
      <c r="D170" s="4">
        <v>0.5</v>
      </c>
      <c r="E170" s="4">
        <v>2.5</v>
      </c>
      <c r="F170" s="7" t="s">
        <v>908</v>
      </c>
      <c r="G170" s="6">
        <v>1</v>
      </c>
      <c r="H170" s="6" t="s">
        <v>909</v>
      </c>
      <c r="I170" s="2" t="s">
        <v>71</v>
      </c>
      <c r="J170" s="2" t="s">
        <v>94</v>
      </c>
      <c r="K170" s="2" t="s">
        <v>910</v>
      </c>
      <c r="L170" s="2" t="s">
        <v>79</v>
      </c>
      <c r="M170" s="19">
        <f t="shared" si="2"/>
        <v>6</v>
      </c>
      <c r="N170" s="2" t="s">
        <v>911</v>
      </c>
      <c r="O170" s="2" t="s">
        <v>912</v>
      </c>
      <c r="P170" s="2" t="s">
        <v>45</v>
      </c>
      <c r="Q170" s="2"/>
      <c r="R170" s="2" t="s">
        <v>905</v>
      </c>
      <c r="S170" s="2" t="s">
        <v>913</v>
      </c>
      <c r="T170" s="2" t="s">
        <v>37</v>
      </c>
      <c r="U170" s="2"/>
      <c r="V170" s="2">
        <v>5</v>
      </c>
      <c r="W170" s="2"/>
    </row>
    <row r="171" spans="1:23" ht="34" customHeight="1">
      <c r="A171" s="2" t="s">
        <v>874</v>
      </c>
      <c r="B171" s="2" t="s">
        <v>914</v>
      </c>
      <c r="C171" s="5">
        <v>0.82</v>
      </c>
      <c r="D171" s="5">
        <v>0.53</v>
      </c>
      <c r="E171" s="4">
        <v>2.5</v>
      </c>
      <c r="F171" s="4">
        <v>0.5</v>
      </c>
      <c r="G171" s="6">
        <v>2</v>
      </c>
      <c r="H171" s="6" t="s">
        <v>909</v>
      </c>
      <c r="I171" s="2" t="s">
        <v>29</v>
      </c>
      <c r="J171" s="2" t="s">
        <v>94</v>
      </c>
      <c r="K171" s="2" t="s">
        <v>910</v>
      </c>
      <c r="L171" s="2" t="s">
        <v>79</v>
      </c>
      <c r="M171" s="19">
        <f t="shared" si="2"/>
        <v>6</v>
      </c>
      <c r="N171" s="2" t="s">
        <v>915</v>
      </c>
      <c r="O171" s="2" t="s">
        <v>916</v>
      </c>
      <c r="P171" s="2" t="s">
        <v>45</v>
      </c>
      <c r="Q171" s="2"/>
      <c r="R171" s="2" t="s">
        <v>905</v>
      </c>
      <c r="S171" s="2" t="s">
        <v>917</v>
      </c>
      <c r="T171" s="2" t="s">
        <v>37</v>
      </c>
      <c r="U171" s="2"/>
      <c r="V171" s="2">
        <v>5</v>
      </c>
      <c r="W171" s="2"/>
    </row>
    <row r="172" spans="1:23" ht="34" customHeight="1">
      <c r="A172" s="2" t="s">
        <v>874</v>
      </c>
      <c r="B172" s="2" t="s">
        <v>918</v>
      </c>
      <c r="C172" s="5">
        <v>4.25</v>
      </c>
      <c r="D172" s="18">
        <v>1.98</v>
      </c>
      <c r="E172" s="5">
        <v>2.35</v>
      </c>
      <c r="F172" s="4">
        <v>0.5</v>
      </c>
      <c r="G172" s="4">
        <v>13.6</v>
      </c>
      <c r="H172" s="4" t="s">
        <v>919</v>
      </c>
      <c r="I172" s="2" t="s">
        <v>920</v>
      </c>
      <c r="J172" s="2" t="s">
        <v>41</v>
      </c>
      <c r="K172" s="2" t="s">
        <v>921</v>
      </c>
      <c r="L172" s="2" t="s">
        <v>79</v>
      </c>
      <c r="M172" s="19">
        <f t="shared" si="2"/>
        <v>6</v>
      </c>
      <c r="N172" s="2" t="s">
        <v>922</v>
      </c>
      <c r="O172" s="2" t="s">
        <v>923</v>
      </c>
      <c r="P172" s="2" t="s">
        <v>45</v>
      </c>
      <c r="Q172" s="2"/>
      <c r="R172" s="2" t="s">
        <v>924</v>
      </c>
      <c r="S172" s="2" t="s">
        <v>925</v>
      </c>
      <c r="T172" s="2" t="s">
        <v>37</v>
      </c>
      <c r="U172" s="2" t="s">
        <v>254</v>
      </c>
      <c r="V172" s="2">
        <v>4</v>
      </c>
      <c r="W172" s="2" t="s">
        <v>926</v>
      </c>
    </row>
    <row r="173" spans="1:23" ht="34" customHeight="1">
      <c r="A173" s="2" t="s">
        <v>874</v>
      </c>
      <c r="B173" s="2" t="s">
        <v>927</v>
      </c>
      <c r="C173" s="6">
        <v>5</v>
      </c>
      <c r="D173" s="18">
        <v>2.17</v>
      </c>
      <c r="E173" s="5">
        <v>2.42</v>
      </c>
      <c r="F173" s="4">
        <v>0.5</v>
      </c>
      <c r="G173" s="4">
        <v>14.8</v>
      </c>
      <c r="H173" s="4" t="s">
        <v>928</v>
      </c>
      <c r="I173" s="2" t="s">
        <v>920</v>
      </c>
      <c r="J173" s="2" t="s">
        <v>41</v>
      </c>
      <c r="K173" s="2" t="s">
        <v>921</v>
      </c>
      <c r="L173" s="2" t="s">
        <v>79</v>
      </c>
      <c r="M173" s="19">
        <f t="shared" si="2"/>
        <v>6</v>
      </c>
      <c r="N173" s="2" t="s">
        <v>922</v>
      </c>
      <c r="O173" s="2" t="s">
        <v>929</v>
      </c>
      <c r="P173" s="2" t="s">
        <v>45</v>
      </c>
      <c r="Q173" s="2"/>
      <c r="R173" s="2" t="s">
        <v>924</v>
      </c>
      <c r="S173" s="2" t="s">
        <v>925</v>
      </c>
      <c r="T173" s="2" t="s">
        <v>37</v>
      </c>
      <c r="U173" s="2" t="s">
        <v>254</v>
      </c>
      <c r="V173" s="2">
        <v>4</v>
      </c>
      <c r="W173" s="2" t="s">
        <v>930</v>
      </c>
    </row>
    <row r="174" spans="1:23" ht="34" customHeight="1">
      <c r="A174" s="2" t="s">
        <v>874</v>
      </c>
      <c r="B174" s="2" t="s">
        <v>931</v>
      </c>
      <c r="C174" s="5">
        <v>0.25</v>
      </c>
      <c r="D174" s="8">
        <v>0.125</v>
      </c>
      <c r="E174" s="7"/>
      <c r="F174" s="7"/>
      <c r="G174" s="7" t="s">
        <v>932</v>
      </c>
      <c r="H174" s="7" t="s">
        <v>408</v>
      </c>
      <c r="I174" s="2" t="s">
        <v>71</v>
      </c>
      <c r="J174" s="2" t="s">
        <v>50</v>
      </c>
      <c r="K174" s="2" t="s">
        <v>227</v>
      </c>
      <c r="L174" s="2" t="s">
        <v>79</v>
      </c>
      <c r="M174" s="19">
        <f t="shared" si="2"/>
        <v>4</v>
      </c>
      <c r="N174" s="2" t="s">
        <v>933</v>
      </c>
      <c r="O174" s="2" t="s">
        <v>934</v>
      </c>
      <c r="P174" s="2" t="s">
        <v>45</v>
      </c>
      <c r="Q174" s="2" t="s">
        <v>147</v>
      </c>
      <c r="R174" s="2" t="s">
        <v>935</v>
      </c>
      <c r="S174" s="2" t="s">
        <v>936</v>
      </c>
      <c r="T174" s="2" t="s">
        <v>37</v>
      </c>
      <c r="U174" s="2"/>
      <c r="V174" s="2">
        <v>3</v>
      </c>
      <c r="W174" s="2"/>
    </row>
    <row r="175" spans="1:23" ht="37" customHeight="1">
      <c r="A175" s="2" t="s">
        <v>874</v>
      </c>
      <c r="B175" s="2" t="s">
        <v>937</v>
      </c>
      <c r="C175" s="5">
        <v>0.25</v>
      </c>
      <c r="D175" s="7"/>
      <c r="E175" s="7"/>
      <c r="F175" s="7"/>
      <c r="G175" s="7"/>
      <c r="H175" s="7" t="s">
        <v>408</v>
      </c>
      <c r="I175" s="2" t="s">
        <v>938</v>
      </c>
      <c r="J175" s="2" t="s">
        <v>50</v>
      </c>
      <c r="K175" s="2" t="s">
        <v>939</v>
      </c>
      <c r="L175" s="2" t="s">
        <v>79</v>
      </c>
      <c r="M175" s="19">
        <f t="shared" si="2"/>
        <v>2</v>
      </c>
      <c r="N175" s="2" t="s">
        <v>940</v>
      </c>
      <c r="O175" s="2" t="s">
        <v>941</v>
      </c>
      <c r="P175" s="2" t="s">
        <v>45</v>
      </c>
      <c r="Q175" s="2" t="s">
        <v>131</v>
      </c>
      <c r="R175" s="2" t="s">
        <v>942</v>
      </c>
      <c r="S175" s="2" t="s">
        <v>943</v>
      </c>
      <c r="T175" s="2" t="s">
        <v>37</v>
      </c>
      <c r="U175" s="2"/>
      <c r="V175" s="2">
        <v>1</v>
      </c>
      <c r="W175" s="2"/>
    </row>
    <row r="176" spans="1:23" ht="34" customHeight="1">
      <c r="A176" s="2" t="s">
        <v>874</v>
      </c>
      <c r="B176" s="2" t="s">
        <v>944</v>
      </c>
      <c r="C176" s="4">
        <v>0.4</v>
      </c>
      <c r="D176" s="5">
        <v>0.24</v>
      </c>
      <c r="E176" s="4">
        <v>2.5</v>
      </c>
      <c r="F176" s="5">
        <v>0.35</v>
      </c>
      <c r="G176" s="6">
        <v>2</v>
      </c>
      <c r="H176" s="6" t="s">
        <v>76</v>
      </c>
      <c r="I176" s="2" t="s">
        <v>29</v>
      </c>
      <c r="J176" s="2" t="s">
        <v>72</v>
      </c>
      <c r="K176" s="2" t="s">
        <v>945</v>
      </c>
      <c r="L176" s="2" t="s">
        <v>79</v>
      </c>
      <c r="M176" s="19">
        <f t="shared" si="2"/>
        <v>6</v>
      </c>
      <c r="N176" s="2" t="s">
        <v>946</v>
      </c>
      <c r="O176" s="2" t="s">
        <v>947</v>
      </c>
      <c r="P176" s="2" t="s">
        <v>45</v>
      </c>
      <c r="Q176" s="2"/>
      <c r="R176" s="2" t="s">
        <v>942</v>
      </c>
      <c r="S176" s="2"/>
      <c r="T176" s="2" t="s">
        <v>37</v>
      </c>
      <c r="U176" s="2"/>
      <c r="V176" s="2">
        <v>5</v>
      </c>
      <c r="W176" s="2"/>
    </row>
    <row r="177" spans="1:23" ht="37" customHeight="1">
      <c r="A177" s="2" t="s">
        <v>874</v>
      </c>
      <c r="B177" s="2" t="s">
        <v>948</v>
      </c>
      <c r="C177" s="7"/>
      <c r="D177" s="7"/>
      <c r="E177" s="7"/>
      <c r="F177" s="7"/>
      <c r="G177" s="7"/>
      <c r="H177" s="7"/>
      <c r="I177" s="2" t="s">
        <v>49</v>
      </c>
      <c r="J177" s="2" t="s">
        <v>41</v>
      </c>
      <c r="K177" s="2" t="s">
        <v>559</v>
      </c>
      <c r="L177" s="2" t="s">
        <v>79</v>
      </c>
      <c r="M177" s="19">
        <f t="shared" si="2"/>
        <v>0</v>
      </c>
      <c r="N177" s="2" t="s">
        <v>949</v>
      </c>
      <c r="O177" s="2" t="s">
        <v>950</v>
      </c>
      <c r="P177" s="2" t="s">
        <v>130</v>
      </c>
      <c r="Q177" s="2" t="s">
        <v>55</v>
      </c>
      <c r="R177" s="2" t="s">
        <v>951</v>
      </c>
      <c r="S177" s="2" t="s">
        <v>952</v>
      </c>
      <c r="T177" s="2" t="s">
        <v>37</v>
      </c>
      <c r="U177" s="2"/>
      <c r="V177" s="2">
        <v>0</v>
      </c>
      <c r="W177" s="2"/>
    </row>
    <row r="178" spans="1:23" ht="34" customHeight="1">
      <c r="A178" s="2" t="s">
        <v>874</v>
      </c>
      <c r="B178" s="2" t="s">
        <v>953</v>
      </c>
      <c r="C178" s="4">
        <v>0.3</v>
      </c>
      <c r="D178" s="5">
        <v>0.23</v>
      </c>
      <c r="E178" s="4">
        <v>1.8</v>
      </c>
      <c r="F178" s="4">
        <v>0.5</v>
      </c>
      <c r="G178" s="4">
        <v>0.3</v>
      </c>
      <c r="H178" s="4" t="s">
        <v>954</v>
      </c>
      <c r="I178" s="2" t="s">
        <v>180</v>
      </c>
      <c r="J178" s="2" t="s">
        <v>61</v>
      </c>
      <c r="K178" s="2" t="s">
        <v>955</v>
      </c>
      <c r="L178" s="2" t="s">
        <v>79</v>
      </c>
      <c r="M178" s="19">
        <f t="shared" si="2"/>
        <v>6</v>
      </c>
      <c r="N178" s="2" t="s">
        <v>956</v>
      </c>
      <c r="O178" s="2" t="s">
        <v>957</v>
      </c>
      <c r="P178" s="2" t="s">
        <v>45</v>
      </c>
      <c r="Q178" s="2"/>
      <c r="R178" s="2" t="s">
        <v>905</v>
      </c>
      <c r="S178" s="2" t="s">
        <v>958</v>
      </c>
      <c r="T178" s="2" t="s">
        <v>37</v>
      </c>
      <c r="U178" s="2"/>
      <c r="V178" s="2">
        <v>5</v>
      </c>
      <c r="W178" s="2"/>
    </row>
    <row r="179" spans="1:23" ht="34" customHeight="1">
      <c r="A179" s="2" t="s">
        <v>874</v>
      </c>
      <c r="B179" s="2" t="s">
        <v>959</v>
      </c>
      <c r="C179" s="4">
        <v>3.6</v>
      </c>
      <c r="D179" s="6">
        <v>2</v>
      </c>
      <c r="E179" s="5">
        <v>2.93</v>
      </c>
      <c r="F179" s="4">
        <v>0.5</v>
      </c>
      <c r="G179" s="7" t="s">
        <v>960</v>
      </c>
      <c r="H179" s="7" t="s">
        <v>961</v>
      </c>
      <c r="I179" s="2" t="s">
        <v>29</v>
      </c>
      <c r="J179" s="2" t="s">
        <v>41</v>
      </c>
      <c r="K179" s="2" t="s">
        <v>962</v>
      </c>
      <c r="L179" s="2" t="s">
        <v>79</v>
      </c>
      <c r="M179" s="19">
        <f t="shared" si="2"/>
        <v>6</v>
      </c>
      <c r="N179" s="2" t="s">
        <v>963</v>
      </c>
      <c r="O179" s="2" t="s">
        <v>964</v>
      </c>
      <c r="P179" s="2" t="s">
        <v>35</v>
      </c>
      <c r="Q179" s="2"/>
      <c r="R179" s="2" t="s">
        <v>965</v>
      </c>
      <c r="S179" s="2" t="s">
        <v>966</v>
      </c>
      <c r="T179" s="2" t="s">
        <v>37</v>
      </c>
      <c r="U179" s="2"/>
      <c r="V179" s="2">
        <v>5</v>
      </c>
      <c r="W179" s="2"/>
    </row>
    <row r="180" spans="1:23" ht="37" customHeight="1">
      <c r="A180" s="2" t="s">
        <v>874</v>
      </c>
      <c r="B180" s="2" t="s">
        <v>967</v>
      </c>
      <c r="C180" s="4">
        <v>0.3</v>
      </c>
      <c r="D180" s="7" t="s">
        <v>968</v>
      </c>
      <c r="E180" s="7" t="s">
        <v>969</v>
      </c>
      <c r="F180" s="12">
        <v>0</v>
      </c>
      <c r="G180" s="7" t="s">
        <v>970</v>
      </c>
      <c r="H180" s="7" t="s">
        <v>293</v>
      </c>
      <c r="I180" s="2" t="s">
        <v>971</v>
      </c>
      <c r="J180" s="2" t="s">
        <v>61</v>
      </c>
      <c r="K180" s="2" t="s">
        <v>281</v>
      </c>
      <c r="L180" s="2" t="s">
        <v>32</v>
      </c>
      <c r="M180" s="19">
        <f t="shared" si="2"/>
        <v>6</v>
      </c>
      <c r="N180" s="2" t="s">
        <v>972</v>
      </c>
      <c r="O180" s="2" t="s">
        <v>973</v>
      </c>
      <c r="P180" s="2" t="s">
        <v>974</v>
      </c>
      <c r="Q180" s="2"/>
      <c r="R180" s="2" t="s">
        <v>879</v>
      </c>
      <c r="S180" s="2" t="s">
        <v>975</v>
      </c>
      <c r="T180" s="2" t="s">
        <v>37</v>
      </c>
      <c r="U180" s="2" t="s">
        <v>65</v>
      </c>
      <c r="V180" s="2">
        <v>4</v>
      </c>
      <c r="W180" s="2" t="s">
        <v>976</v>
      </c>
    </row>
    <row r="181" spans="1:23" ht="37" customHeight="1">
      <c r="A181" s="2" t="s">
        <v>977</v>
      </c>
      <c r="B181" s="2" t="s">
        <v>978</v>
      </c>
      <c r="C181" s="5">
        <v>8.14</v>
      </c>
      <c r="D181" s="4">
        <v>2.8</v>
      </c>
      <c r="E181" s="4">
        <v>1.6</v>
      </c>
      <c r="F181" s="5">
        <v>0.24</v>
      </c>
      <c r="G181" s="6">
        <v>21</v>
      </c>
      <c r="H181" s="6" t="s">
        <v>979</v>
      </c>
      <c r="I181" s="2" t="s">
        <v>29</v>
      </c>
      <c r="J181" s="2" t="s">
        <v>41</v>
      </c>
      <c r="K181" s="2" t="s">
        <v>980</v>
      </c>
      <c r="L181" s="2" t="s">
        <v>32</v>
      </c>
      <c r="M181" s="19">
        <f t="shared" si="2"/>
        <v>6</v>
      </c>
      <c r="N181" s="2" t="s">
        <v>981</v>
      </c>
      <c r="O181" s="2" t="s">
        <v>982</v>
      </c>
      <c r="P181" s="2" t="s">
        <v>45</v>
      </c>
      <c r="Q181" s="2"/>
      <c r="R181" s="2" t="s">
        <v>983</v>
      </c>
      <c r="S181" s="2" t="s">
        <v>984</v>
      </c>
      <c r="T181" s="2" t="s">
        <v>37</v>
      </c>
      <c r="U181" s="2"/>
      <c r="V181" s="2">
        <v>5</v>
      </c>
      <c r="W181" s="2"/>
    </row>
    <row r="182" spans="1:23" ht="34" customHeight="1">
      <c r="A182" s="2" t="s">
        <v>977</v>
      </c>
      <c r="B182" s="2" t="s">
        <v>985</v>
      </c>
      <c r="C182" s="4">
        <v>6.2</v>
      </c>
      <c r="D182" s="6">
        <v>2</v>
      </c>
      <c r="E182" s="5">
        <v>1.85</v>
      </c>
      <c r="F182" s="5">
        <v>0.49</v>
      </c>
      <c r="G182" s="6">
        <v>15</v>
      </c>
      <c r="H182" s="6" t="s">
        <v>979</v>
      </c>
      <c r="I182" s="2" t="s">
        <v>29</v>
      </c>
      <c r="J182" s="2" t="s">
        <v>30</v>
      </c>
      <c r="K182" s="2" t="s">
        <v>42</v>
      </c>
      <c r="L182" s="2" t="s">
        <v>32</v>
      </c>
      <c r="M182" s="19">
        <f t="shared" si="2"/>
        <v>6</v>
      </c>
      <c r="N182" s="2" t="s">
        <v>986</v>
      </c>
      <c r="O182" s="2" t="s">
        <v>987</v>
      </c>
      <c r="P182" s="2" t="s">
        <v>35</v>
      </c>
      <c r="Q182" s="2"/>
      <c r="R182" s="2" t="s">
        <v>988</v>
      </c>
      <c r="S182" s="2" t="s">
        <v>989</v>
      </c>
      <c r="T182" s="2" t="s">
        <v>37</v>
      </c>
      <c r="U182" s="2"/>
      <c r="V182" s="2">
        <v>5</v>
      </c>
      <c r="W182" s="2"/>
    </row>
    <row r="183" spans="1:23" ht="50.5" customHeight="1">
      <c r="A183" s="2" t="s">
        <v>977</v>
      </c>
      <c r="B183" s="2" t="s">
        <v>990</v>
      </c>
      <c r="C183" s="5">
        <v>0.72</v>
      </c>
      <c r="D183" s="5">
        <v>0.14000000000000001</v>
      </c>
      <c r="E183" s="12">
        <v>1</v>
      </c>
      <c r="F183" s="12">
        <v>0</v>
      </c>
      <c r="G183" s="5">
        <v>0.08</v>
      </c>
      <c r="H183" s="5" t="s">
        <v>829</v>
      </c>
      <c r="I183" s="2" t="s">
        <v>876</v>
      </c>
      <c r="J183" s="2" t="s">
        <v>61</v>
      </c>
      <c r="K183" s="2" t="s">
        <v>281</v>
      </c>
      <c r="L183" s="2" t="s">
        <v>32</v>
      </c>
      <c r="M183" s="19">
        <f t="shared" si="2"/>
        <v>6</v>
      </c>
      <c r="N183" s="2" t="s">
        <v>120</v>
      </c>
      <c r="O183" s="2" t="s">
        <v>991</v>
      </c>
      <c r="P183" s="2" t="s">
        <v>122</v>
      </c>
      <c r="Q183" s="2"/>
      <c r="R183" s="2" t="s">
        <v>992</v>
      </c>
      <c r="S183" s="2" t="s">
        <v>993</v>
      </c>
      <c r="T183" s="2" t="s">
        <v>37</v>
      </c>
      <c r="U183" s="2" t="s">
        <v>147</v>
      </c>
      <c r="V183" s="2">
        <v>3</v>
      </c>
      <c r="W183" s="2" t="s">
        <v>892</v>
      </c>
    </row>
    <row r="184" spans="1:23" ht="50.5" customHeight="1">
      <c r="A184" s="2" t="s">
        <v>977</v>
      </c>
      <c r="B184" s="2" t="s">
        <v>994</v>
      </c>
      <c r="C184" s="5">
        <v>0.72</v>
      </c>
      <c r="D184" s="5">
        <v>0.16</v>
      </c>
      <c r="E184" s="12">
        <v>1</v>
      </c>
      <c r="F184" s="12">
        <v>0</v>
      </c>
      <c r="G184" s="5">
        <v>0.23</v>
      </c>
      <c r="H184" s="5" t="s">
        <v>114</v>
      </c>
      <c r="I184" s="2" t="s">
        <v>876</v>
      </c>
      <c r="J184" s="2" t="s">
        <v>61</v>
      </c>
      <c r="K184" s="2" t="s">
        <v>281</v>
      </c>
      <c r="L184" s="2" t="s">
        <v>32</v>
      </c>
      <c r="M184" s="19">
        <f t="shared" si="2"/>
        <v>6</v>
      </c>
      <c r="N184" s="2" t="s">
        <v>120</v>
      </c>
      <c r="O184" s="2" t="s">
        <v>995</v>
      </c>
      <c r="P184" s="2" t="s">
        <v>122</v>
      </c>
      <c r="Q184" s="2"/>
      <c r="R184" s="2" t="s">
        <v>992</v>
      </c>
      <c r="S184" s="2" t="s">
        <v>996</v>
      </c>
      <c r="T184" s="2" t="s">
        <v>37</v>
      </c>
      <c r="U184" s="2" t="s">
        <v>147</v>
      </c>
      <c r="V184" s="2">
        <v>3</v>
      </c>
      <c r="W184" s="2" t="s">
        <v>892</v>
      </c>
    </row>
    <row r="185" spans="1:23" ht="50.5" customHeight="1">
      <c r="A185" s="2" t="s">
        <v>977</v>
      </c>
      <c r="B185" s="2" t="s">
        <v>997</v>
      </c>
      <c r="C185" s="6">
        <v>1</v>
      </c>
      <c r="D185" s="4">
        <v>0.2</v>
      </c>
      <c r="E185" s="12">
        <v>1</v>
      </c>
      <c r="F185" s="12">
        <v>0</v>
      </c>
      <c r="G185" s="5">
        <v>0.49</v>
      </c>
      <c r="H185" s="5" t="s">
        <v>998</v>
      </c>
      <c r="I185" s="2" t="s">
        <v>876</v>
      </c>
      <c r="J185" s="2" t="s">
        <v>61</v>
      </c>
      <c r="K185" s="2" t="s">
        <v>281</v>
      </c>
      <c r="L185" s="2" t="s">
        <v>32</v>
      </c>
      <c r="M185" s="19">
        <f t="shared" si="2"/>
        <v>6</v>
      </c>
      <c r="N185" s="2" t="s">
        <v>120</v>
      </c>
      <c r="O185" s="2" t="s">
        <v>999</v>
      </c>
      <c r="P185" s="2" t="s">
        <v>122</v>
      </c>
      <c r="Q185" s="2"/>
      <c r="R185" s="2" t="s">
        <v>1000</v>
      </c>
      <c r="S185" s="2" t="s">
        <v>1001</v>
      </c>
      <c r="T185" s="2" t="s">
        <v>37</v>
      </c>
      <c r="U185" s="2" t="s">
        <v>147</v>
      </c>
      <c r="V185" s="2">
        <v>3</v>
      </c>
      <c r="W185" s="2" t="s">
        <v>892</v>
      </c>
    </row>
    <row r="186" spans="1:23" ht="50.5" customHeight="1">
      <c r="A186" s="2" t="s">
        <v>977</v>
      </c>
      <c r="B186" s="2" t="s">
        <v>1002</v>
      </c>
      <c r="C186" s="6">
        <v>1</v>
      </c>
      <c r="D186" s="4">
        <v>0.2</v>
      </c>
      <c r="E186" s="12">
        <v>1</v>
      </c>
      <c r="F186" s="12">
        <v>0</v>
      </c>
      <c r="G186" s="5">
        <v>0.49</v>
      </c>
      <c r="H186" s="5" t="s">
        <v>998</v>
      </c>
      <c r="I186" s="2" t="s">
        <v>876</v>
      </c>
      <c r="J186" s="2" t="s">
        <v>61</v>
      </c>
      <c r="K186" s="2" t="s">
        <v>281</v>
      </c>
      <c r="L186" s="2" t="s">
        <v>32</v>
      </c>
      <c r="M186" s="19">
        <f t="shared" si="2"/>
        <v>6</v>
      </c>
      <c r="N186" s="2" t="s">
        <v>120</v>
      </c>
      <c r="O186" s="2" t="s">
        <v>1003</v>
      </c>
      <c r="P186" s="2" t="s">
        <v>122</v>
      </c>
      <c r="Q186" s="2"/>
      <c r="R186" s="2" t="s">
        <v>1000</v>
      </c>
      <c r="S186" s="2" t="s">
        <v>1004</v>
      </c>
      <c r="T186" s="2" t="s">
        <v>37</v>
      </c>
      <c r="U186" s="2" t="s">
        <v>147</v>
      </c>
      <c r="V186" s="2">
        <v>3</v>
      </c>
      <c r="W186" s="2" t="s">
        <v>892</v>
      </c>
    </row>
    <row r="187" spans="1:23" ht="37" customHeight="1">
      <c r="A187" s="2" t="s">
        <v>977</v>
      </c>
      <c r="B187" s="2" t="s">
        <v>1005</v>
      </c>
      <c r="C187" s="8">
        <v>2.2829999999999999</v>
      </c>
      <c r="D187" s="9">
        <v>0.71319999999999995</v>
      </c>
      <c r="E187" s="6">
        <v>1</v>
      </c>
      <c r="F187" s="6">
        <v>0</v>
      </c>
      <c r="G187" s="9">
        <v>0.4022</v>
      </c>
      <c r="H187" s="9" t="s">
        <v>48</v>
      </c>
      <c r="I187" s="2" t="s">
        <v>1006</v>
      </c>
      <c r="J187" s="2" t="s">
        <v>61</v>
      </c>
      <c r="K187" s="2" t="s">
        <v>281</v>
      </c>
      <c r="L187" s="2" t="s">
        <v>32</v>
      </c>
      <c r="M187" s="19">
        <f t="shared" si="2"/>
        <v>6</v>
      </c>
      <c r="N187" s="2" t="s">
        <v>1007</v>
      </c>
      <c r="O187" s="2" t="s">
        <v>1008</v>
      </c>
      <c r="P187" s="2" t="s">
        <v>45</v>
      </c>
      <c r="Q187" s="2"/>
      <c r="R187" s="2" t="s">
        <v>1009</v>
      </c>
      <c r="S187" s="2" t="s">
        <v>1010</v>
      </c>
      <c r="T187" s="2" t="s">
        <v>37</v>
      </c>
      <c r="U187" s="2"/>
      <c r="V187" s="2">
        <v>5</v>
      </c>
      <c r="W187" s="2"/>
    </row>
    <row r="188" spans="1:23" ht="50.5" customHeight="1">
      <c r="A188" s="2" t="s">
        <v>977</v>
      </c>
      <c r="B188" s="2" t="s">
        <v>1011</v>
      </c>
      <c r="C188" s="5">
        <v>0.72</v>
      </c>
      <c r="D188" s="5">
        <v>0.19</v>
      </c>
      <c r="E188" s="12">
        <v>1</v>
      </c>
      <c r="F188" s="12">
        <v>0</v>
      </c>
      <c r="G188" s="5">
        <v>0.04</v>
      </c>
      <c r="H188" s="5" t="s">
        <v>1012</v>
      </c>
      <c r="I188" s="2" t="s">
        <v>876</v>
      </c>
      <c r="J188" s="2" t="s">
        <v>61</v>
      </c>
      <c r="K188" s="2" t="s">
        <v>281</v>
      </c>
      <c r="L188" s="2" t="s">
        <v>236</v>
      </c>
      <c r="M188" s="19">
        <f t="shared" si="2"/>
        <v>6</v>
      </c>
      <c r="N188" s="2" t="s">
        <v>120</v>
      </c>
      <c r="O188" s="2" t="s">
        <v>1013</v>
      </c>
      <c r="P188" s="2" t="s">
        <v>122</v>
      </c>
      <c r="Q188" s="2"/>
      <c r="R188" s="2" t="s">
        <v>1014</v>
      </c>
      <c r="S188" s="2" t="s">
        <v>1015</v>
      </c>
      <c r="T188" s="2" t="s">
        <v>326</v>
      </c>
      <c r="U188" s="2" t="s">
        <v>147</v>
      </c>
      <c r="V188" s="2">
        <v>3</v>
      </c>
      <c r="W188" s="2" t="s">
        <v>892</v>
      </c>
    </row>
    <row r="189" spans="1:23" ht="34" customHeight="1">
      <c r="A189" s="2" t="s">
        <v>977</v>
      </c>
      <c r="B189" s="2" t="s">
        <v>1016</v>
      </c>
      <c r="C189" s="4">
        <v>2.5</v>
      </c>
      <c r="D189" s="4">
        <v>0.5</v>
      </c>
      <c r="E189" s="5">
        <v>1.35</v>
      </c>
      <c r="F189" s="7" t="s">
        <v>685</v>
      </c>
      <c r="G189" s="6">
        <v>1</v>
      </c>
      <c r="H189" s="6" t="s">
        <v>1017</v>
      </c>
      <c r="I189" s="2" t="s">
        <v>71</v>
      </c>
      <c r="J189" s="2" t="s">
        <v>94</v>
      </c>
      <c r="K189" s="2" t="s">
        <v>910</v>
      </c>
      <c r="L189" s="2" t="s">
        <v>32</v>
      </c>
      <c r="M189" s="19">
        <f t="shared" si="2"/>
        <v>6</v>
      </c>
      <c r="N189" s="2" t="s">
        <v>911</v>
      </c>
      <c r="O189" s="2" t="s">
        <v>1018</v>
      </c>
      <c r="P189" s="2" t="s">
        <v>45</v>
      </c>
      <c r="Q189" s="2"/>
      <c r="R189" s="2" t="s">
        <v>1019</v>
      </c>
      <c r="S189" s="2" t="s">
        <v>1020</v>
      </c>
      <c r="T189" s="2" t="s">
        <v>37</v>
      </c>
      <c r="U189" s="2"/>
      <c r="V189" s="2">
        <v>5</v>
      </c>
      <c r="W189" s="2"/>
    </row>
    <row r="190" spans="1:23" ht="37" customHeight="1">
      <c r="A190" s="2" t="s">
        <v>1021</v>
      </c>
      <c r="B190" s="2" t="s">
        <v>1022</v>
      </c>
      <c r="C190" s="5">
        <v>1.65</v>
      </c>
      <c r="D190" s="4">
        <v>0.4</v>
      </c>
      <c r="E190" s="12">
        <v>1</v>
      </c>
      <c r="F190" s="12">
        <v>0</v>
      </c>
      <c r="G190" s="7" t="s">
        <v>1012</v>
      </c>
      <c r="H190" s="7" t="s">
        <v>323</v>
      </c>
      <c r="I190" s="2" t="s">
        <v>1023</v>
      </c>
      <c r="J190" s="2" t="s">
        <v>61</v>
      </c>
      <c r="K190" s="2" t="s">
        <v>1024</v>
      </c>
      <c r="L190" s="2" t="s">
        <v>32</v>
      </c>
      <c r="M190" s="19">
        <f t="shared" si="2"/>
        <v>6</v>
      </c>
      <c r="N190" s="2" t="s">
        <v>1025</v>
      </c>
      <c r="O190" s="2" t="s">
        <v>1026</v>
      </c>
      <c r="P190" s="2" t="s">
        <v>35</v>
      </c>
      <c r="Q190" s="2"/>
      <c r="R190" s="2" t="s">
        <v>1027</v>
      </c>
      <c r="S190" s="2" t="s">
        <v>1028</v>
      </c>
      <c r="T190" s="2" t="s">
        <v>37</v>
      </c>
      <c r="U190" s="2" t="s">
        <v>147</v>
      </c>
      <c r="V190" s="2">
        <v>3</v>
      </c>
      <c r="W190" s="2" t="s">
        <v>1029</v>
      </c>
    </row>
    <row r="191" spans="1:23" ht="34" customHeight="1">
      <c r="A191" s="2" t="s">
        <v>1021</v>
      </c>
      <c r="B191" s="2" t="s">
        <v>1030</v>
      </c>
      <c r="C191" s="5">
        <v>1.65</v>
      </c>
      <c r="D191" s="4">
        <v>0.5</v>
      </c>
      <c r="E191" s="4">
        <v>1.6</v>
      </c>
      <c r="F191" s="7" t="s">
        <v>1031</v>
      </c>
      <c r="G191" s="4">
        <v>1.4</v>
      </c>
      <c r="H191" s="4" t="s">
        <v>961</v>
      </c>
      <c r="I191" s="2" t="s">
        <v>71</v>
      </c>
      <c r="J191" s="2" t="s">
        <v>94</v>
      </c>
      <c r="K191" s="2" t="s">
        <v>910</v>
      </c>
      <c r="L191" s="2" t="s">
        <v>32</v>
      </c>
      <c r="M191" s="19">
        <f t="shared" si="2"/>
        <v>6</v>
      </c>
      <c r="N191" s="2" t="s">
        <v>1032</v>
      </c>
      <c r="O191" s="2" t="s">
        <v>1033</v>
      </c>
      <c r="P191" s="2" t="s">
        <v>45</v>
      </c>
      <c r="Q191" s="2"/>
      <c r="R191" s="2" t="s">
        <v>1034</v>
      </c>
      <c r="S191" s="2" t="s">
        <v>1035</v>
      </c>
      <c r="T191" s="2" t="s">
        <v>37</v>
      </c>
      <c r="U191" s="2"/>
      <c r="V191" s="2">
        <v>5</v>
      </c>
      <c r="W191" s="2"/>
    </row>
    <row r="192" spans="1:23" ht="50.5" customHeight="1">
      <c r="A192" s="2" t="s">
        <v>1021</v>
      </c>
      <c r="B192" s="2" t="s">
        <v>1036</v>
      </c>
      <c r="C192" s="4">
        <v>0.7</v>
      </c>
      <c r="D192" s="5">
        <v>0.11</v>
      </c>
      <c r="E192" s="12">
        <v>1</v>
      </c>
      <c r="F192" s="12">
        <v>0</v>
      </c>
      <c r="G192" s="8">
        <v>0.125</v>
      </c>
      <c r="H192" s="8" t="s">
        <v>76</v>
      </c>
      <c r="I192" s="2" t="s">
        <v>876</v>
      </c>
      <c r="J192" s="2" t="s">
        <v>61</v>
      </c>
      <c r="K192" s="2" t="s">
        <v>281</v>
      </c>
      <c r="L192" s="2" t="s">
        <v>32</v>
      </c>
      <c r="M192" s="19">
        <f t="shared" si="2"/>
        <v>6</v>
      </c>
      <c r="N192" s="2" t="s">
        <v>120</v>
      </c>
      <c r="O192" s="2" t="s">
        <v>1037</v>
      </c>
      <c r="P192" s="2" t="s">
        <v>122</v>
      </c>
      <c r="Q192" s="2"/>
      <c r="R192" s="2" t="s">
        <v>1038</v>
      </c>
      <c r="S192" s="2" t="s">
        <v>1039</v>
      </c>
      <c r="T192" s="2" t="s">
        <v>37</v>
      </c>
      <c r="U192" s="2" t="s">
        <v>147</v>
      </c>
      <c r="V192" s="2">
        <v>3</v>
      </c>
      <c r="W192" s="2" t="s">
        <v>892</v>
      </c>
    </row>
    <row r="193" spans="1:23" ht="50.5" customHeight="1">
      <c r="A193" s="2" t="s">
        <v>1021</v>
      </c>
      <c r="B193" s="2" t="s">
        <v>1040</v>
      </c>
      <c r="C193" s="5">
        <v>0.25</v>
      </c>
      <c r="D193" s="4">
        <v>0.1</v>
      </c>
      <c r="E193" s="12">
        <v>1</v>
      </c>
      <c r="F193" s="12">
        <v>0</v>
      </c>
      <c r="G193" s="8">
        <v>2.5000000000000001E-2</v>
      </c>
      <c r="H193" s="8" t="s">
        <v>86</v>
      </c>
      <c r="I193" s="2" t="s">
        <v>876</v>
      </c>
      <c r="J193" s="2" t="s">
        <v>61</v>
      </c>
      <c r="K193" s="2" t="s">
        <v>1041</v>
      </c>
      <c r="L193" s="2" t="s">
        <v>32</v>
      </c>
      <c r="M193" s="19">
        <f t="shared" si="2"/>
        <v>6</v>
      </c>
      <c r="N193" s="2" t="s">
        <v>120</v>
      </c>
      <c r="O193" s="2" t="s">
        <v>1042</v>
      </c>
      <c r="P193" s="2" t="s">
        <v>122</v>
      </c>
      <c r="Q193" s="2"/>
      <c r="R193" s="2" t="s">
        <v>1043</v>
      </c>
      <c r="S193" s="2" t="s">
        <v>1044</v>
      </c>
      <c r="T193" s="2" t="s">
        <v>37</v>
      </c>
      <c r="U193" s="2" t="s">
        <v>147</v>
      </c>
      <c r="V193" s="2">
        <v>3</v>
      </c>
      <c r="W193" s="2" t="s">
        <v>892</v>
      </c>
    </row>
    <row r="194" spans="1:23" ht="34" customHeight="1">
      <c r="A194" s="2" t="s">
        <v>1021</v>
      </c>
      <c r="B194" s="2" t="s">
        <v>1045</v>
      </c>
      <c r="C194" s="5">
        <v>1.75</v>
      </c>
      <c r="D194" s="8">
        <v>0.46500000000000002</v>
      </c>
      <c r="E194" s="6">
        <v>1</v>
      </c>
      <c r="F194" s="6">
        <v>0</v>
      </c>
      <c r="G194" s="8">
        <v>0.39600000000000002</v>
      </c>
      <c r="H194" s="8" t="s">
        <v>157</v>
      </c>
      <c r="I194" s="2" t="s">
        <v>1046</v>
      </c>
      <c r="J194" s="2" t="s">
        <v>61</v>
      </c>
      <c r="K194" s="2" t="s">
        <v>1047</v>
      </c>
      <c r="L194" s="2" t="s">
        <v>32</v>
      </c>
      <c r="M194" s="19">
        <f t="shared" si="2"/>
        <v>6</v>
      </c>
      <c r="N194" s="2" t="s">
        <v>1048</v>
      </c>
      <c r="O194" s="2" t="s">
        <v>1049</v>
      </c>
      <c r="P194" s="2" t="s">
        <v>45</v>
      </c>
      <c r="Q194" s="2"/>
      <c r="R194" s="2" t="s">
        <v>1050</v>
      </c>
      <c r="S194" s="2"/>
      <c r="T194" s="2" t="s">
        <v>37</v>
      </c>
      <c r="U194" s="2"/>
      <c r="V194" s="2">
        <v>5</v>
      </c>
      <c r="W194" s="2"/>
    </row>
    <row r="195" spans="1:23" ht="50.5" customHeight="1">
      <c r="A195" s="2" t="s">
        <v>1021</v>
      </c>
      <c r="B195" s="2" t="s">
        <v>1051</v>
      </c>
      <c r="C195" s="4">
        <v>0.3</v>
      </c>
      <c r="D195" s="4">
        <v>0.1</v>
      </c>
      <c r="E195" s="12">
        <v>1</v>
      </c>
      <c r="F195" s="12">
        <v>0</v>
      </c>
      <c r="G195" s="5">
        <v>0.03</v>
      </c>
      <c r="H195" s="5" t="s">
        <v>815</v>
      </c>
      <c r="I195" s="2" t="s">
        <v>876</v>
      </c>
      <c r="J195" s="2" t="s">
        <v>61</v>
      </c>
      <c r="K195" s="2" t="s">
        <v>281</v>
      </c>
      <c r="L195" s="2" t="s">
        <v>32</v>
      </c>
      <c r="M195" s="19">
        <f t="shared" si="2"/>
        <v>6</v>
      </c>
      <c r="N195" s="2" t="s">
        <v>120</v>
      </c>
      <c r="O195" s="2" t="s">
        <v>1052</v>
      </c>
      <c r="P195" s="2" t="s">
        <v>122</v>
      </c>
      <c r="Q195" s="2"/>
      <c r="R195" s="2" t="s">
        <v>1053</v>
      </c>
      <c r="S195" s="2" t="s">
        <v>1054</v>
      </c>
      <c r="T195" s="2" t="s">
        <v>37</v>
      </c>
      <c r="U195" s="2" t="s">
        <v>147</v>
      </c>
      <c r="V195" s="2">
        <v>3</v>
      </c>
      <c r="W195" s="2" t="s">
        <v>892</v>
      </c>
    </row>
    <row r="196" spans="1:23" ht="34" customHeight="1">
      <c r="A196" s="2" t="s">
        <v>1055</v>
      </c>
      <c r="B196" s="2" t="s">
        <v>1056</v>
      </c>
      <c r="C196" s="5">
        <v>2.11</v>
      </c>
      <c r="D196" s="5">
        <v>0.64</v>
      </c>
      <c r="E196" s="5">
        <v>1.65</v>
      </c>
      <c r="F196" s="4">
        <v>0.3</v>
      </c>
      <c r="G196" s="4">
        <v>5.5</v>
      </c>
      <c r="H196" s="4" t="s">
        <v>998</v>
      </c>
      <c r="I196" s="2" t="s">
        <v>29</v>
      </c>
      <c r="J196" s="2" t="s">
        <v>41</v>
      </c>
      <c r="K196" s="2" t="s">
        <v>1057</v>
      </c>
      <c r="L196" s="2" t="s">
        <v>32</v>
      </c>
      <c r="M196" s="19">
        <f t="shared" si="2"/>
        <v>6</v>
      </c>
      <c r="N196" s="2" t="s">
        <v>1058</v>
      </c>
      <c r="O196" s="2" t="s">
        <v>1059</v>
      </c>
      <c r="P196" s="2" t="s">
        <v>45</v>
      </c>
      <c r="Q196" s="2"/>
      <c r="R196" s="2" t="s">
        <v>1060</v>
      </c>
      <c r="S196" s="2" t="s">
        <v>1061</v>
      </c>
      <c r="T196" s="2" t="s">
        <v>37</v>
      </c>
      <c r="U196" s="2"/>
      <c r="V196" s="2">
        <v>5</v>
      </c>
      <c r="W196" s="2"/>
    </row>
    <row r="197" spans="1:23" ht="34" customHeight="1">
      <c r="A197" s="2" t="s">
        <v>1055</v>
      </c>
      <c r="B197" s="2" t="s">
        <v>1062</v>
      </c>
      <c r="C197" s="5">
        <v>2.19</v>
      </c>
      <c r="D197" s="4">
        <v>0.7</v>
      </c>
      <c r="E197" s="7" t="s">
        <v>1063</v>
      </c>
      <c r="F197" s="7" t="s">
        <v>1064</v>
      </c>
      <c r="G197" s="4">
        <v>5.5</v>
      </c>
      <c r="H197" s="4" t="s">
        <v>998</v>
      </c>
      <c r="I197" s="2" t="s">
        <v>29</v>
      </c>
      <c r="J197" s="2" t="s">
        <v>30</v>
      </c>
      <c r="K197" s="2" t="s">
        <v>1065</v>
      </c>
      <c r="L197" s="2" t="s">
        <v>32</v>
      </c>
      <c r="M197" s="19">
        <f t="shared" si="2"/>
        <v>6</v>
      </c>
      <c r="N197" s="2" t="s">
        <v>1066</v>
      </c>
      <c r="O197" s="2" t="s">
        <v>1067</v>
      </c>
      <c r="P197" s="2" t="s">
        <v>45</v>
      </c>
      <c r="Q197" s="2"/>
      <c r="R197" s="2" t="s">
        <v>1068</v>
      </c>
      <c r="S197" s="2" t="s">
        <v>1069</v>
      </c>
      <c r="T197" s="2" t="s">
        <v>37</v>
      </c>
      <c r="U197" s="2"/>
      <c r="V197" s="2">
        <v>5</v>
      </c>
      <c r="W197" s="2"/>
    </row>
    <row r="198" spans="1:23" ht="34" customHeight="1">
      <c r="A198" s="2" t="s">
        <v>1055</v>
      </c>
      <c r="B198" s="2" t="s">
        <v>1070</v>
      </c>
      <c r="C198" s="5">
        <v>1.82</v>
      </c>
      <c r="D198" s="5">
        <v>0.64</v>
      </c>
      <c r="E198" s="4">
        <v>1.7</v>
      </c>
      <c r="F198" s="4">
        <v>0.4</v>
      </c>
      <c r="G198" s="4">
        <v>6.5</v>
      </c>
      <c r="H198" s="4" t="s">
        <v>273</v>
      </c>
      <c r="I198" s="2" t="s">
        <v>29</v>
      </c>
      <c r="J198" s="2" t="s">
        <v>41</v>
      </c>
      <c r="K198" s="2" t="s">
        <v>381</v>
      </c>
      <c r="L198" s="2" t="s">
        <v>32</v>
      </c>
      <c r="M198" s="19">
        <f t="shared" ref="M198:M261" si="3">6-COUNTBLANK(C198:H198)</f>
        <v>6</v>
      </c>
      <c r="N198" s="2" t="s">
        <v>1071</v>
      </c>
      <c r="O198" s="2" t="s">
        <v>1072</v>
      </c>
      <c r="P198" s="2" t="s">
        <v>45</v>
      </c>
      <c r="Q198" s="2"/>
      <c r="R198" s="2" t="s">
        <v>1073</v>
      </c>
      <c r="S198" s="2" t="s">
        <v>1074</v>
      </c>
      <c r="T198" s="2" t="s">
        <v>37</v>
      </c>
      <c r="U198" s="2"/>
      <c r="V198" s="2">
        <v>5</v>
      </c>
      <c r="W198" s="2"/>
    </row>
    <row r="199" spans="1:23" ht="34" customHeight="1">
      <c r="A199" s="2" t="s">
        <v>1055</v>
      </c>
      <c r="B199" s="2" t="s">
        <v>1075</v>
      </c>
      <c r="C199" s="4">
        <v>1.3</v>
      </c>
      <c r="D199" s="5">
        <v>0.48</v>
      </c>
      <c r="E199" s="4">
        <v>1.8</v>
      </c>
      <c r="F199" s="5">
        <v>0.45</v>
      </c>
      <c r="G199" s="6">
        <v>6</v>
      </c>
      <c r="H199" s="6" t="s">
        <v>430</v>
      </c>
      <c r="I199" s="2" t="s">
        <v>29</v>
      </c>
      <c r="J199" s="2" t="s">
        <v>41</v>
      </c>
      <c r="K199" s="2" t="s">
        <v>317</v>
      </c>
      <c r="L199" s="2" t="s">
        <v>32</v>
      </c>
      <c r="M199" s="19">
        <f t="shared" si="3"/>
        <v>6</v>
      </c>
      <c r="N199" s="2" t="s">
        <v>1076</v>
      </c>
      <c r="O199" s="2" t="s">
        <v>1077</v>
      </c>
      <c r="P199" s="2" t="s">
        <v>45</v>
      </c>
      <c r="Q199" s="2"/>
      <c r="R199" s="2" t="s">
        <v>1073</v>
      </c>
      <c r="S199" s="2" t="s">
        <v>1078</v>
      </c>
      <c r="T199" s="2" t="s">
        <v>37</v>
      </c>
      <c r="U199" s="2"/>
      <c r="V199" s="2">
        <v>5</v>
      </c>
      <c r="W199" s="2"/>
    </row>
    <row r="200" spans="1:23" ht="37" customHeight="1">
      <c r="A200" s="2" t="s">
        <v>1055</v>
      </c>
      <c r="B200" s="2" t="s">
        <v>1079</v>
      </c>
      <c r="C200" s="9">
        <v>0.94450000000000001</v>
      </c>
      <c r="D200" s="9">
        <v>0.28810000000000002</v>
      </c>
      <c r="E200" s="8">
        <v>1.0649999999999999</v>
      </c>
      <c r="F200" s="12">
        <v>0</v>
      </c>
      <c r="G200" s="9">
        <v>0.48020000000000002</v>
      </c>
      <c r="H200" s="9" t="s">
        <v>430</v>
      </c>
      <c r="I200" s="2" t="s">
        <v>1080</v>
      </c>
      <c r="J200" s="2" t="s">
        <v>61</v>
      </c>
      <c r="K200" s="2" t="s">
        <v>1081</v>
      </c>
      <c r="L200" s="2" t="s">
        <v>32</v>
      </c>
      <c r="M200" s="19">
        <f t="shared" si="3"/>
        <v>6</v>
      </c>
      <c r="N200" s="2" t="s">
        <v>1082</v>
      </c>
      <c r="O200" s="2" t="s">
        <v>1083</v>
      </c>
      <c r="P200" s="2" t="s">
        <v>45</v>
      </c>
      <c r="Q200" s="2"/>
      <c r="R200" s="2" t="s">
        <v>1060</v>
      </c>
      <c r="S200" s="2" t="s">
        <v>1084</v>
      </c>
      <c r="T200" s="2" t="s">
        <v>37</v>
      </c>
      <c r="U200" s="2" t="s">
        <v>65</v>
      </c>
      <c r="V200" s="2">
        <v>4</v>
      </c>
      <c r="W200" s="2" t="s">
        <v>1085</v>
      </c>
    </row>
    <row r="201" spans="1:23" ht="50.5" customHeight="1">
      <c r="A201" s="2" t="s">
        <v>1055</v>
      </c>
      <c r="B201" s="2" t="s">
        <v>1086</v>
      </c>
      <c r="C201" s="5">
        <v>0.83</v>
      </c>
      <c r="D201" s="4">
        <v>0.2</v>
      </c>
      <c r="E201" s="12">
        <v>1</v>
      </c>
      <c r="F201" s="12">
        <v>0</v>
      </c>
      <c r="G201" s="4">
        <v>0.8</v>
      </c>
      <c r="H201" s="4" t="s">
        <v>1087</v>
      </c>
      <c r="I201" s="2" t="s">
        <v>876</v>
      </c>
      <c r="J201" s="2" t="s">
        <v>61</v>
      </c>
      <c r="K201" s="2" t="s">
        <v>281</v>
      </c>
      <c r="L201" s="2" t="s">
        <v>32</v>
      </c>
      <c r="M201" s="19">
        <f t="shared" si="3"/>
        <v>6</v>
      </c>
      <c r="N201" s="2" t="s">
        <v>120</v>
      </c>
      <c r="O201" s="2" t="s">
        <v>1088</v>
      </c>
      <c r="P201" s="2" t="s">
        <v>122</v>
      </c>
      <c r="Q201" s="2"/>
      <c r="R201" s="2" t="s">
        <v>1089</v>
      </c>
      <c r="S201" s="2" t="s">
        <v>1090</v>
      </c>
      <c r="T201" s="2" t="s">
        <v>37</v>
      </c>
      <c r="U201" s="2" t="s">
        <v>147</v>
      </c>
      <c r="V201" s="2">
        <v>3</v>
      </c>
      <c r="W201" s="2" t="s">
        <v>892</v>
      </c>
    </row>
    <row r="202" spans="1:23" ht="34" customHeight="1">
      <c r="A202" s="2" t="s">
        <v>1055</v>
      </c>
      <c r="B202" s="2" t="s">
        <v>1091</v>
      </c>
      <c r="C202" s="4">
        <v>0.2</v>
      </c>
      <c r="D202" s="5">
        <v>0.16</v>
      </c>
      <c r="E202" s="5">
        <v>2.17</v>
      </c>
      <c r="F202" s="7"/>
      <c r="G202" s="5">
        <v>0.18</v>
      </c>
      <c r="H202" s="5" t="s">
        <v>137</v>
      </c>
      <c r="I202" s="2" t="s">
        <v>29</v>
      </c>
      <c r="J202" s="2" t="s">
        <v>41</v>
      </c>
      <c r="K202" s="2" t="s">
        <v>1092</v>
      </c>
      <c r="L202" s="2" t="s">
        <v>236</v>
      </c>
      <c r="M202" s="19">
        <f t="shared" si="3"/>
        <v>5</v>
      </c>
      <c r="N202" s="2" t="s">
        <v>1093</v>
      </c>
      <c r="O202" s="2" t="s">
        <v>1094</v>
      </c>
      <c r="P202" s="2" t="s">
        <v>45</v>
      </c>
      <c r="Q202" s="2" t="s">
        <v>65</v>
      </c>
      <c r="R202" s="2" t="s">
        <v>1060</v>
      </c>
      <c r="S202" s="2" t="s">
        <v>1095</v>
      </c>
      <c r="T202" s="2" t="s">
        <v>1096</v>
      </c>
      <c r="U202" s="2"/>
      <c r="V202" s="2">
        <v>4</v>
      </c>
      <c r="W202" s="2"/>
    </row>
    <row r="203" spans="1:23" ht="34" customHeight="1">
      <c r="A203" s="2" t="s">
        <v>1055</v>
      </c>
      <c r="B203" s="2" t="s">
        <v>1097</v>
      </c>
      <c r="C203" s="7"/>
      <c r="D203" s="7"/>
      <c r="E203" s="7" t="s">
        <v>1098</v>
      </c>
      <c r="F203" s="7" t="s">
        <v>1099</v>
      </c>
      <c r="G203" s="7"/>
      <c r="H203" s="7" t="s">
        <v>1100</v>
      </c>
      <c r="I203" s="2" t="s">
        <v>29</v>
      </c>
      <c r="J203" s="2" t="s">
        <v>41</v>
      </c>
      <c r="K203" s="2" t="s">
        <v>42</v>
      </c>
      <c r="L203" s="2" t="s">
        <v>236</v>
      </c>
      <c r="M203" s="19">
        <f t="shared" si="3"/>
        <v>3</v>
      </c>
      <c r="N203" s="2" t="s">
        <v>1101</v>
      </c>
      <c r="O203" s="2" t="s">
        <v>1102</v>
      </c>
      <c r="P203" s="2" t="s">
        <v>45</v>
      </c>
      <c r="Q203" s="2" t="s">
        <v>1103</v>
      </c>
      <c r="R203" s="2" t="s">
        <v>1104</v>
      </c>
      <c r="S203" s="2" t="s">
        <v>1105</v>
      </c>
      <c r="T203" s="2" t="s">
        <v>326</v>
      </c>
      <c r="U203" s="2"/>
      <c r="V203" s="2">
        <v>2</v>
      </c>
      <c r="W203" s="2"/>
    </row>
    <row r="204" spans="1:23" ht="37" customHeight="1">
      <c r="A204" s="2" t="s">
        <v>1055</v>
      </c>
      <c r="B204" s="2" t="s">
        <v>1106</v>
      </c>
      <c r="C204" s="8">
        <v>1.9950000000000001</v>
      </c>
      <c r="D204" s="7" t="s">
        <v>1107</v>
      </c>
      <c r="E204" s="12">
        <v>1</v>
      </c>
      <c r="F204" s="12">
        <v>0</v>
      </c>
      <c r="G204" s="7" t="s">
        <v>1108</v>
      </c>
      <c r="H204" s="7" t="s">
        <v>1100</v>
      </c>
      <c r="I204" s="2" t="s">
        <v>1109</v>
      </c>
      <c r="J204" s="2" t="s">
        <v>50</v>
      </c>
      <c r="K204" s="2" t="s">
        <v>1057</v>
      </c>
      <c r="L204" s="2" t="s">
        <v>236</v>
      </c>
      <c r="M204" s="19">
        <f t="shared" si="3"/>
        <v>6</v>
      </c>
      <c r="N204" s="2" t="s">
        <v>1110</v>
      </c>
      <c r="O204" s="2" t="s">
        <v>1111</v>
      </c>
      <c r="P204" s="2" t="s">
        <v>1112</v>
      </c>
      <c r="Q204" s="2"/>
      <c r="R204" s="2" t="s">
        <v>1104</v>
      </c>
      <c r="S204" s="2" t="s">
        <v>1113</v>
      </c>
      <c r="T204" s="2" t="s">
        <v>326</v>
      </c>
      <c r="U204" s="2" t="s">
        <v>147</v>
      </c>
      <c r="V204" s="2">
        <v>3</v>
      </c>
      <c r="W204" s="2" t="s">
        <v>1114</v>
      </c>
    </row>
    <row r="205" spans="1:23" ht="50.5" customHeight="1">
      <c r="A205" s="2" t="s">
        <v>1055</v>
      </c>
      <c r="B205" s="2" t="s">
        <v>1115</v>
      </c>
      <c r="C205" s="5">
        <v>0.52</v>
      </c>
      <c r="D205" s="5">
        <v>0.16</v>
      </c>
      <c r="E205" s="12">
        <v>1</v>
      </c>
      <c r="F205" s="12">
        <v>0</v>
      </c>
      <c r="G205" s="5">
        <v>0.05</v>
      </c>
      <c r="H205" s="5" t="s">
        <v>1116</v>
      </c>
      <c r="I205" s="2" t="s">
        <v>876</v>
      </c>
      <c r="J205" s="2" t="s">
        <v>61</v>
      </c>
      <c r="K205" s="2" t="s">
        <v>281</v>
      </c>
      <c r="L205" s="2" t="s">
        <v>32</v>
      </c>
      <c r="M205" s="19">
        <f t="shared" si="3"/>
        <v>6</v>
      </c>
      <c r="N205" s="2" t="s">
        <v>120</v>
      </c>
      <c r="O205" s="2" t="s">
        <v>1117</v>
      </c>
      <c r="P205" s="2" t="s">
        <v>122</v>
      </c>
      <c r="Q205" s="2"/>
      <c r="R205" s="2" t="s">
        <v>1118</v>
      </c>
      <c r="S205" s="2" t="s">
        <v>1119</v>
      </c>
      <c r="T205" s="2" t="s">
        <v>37</v>
      </c>
      <c r="U205" s="2" t="s">
        <v>147</v>
      </c>
      <c r="V205" s="2">
        <v>3</v>
      </c>
      <c r="W205" s="2" t="s">
        <v>892</v>
      </c>
    </row>
    <row r="206" spans="1:23" ht="50.5" customHeight="1">
      <c r="A206" s="2" t="s">
        <v>1055</v>
      </c>
      <c r="B206" s="2" t="s">
        <v>1120</v>
      </c>
      <c r="C206" s="4">
        <v>0.3</v>
      </c>
      <c r="D206" s="5">
        <v>0.04</v>
      </c>
      <c r="E206" s="12">
        <v>1</v>
      </c>
      <c r="F206" s="12">
        <v>0</v>
      </c>
      <c r="G206" s="5">
        <v>0.05</v>
      </c>
      <c r="H206" s="5" t="s">
        <v>117</v>
      </c>
      <c r="I206" s="2" t="s">
        <v>876</v>
      </c>
      <c r="J206" s="2" t="s">
        <v>61</v>
      </c>
      <c r="K206" s="2" t="s">
        <v>281</v>
      </c>
      <c r="L206" s="2" t="s">
        <v>32</v>
      </c>
      <c r="M206" s="19">
        <f t="shared" si="3"/>
        <v>6</v>
      </c>
      <c r="N206" s="2" t="s">
        <v>120</v>
      </c>
      <c r="O206" s="2" t="s">
        <v>1121</v>
      </c>
      <c r="P206" s="2" t="s">
        <v>122</v>
      </c>
      <c r="Q206" s="2"/>
      <c r="R206" s="2" t="s">
        <v>1089</v>
      </c>
      <c r="S206" s="2" t="s">
        <v>1122</v>
      </c>
      <c r="T206" s="2" t="s">
        <v>37</v>
      </c>
      <c r="U206" s="2" t="s">
        <v>147</v>
      </c>
      <c r="V206" s="2">
        <v>3</v>
      </c>
      <c r="W206" s="2" t="s">
        <v>892</v>
      </c>
    </row>
    <row r="207" spans="1:23" ht="50.5" customHeight="1">
      <c r="A207" s="2" t="s">
        <v>1123</v>
      </c>
      <c r="B207" s="2" t="s">
        <v>1124</v>
      </c>
      <c r="C207" s="5">
        <v>0.61</v>
      </c>
      <c r="D207" s="5">
        <v>0.18</v>
      </c>
      <c r="E207" s="12">
        <v>1</v>
      </c>
      <c r="F207" s="12">
        <v>0</v>
      </c>
      <c r="G207" s="5">
        <v>0.17</v>
      </c>
      <c r="H207" s="5" t="s">
        <v>172</v>
      </c>
      <c r="I207" s="2" t="s">
        <v>876</v>
      </c>
      <c r="J207" s="2" t="s">
        <v>61</v>
      </c>
      <c r="K207" s="2" t="s">
        <v>281</v>
      </c>
      <c r="L207" s="2" t="s">
        <v>32</v>
      </c>
      <c r="M207" s="19">
        <f t="shared" si="3"/>
        <v>6</v>
      </c>
      <c r="N207" s="2" t="s">
        <v>120</v>
      </c>
      <c r="O207" s="2" t="s">
        <v>1125</v>
      </c>
      <c r="P207" s="2" t="s">
        <v>122</v>
      </c>
      <c r="Q207" s="2"/>
      <c r="R207" s="2" t="s">
        <v>1126</v>
      </c>
      <c r="S207" s="2" t="s">
        <v>1127</v>
      </c>
      <c r="T207" s="2" t="s">
        <v>37</v>
      </c>
      <c r="U207" s="2" t="s">
        <v>147</v>
      </c>
      <c r="V207" s="2">
        <v>3</v>
      </c>
      <c r="W207" s="2" t="s">
        <v>892</v>
      </c>
    </row>
    <row r="208" spans="1:23" ht="34" customHeight="1">
      <c r="A208" s="2" t="s">
        <v>1123</v>
      </c>
      <c r="B208" s="2" t="s">
        <v>1128</v>
      </c>
      <c r="C208" s="5">
        <v>0.88</v>
      </c>
      <c r="D208" s="5">
        <v>0.25</v>
      </c>
      <c r="E208" s="4">
        <v>2.8</v>
      </c>
      <c r="F208" s="7" t="s">
        <v>1129</v>
      </c>
      <c r="G208" s="6">
        <v>1</v>
      </c>
      <c r="H208" s="6" t="s">
        <v>1130</v>
      </c>
      <c r="I208" s="2" t="s">
        <v>71</v>
      </c>
      <c r="J208" s="2" t="s">
        <v>94</v>
      </c>
      <c r="K208" s="2" t="s">
        <v>910</v>
      </c>
      <c r="L208" s="2" t="s">
        <v>32</v>
      </c>
      <c r="M208" s="19">
        <f t="shared" si="3"/>
        <v>6</v>
      </c>
      <c r="N208" s="2" t="s">
        <v>1131</v>
      </c>
      <c r="O208" s="2" t="s">
        <v>1132</v>
      </c>
      <c r="P208" s="2" t="s">
        <v>45</v>
      </c>
      <c r="Q208" s="2"/>
      <c r="R208" s="2" t="s">
        <v>1133</v>
      </c>
      <c r="S208" s="2"/>
      <c r="T208" s="2" t="s">
        <v>37</v>
      </c>
      <c r="U208" s="2"/>
      <c r="V208" s="2">
        <v>5</v>
      </c>
      <c r="W208" s="2"/>
    </row>
    <row r="209" spans="1:23" ht="37" customHeight="1">
      <c r="A209" s="2" t="s">
        <v>1134</v>
      </c>
      <c r="B209" s="2" t="s">
        <v>1135</v>
      </c>
      <c r="C209" s="4">
        <v>0.4</v>
      </c>
      <c r="D209" s="5">
        <v>0.09</v>
      </c>
      <c r="E209" s="12">
        <v>1</v>
      </c>
      <c r="F209" s="12">
        <v>0</v>
      </c>
      <c r="G209" s="8">
        <v>2.5000000000000001E-2</v>
      </c>
      <c r="H209" s="8" t="s">
        <v>172</v>
      </c>
      <c r="I209" s="2" t="s">
        <v>876</v>
      </c>
      <c r="J209" s="2" t="s">
        <v>61</v>
      </c>
      <c r="K209" s="2" t="s">
        <v>1136</v>
      </c>
      <c r="L209" s="2" t="s">
        <v>32</v>
      </c>
      <c r="M209" s="19">
        <f t="shared" si="3"/>
        <v>6</v>
      </c>
      <c r="N209" s="2" t="s">
        <v>1137</v>
      </c>
      <c r="O209" s="2" t="s">
        <v>1138</v>
      </c>
      <c r="P209" s="2" t="s">
        <v>45</v>
      </c>
      <c r="Q209" s="2"/>
      <c r="R209" s="2" t="s">
        <v>1139</v>
      </c>
      <c r="S209" s="2" t="s">
        <v>1140</v>
      </c>
      <c r="T209" s="2" t="s">
        <v>37</v>
      </c>
      <c r="U209" s="2" t="s">
        <v>147</v>
      </c>
      <c r="V209" s="2">
        <v>3</v>
      </c>
      <c r="W209" s="2" t="s">
        <v>1141</v>
      </c>
    </row>
    <row r="210" spans="1:23" ht="37" customHeight="1">
      <c r="A210" s="2" t="s">
        <v>1134</v>
      </c>
      <c r="B210" s="2" t="s">
        <v>1142</v>
      </c>
      <c r="C210" s="5">
        <v>0.56000000000000005</v>
      </c>
      <c r="D210" s="4">
        <v>0.2</v>
      </c>
      <c r="E210" s="4">
        <v>1.8</v>
      </c>
      <c r="F210" s="4">
        <v>0.4</v>
      </c>
      <c r="G210" s="4">
        <v>0.4</v>
      </c>
      <c r="H210" s="4" t="s">
        <v>883</v>
      </c>
      <c r="I210" s="2" t="s">
        <v>71</v>
      </c>
      <c r="J210" s="2" t="s">
        <v>61</v>
      </c>
      <c r="K210" s="2" t="s">
        <v>1143</v>
      </c>
      <c r="L210" s="2" t="s">
        <v>32</v>
      </c>
      <c r="M210" s="19">
        <f t="shared" si="3"/>
        <v>6</v>
      </c>
      <c r="N210" s="2" t="s">
        <v>1144</v>
      </c>
      <c r="O210" s="2" t="s">
        <v>1145</v>
      </c>
      <c r="P210" s="2" t="s">
        <v>130</v>
      </c>
      <c r="Q210" s="2"/>
      <c r="R210" s="2" t="s">
        <v>1139</v>
      </c>
      <c r="S210" s="2" t="s">
        <v>1146</v>
      </c>
      <c r="T210" s="2" t="s">
        <v>37</v>
      </c>
      <c r="U210" s="2"/>
      <c r="V210" s="2">
        <v>5</v>
      </c>
      <c r="W210" s="2"/>
    </row>
    <row r="211" spans="1:23" ht="34" customHeight="1">
      <c r="A211" s="2" t="s">
        <v>1134</v>
      </c>
      <c r="B211" s="2" t="s">
        <v>1147</v>
      </c>
      <c r="C211" s="4">
        <v>0.9</v>
      </c>
      <c r="D211" s="5">
        <v>0.27</v>
      </c>
      <c r="E211" s="4">
        <v>1.8</v>
      </c>
      <c r="F211" s="7" t="s">
        <v>69</v>
      </c>
      <c r="G211" s="6">
        <v>2</v>
      </c>
      <c r="H211" s="6" t="s">
        <v>39</v>
      </c>
      <c r="I211" s="2" t="s">
        <v>29</v>
      </c>
      <c r="J211" s="2" t="s">
        <v>30</v>
      </c>
      <c r="K211" s="2" t="s">
        <v>921</v>
      </c>
      <c r="L211" s="2" t="s">
        <v>32</v>
      </c>
      <c r="M211" s="19">
        <f t="shared" si="3"/>
        <v>6</v>
      </c>
      <c r="N211" s="2" t="s">
        <v>1148</v>
      </c>
      <c r="O211" s="2" t="s">
        <v>1149</v>
      </c>
      <c r="P211" s="2" t="s">
        <v>45</v>
      </c>
      <c r="Q211" s="2"/>
      <c r="R211" s="2" t="s">
        <v>1150</v>
      </c>
      <c r="S211" s="2" t="s">
        <v>1151</v>
      </c>
      <c r="T211" s="2" t="s">
        <v>37</v>
      </c>
      <c r="U211" s="2"/>
      <c r="V211" s="2">
        <v>5</v>
      </c>
      <c r="W211" s="2"/>
    </row>
    <row r="212" spans="1:23" ht="37" customHeight="1">
      <c r="A212" s="2" t="s">
        <v>1134</v>
      </c>
      <c r="B212" s="2" t="s">
        <v>1152</v>
      </c>
      <c r="C212" s="4">
        <v>0.4</v>
      </c>
      <c r="D212" s="8">
        <v>8.5000000000000006E-2</v>
      </c>
      <c r="E212" s="12">
        <v>1</v>
      </c>
      <c r="F212" s="12">
        <v>0</v>
      </c>
      <c r="G212" s="7" t="s">
        <v>1153</v>
      </c>
      <c r="H212" s="7" t="s">
        <v>219</v>
      </c>
      <c r="I212" s="2" t="s">
        <v>1154</v>
      </c>
      <c r="J212" s="2" t="s">
        <v>94</v>
      </c>
      <c r="K212" s="2" t="s">
        <v>1155</v>
      </c>
      <c r="L212" s="2" t="s">
        <v>32</v>
      </c>
      <c r="M212" s="19">
        <f t="shared" si="3"/>
        <v>6</v>
      </c>
      <c r="N212" s="2" t="s">
        <v>1156</v>
      </c>
      <c r="O212" s="2" t="s">
        <v>1157</v>
      </c>
      <c r="P212" s="2" t="s">
        <v>130</v>
      </c>
      <c r="Q212" s="2"/>
      <c r="R212" s="2" t="s">
        <v>1158</v>
      </c>
      <c r="S212" s="2" t="s">
        <v>1159</v>
      </c>
      <c r="T212" s="2" t="s">
        <v>37</v>
      </c>
      <c r="U212" s="2" t="s">
        <v>147</v>
      </c>
      <c r="V212" s="2">
        <v>3</v>
      </c>
      <c r="W212" s="2" t="s">
        <v>1160</v>
      </c>
    </row>
    <row r="213" spans="1:23" ht="34" customHeight="1">
      <c r="A213" s="2" t="s">
        <v>1161</v>
      </c>
      <c r="B213" s="2" t="s">
        <v>1162</v>
      </c>
      <c r="C213" s="4">
        <v>0.4</v>
      </c>
      <c r="D213" s="5">
        <v>0.25</v>
      </c>
      <c r="E213" s="7" t="s">
        <v>1163</v>
      </c>
      <c r="F213" s="7" t="s">
        <v>1164</v>
      </c>
      <c r="G213" s="4">
        <v>0.5</v>
      </c>
      <c r="H213" s="4" t="s">
        <v>1165</v>
      </c>
      <c r="I213" s="2" t="s">
        <v>29</v>
      </c>
      <c r="J213" s="2" t="s">
        <v>94</v>
      </c>
      <c r="K213" s="2" t="s">
        <v>1166</v>
      </c>
      <c r="L213" s="2" t="s">
        <v>79</v>
      </c>
      <c r="M213" s="19">
        <f t="shared" si="3"/>
        <v>6</v>
      </c>
      <c r="N213" s="2" t="s">
        <v>1167</v>
      </c>
      <c r="O213" s="2" t="s">
        <v>1168</v>
      </c>
      <c r="P213" s="2" t="s">
        <v>190</v>
      </c>
      <c r="Q213" s="2"/>
      <c r="R213" s="2" t="s">
        <v>1169</v>
      </c>
      <c r="S213" s="2"/>
      <c r="T213" s="2" t="s">
        <v>37</v>
      </c>
      <c r="U213" s="2"/>
      <c r="V213" s="2">
        <v>5</v>
      </c>
      <c r="W213" s="2"/>
    </row>
    <row r="214" spans="1:23" ht="50.5" customHeight="1">
      <c r="A214" s="2" t="s">
        <v>1161</v>
      </c>
      <c r="B214" s="2" t="s">
        <v>1170</v>
      </c>
      <c r="C214" s="4">
        <v>0.3</v>
      </c>
      <c r="D214" s="4">
        <v>0.1</v>
      </c>
      <c r="E214" s="12">
        <v>1</v>
      </c>
      <c r="F214" s="12">
        <v>0</v>
      </c>
      <c r="G214" s="5">
        <v>7.0000000000000007E-2</v>
      </c>
      <c r="H214" s="5" t="s">
        <v>1171</v>
      </c>
      <c r="I214" s="2" t="s">
        <v>876</v>
      </c>
      <c r="J214" s="2" t="s">
        <v>61</v>
      </c>
      <c r="K214" s="2" t="s">
        <v>281</v>
      </c>
      <c r="L214" s="2" t="s">
        <v>32</v>
      </c>
      <c r="M214" s="19">
        <f t="shared" si="3"/>
        <v>6</v>
      </c>
      <c r="N214" s="2" t="s">
        <v>1172</v>
      </c>
      <c r="O214" s="2" t="s">
        <v>1173</v>
      </c>
      <c r="P214" s="2" t="s">
        <v>122</v>
      </c>
      <c r="Q214" s="2"/>
      <c r="R214" s="2" t="s">
        <v>1174</v>
      </c>
      <c r="S214" s="2" t="s">
        <v>1175</v>
      </c>
      <c r="T214" s="2" t="s">
        <v>37</v>
      </c>
      <c r="U214" s="2" t="s">
        <v>147</v>
      </c>
      <c r="V214" s="2">
        <v>3</v>
      </c>
      <c r="W214" s="2" t="s">
        <v>892</v>
      </c>
    </row>
    <row r="215" spans="1:23" ht="37" customHeight="1">
      <c r="A215" s="2" t="s">
        <v>1176</v>
      </c>
      <c r="B215" s="2" t="s">
        <v>1177</v>
      </c>
      <c r="C215" s="5">
        <v>0.46</v>
      </c>
      <c r="D215" s="8">
        <v>8.5000000000000006E-2</v>
      </c>
      <c r="E215" s="12">
        <v>1</v>
      </c>
      <c r="F215" s="12">
        <v>0</v>
      </c>
      <c r="G215" s="8">
        <v>4.0000000000000001E-3</v>
      </c>
      <c r="H215" s="8" t="s">
        <v>219</v>
      </c>
      <c r="I215" s="2" t="s">
        <v>1178</v>
      </c>
      <c r="J215" s="2" t="s">
        <v>94</v>
      </c>
      <c r="K215" s="2" t="s">
        <v>199</v>
      </c>
      <c r="L215" s="2" t="s">
        <v>32</v>
      </c>
      <c r="M215" s="19">
        <f t="shared" si="3"/>
        <v>6</v>
      </c>
      <c r="N215" s="2" t="s">
        <v>1179</v>
      </c>
      <c r="O215" s="2" t="s">
        <v>1180</v>
      </c>
      <c r="P215" s="2" t="s">
        <v>45</v>
      </c>
      <c r="Q215" s="2"/>
      <c r="R215" s="2" t="s">
        <v>1181</v>
      </c>
      <c r="S215" s="2" t="s">
        <v>1182</v>
      </c>
      <c r="T215" s="2" t="s">
        <v>37</v>
      </c>
      <c r="U215" s="2" t="s">
        <v>147</v>
      </c>
      <c r="V215" s="2">
        <v>3</v>
      </c>
      <c r="W215" s="2" t="s">
        <v>1160</v>
      </c>
    </row>
    <row r="216" spans="1:23" ht="37" customHeight="1">
      <c r="A216" s="2" t="s">
        <v>1183</v>
      </c>
      <c r="B216" s="2" t="s">
        <v>1184</v>
      </c>
      <c r="C216" s="9">
        <v>0.72089999999999999</v>
      </c>
      <c r="D216" s="8">
        <v>0.16400000000000001</v>
      </c>
      <c r="E216" s="12">
        <v>1</v>
      </c>
      <c r="F216" s="12">
        <v>0</v>
      </c>
      <c r="G216" s="10">
        <v>7.7539999999999998E-2</v>
      </c>
      <c r="H216" s="10" t="s">
        <v>114</v>
      </c>
      <c r="I216" s="2" t="s">
        <v>1185</v>
      </c>
      <c r="J216" s="2" t="s">
        <v>61</v>
      </c>
      <c r="K216" s="2" t="s">
        <v>281</v>
      </c>
      <c r="L216" s="2" t="s">
        <v>32</v>
      </c>
      <c r="M216" s="19">
        <f t="shared" si="3"/>
        <v>6</v>
      </c>
      <c r="N216" s="2" t="s">
        <v>1186</v>
      </c>
      <c r="O216" s="2" t="s">
        <v>1187</v>
      </c>
      <c r="P216" s="2" t="s">
        <v>45</v>
      </c>
      <c r="Q216" s="2"/>
      <c r="R216" s="2" t="s">
        <v>1188</v>
      </c>
      <c r="S216" s="2" t="s">
        <v>1189</v>
      </c>
      <c r="T216" s="2" t="s">
        <v>37</v>
      </c>
      <c r="U216" s="2" t="s">
        <v>147</v>
      </c>
      <c r="V216" s="2">
        <v>3</v>
      </c>
      <c r="W216" s="2" t="s">
        <v>1190</v>
      </c>
    </row>
    <row r="217" spans="1:23" ht="50.5" customHeight="1">
      <c r="A217" s="2" t="s">
        <v>1183</v>
      </c>
      <c r="B217" s="2" t="s">
        <v>1191</v>
      </c>
      <c r="C217" s="5">
        <v>0.46</v>
      </c>
      <c r="D217" s="8">
        <v>8.5000000000000006E-2</v>
      </c>
      <c r="E217" s="12">
        <v>1</v>
      </c>
      <c r="F217" s="12">
        <v>0</v>
      </c>
      <c r="G217" s="7" t="s">
        <v>1192</v>
      </c>
      <c r="H217" s="7" t="s">
        <v>1193</v>
      </c>
      <c r="I217" s="2" t="s">
        <v>1194</v>
      </c>
      <c r="J217" s="2" t="s">
        <v>61</v>
      </c>
      <c r="K217" s="2" t="s">
        <v>281</v>
      </c>
      <c r="L217" s="2" t="s">
        <v>32</v>
      </c>
      <c r="M217" s="19">
        <f t="shared" si="3"/>
        <v>6</v>
      </c>
      <c r="N217" s="2" t="s">
        <v>1195</v>
      </c>
      <c r="O217" s="2" t="s">
        <v>1196</v>
      </c>
      <c r="P217" s="2" t="s">
        <v>45</v>
      </c>
      <c r="Q217" s="2"/>
      <c r="R217" s="2" t="s">
        <v>1188</v>
      </c>
      <c r="S217" s="2" t="s">
        <v>1197</v>
      </c>
      <c r="T217" s="2" t="s">
        <v>37</v>
      </c>
      <c r="U217" s="2" t="s">
        <v>147</v>
      </c>
      <c r="V217" s="2">
        <v>3</v>
      </c>
      <c r="W217" s="2" t="s">
        <v>892</v>
      </c>
    </row>
    <row r="218" spans="1:23" ht="50.5" customHeight="1">
      <c r="A218" s="2" t="s">
        <v>1198</v>
      </c>
      <c r="B218" s="2" t="s">
        <v>1199</v>
      </c>
      <c r="C218" s="4">
        <v>0.5</v>
      </c>
      <c r="D218" s="5">
        <v>0.25</v>
      </c>
      <c r="E218" s="12">
        <v>1</v>
      </c>
      <c r="F218" s="12">
        <v>0</v>
      </c>
      <c r="G218" s="5">
        <v>0.05</v>
      </c>
      <c r="H218" s="5" t="s">
        <v>1200</v>
      </c>
      <c r="I218" s="2" t="s">
        <v>876</v>
      </c>
      <c r="J218" s="2" t="s">
        <v>61</v>
      </c>
      <c r="K218" s="2" t="s">
        <v>281</v>
      </c>
      <c r="L218" s="2" t="s">
        <v>32</v>
      </c>
      <c r="M218" s="19">
        <f t="shared" si="3"/>
        <v>6</v>
      </c>
      <c r="N218" s="2" t="s">
        <v>120</v>
      </c>
      <c r="O218" s="2" t="s">
        <v>1201</v>
      </c>
      <c r="P218" s="2" t="s">
        <v>122</v>
      </c>
      <c r="Q218" s="2"/>
      <c r="R218" s="2" t="s">
        <v>1202</v>
      </c>
      <c r="S218" s="2" t="s">
        <v>1203</v>
      </c>
      <c r="T218" s="2" t="s">
        <v>37</v>
      </c>
      <c r="U218" s="2" t="s">
        <v>147</v>
      </c>
      <c r="V218" s="2">
        <v>3</v>
      </c>
      <c r="W218" s="2" t="s">
        <v>892</v>
      </c>
    </row>
    <row r="219" spans="1:23" ht="50.5" customHeight="1">
      <c r="A219" s="2" t="s">
        <v>1204</v>
      </c>
      <c r="B219" s="2" t="s">
        <v>1205</v>
      </c>
      <c r="C219" s="4">
        <v>0.5</v>
      </c>
      <c r="D219" s="5">
        <v>0.11</v>
      </c>
      <c r="E219" s="12">
        <v>1</v>
      </c>
      <c r="F219" s="12">
        <v>0</v>
      </c>
      <c r="G219" s="8">
        <v>1.4999999999999999E-2</v>
      </c>
      <c r="H219" s="8" t="s">
        <v>1206</v>
      </c>
      <c r="I219" s="2" t="s">
        <v>876</v>
      </c>
      <c r="J219" s="2" t="s">
        <v>61</v>
      </c>
      <c r="K219" s="2" t="s">
        <v>1207</v>
      </c>
      <c r="L219" s="2" t="s">
        <v>32</v>
      </c>
      <c r="M219" s="19">
        <f t="shared" si="3"/>
        <v>6</v>
      </c>
      <c r="N219" s="2" t="s">
        <v>1208</v>
      </c>
      <c r="O219" s="2" t="s">
        <v>1209</v>
      </c>
      <c r="P219" s="2" t="s">
        <v>122</v>
      </c>
      <c r="Q219" s="2"/>
      <c r="R219" s="2" t="s">
        <v>1210</v>
      </c>
      <c r="S219" s="2" t="s">
        <v>1211</v>
      </c>
      <c r="T219" s="2" t="s">
        <v>37</v>
      </c>
      <c r="U219" s="2" t="s">
        <v>147</v>
      </c>
      <c r="V219" s="2">
        <v>3</v>
      </c>
      <c r="W219" s="2" t="s">
        <v>892</v>
      </c>
    </row>
    <row r="220" spans="1:23" ht="37" customHeight="1">
      <c r="A220" s="2" t="s">
        <v>1204</v>
      </c>
      <c r="B220" s="2" t="s">
        <v>1212</v>
      </c>
      <c r="C220" s="5">
        <v>0.25</v>
      </c>
      <c r="D220" s="8">
        <v>0.125</v>
      </c>
      <c r="E220" s="7"/>
      <c r="F220" s="7"/>
      <c r="G220" s="7"/>
      <c r="H220" s="7" t="s">
        <v>243</v>
      </c>
      <c r="I220" s="2" t="s">
        <v>180</v>
      </c>
      <c r="J220" s="2" t="s">
        <v>94</v>
      </c>
      <c r="K220" s="2" t="s">
        <v>1155</v>
      </c>
      <c r="L220" s="2" t="s">
        <v>79</v>
      </c>
      <c r="M220" s="19">
        <f t="shared" si="3"/>
        <v>3</v>
      </c>
      <c r="N220" s="2" t="s">
        <v>1213</v>
      </c>
      <c r="O220" s="2" t="s">
        <v>1214</v>
      </c>
      <c r="P220" s="2" t="s">
        <v>45</v>
      </c>
      <c r="Q220" s="2" t="s">
        <v>141</v>
      </c>
      <c r="R220" s="2" t="s">
        <v>1215</v>
      </c>
      <c r="S220" s="2" t="s">
        <v>1216</v>
      </c>
      <c r="T220" s="2" t="s">
        <v>37</v>
      </c>
      <c r="U220" s="2"/>
      <c r="V220" s="2">
        <v>2</v>
      </c>
      <c r="W220" s="2"/>
    </row>
    <row r="221" spans="1:23" ht="50.5" customHeight="1">
      <c r="A221" s="2" t="s">
        <v>1217</v>
      </c>
      <c r="B221" s="2" t="s">
        <v>1218</v>
      </c>
      <c r="C221" s="4">
        <v>0.4</v>
      </c>
      <c r="D221" s="5">
        <v>0.09</v>
      </c>
      <c r="E221" s="12">
        <v>1</v>
      </c>
      <c r="F221" s="12">
        <v>0</v>
      </c>
      <c r="G221" s="5">
        <v>0.03</v>
      </c>
      <c r="H221" s="5" t="s">
        <v>662</v>
      </c>
      <c r="I221" s="2" t="s">
        <v>876</v>
      </c>
      <c r="J221" s="2" t="s">
        <v>61</v>
      </c>
      <c r="K221" s="2" t="s">
        <v>281</v>
      </c>
      <c r="L221" s="2" t="s">
        <v>32</v>
      </c>
      <c r="M221" s="19">
        <f t="shared" si="3"/>
        <v>6</v>
      </c>
      <c r="N221" s="2" t="s">
        <v>120</v>
      </c>
      <c r="O221" s="2" t="s">
        <v>1219</v>
      </c>
      <c r="P221" s="2" t="s">
        <v>122</v>
      </c>
      <c r="Q221" s="2"/>
      <c r="R221" s="2" t="s">
        <v>1220</v>
      </c>
      <c r="S221" s="2" t="s">
        <v>1221</v>
      </c>
      <c r="T221" s="2" t="s">
        <v>37</v>
      </c>
      <c r="U221" s="2" t="s">
        <v>147</v>
      </c>
      <c r="V221" s="2">
        <v>3</v>
      </c>
      <c r="W221" s="2" t="s">
        <v>892</v>
      </c>
    </row>
    <row r="222" spans="1:23" ht="50.5" customHeight="1">
      <c r="A222" s="2" t="s">
        <v>1217</v>
      </c>
      <c r="B222" s="2" t="s">
        <v>1222</v>
      </c>
      <c r="C222" s="4">
        <v>0.4</v>
      </c>
      <c r="D222" s="5">
        <v>0.13</v>
      </c>
      <c r="E222" s="12">
        <v>1</v>
      </c>
      <c r="F222" s="12">
        <v>0</v>
      </c>
      <c r="G222" s="5">
        <v>0.04</v>
      </c>
      <c r="H222" s="5" t="s">
        <v>662</v>
      </c>
      <c r="I222" s="2" t="s">
        <v>876</v>
      </c>
      <c r="J222" s="2" t="s">
        <v>61</v>
      </c>
      <c r="K222" s="2" t="s">
        <v>281</v>
      </c>
      <c r="L222" s="2" t="s">
        <v>32</v>
      </c>
      <c r="M222" s="19">
        <f t="shared" si="3"/>
        <v>6</v>
      </c>
      <c r="N222" s="2" t="s">
        <v>120</v>
      </c>
      <c r="O222" s="2" t="s">
        <v>1223</v>
      </c>
      <c r="P222" s="2" t="s">
        <v>122</v>
      </c>
      <c r="Q222" s="2"/>
      <c r="R222" s="2" t="s">
        <v>1220</v>
      </c>
      <c r="S222" s="2" t="s">
        <v>1224</v>
      </c>
      <c r="T222" s="2" t="s">
        <v>37</v>
      </c>
      <c r="U222" s="2" t="s">
        <v>147</v>
      </c>
      <c r="V222" s="2">
        <v>3</v>
      </c>
      <c r="W222" s="2" t="s">
        <v>892</v>
      </c>
    </row>
    <row r="223" spans="1:23" ht="34" customHeight="1">
      <c r="A223" s="2" t="s">
        <v>1225</v>
      </c>
      <c r="B223" s="2" t="s">
        <v>1226</v>
      </c>
      <c r="C223" s="6">
        <v>1</v>
      </c>
      <c r="D223" s="5">
        <v>0.27</v>
      </c>
      <c r="E223" s="4">
        <v>1.7</v>
      </c>
      <c r="F223" s="4">
        <v>-0.5</v>
      </c>
      <c r="G223" s="5">
        <v>0.75</v>
      </c>
      <c r="H223" s="5" t="s">
        <v>76</v>
      </c>
      <c r="I223" s="2" t="s">
        <v>29</v>
      </c>
      <c r="J223" s="2" t="s">
        <v>41</v>
      </c>
      <c r="K223" s="2" t="s">
        <v>1227</v>
      </c>
      <c r="L223" s="2" t="s">
        <v>32</v>
      </c>
      <c r="M223" s="19">
        <f t="shared" si="3"/>
        <v>6</v>
      </c>
      <c r="N223" s="2" t="s">
        <v>1228</v>
      </c>
      <c r="O223" s="2" t="s">
        <v>1229</v>
      </c>
      <c r="P223" s="2" t="s">
        <v>45</v>
      </c>
      <c r="Q223" s="2"/>
      <c r="R223" s="2" t="s">
        <v>1230</v>
      </c>
      <c r="S223" s="2" t="s">
        <v>1231</v>
      </c>
      <c r="T223" s="2" t="s">
        <v>37</v>
      </c>
      <c r="U223" s="2"/>
      <c r="V223" s="2">
        <v>5</v>
      </c>
      <c r="W223" s="2"/>
    </row>
    <row r="224" spans="1:23" ht="34" customHeight="1">
      <c r="A224" s="2" t="s">
        <v>1232</v>
      </c>
      <c r="B224" s="2" t="s">
        <v>1233</v>
      </c>
      <c r="C224" s="6">
        <v>9</v>
      </c>
      <c r="D224" s="4">
        <v>2.9</v>
      </c>
      <c r="E224" s="5">
        <v>1.65</v>
      </c>
      <c r="F224" s="5">
        <v>0.33</v>
      </c>
      <c r="G224" s="5">
        <v>17.75</v>
      </c>
      <c r="H224" s="5" t="s">
        <v>979</v>
      </c>
      <c r="I224" s="2" t="s">
        <v>29</v>
      </c>
      <c r="J224" s="2" t="s">
        <v>41</v>
      </c>
      <c r="K224" s="2" t="s">
        <v>1234</v>
      </c>
      <c r="L224" s="2" t="s">
        <v>32</v>
      </c>
      <c r="M224" s="19">
        <f t="shared" si="3"/>
        <v>6</v>
      </c>
      <c r="N224" s="2" t="s">
        <v>1235</v>
      </c>
      <c r="O224" s="2" t="s">
        <v>1236</v>
      </c>
      <c r="P224" s="2" t="s">
        <v>35</v>
      </c>
      <c r="Q224" s="2"/>
      <c r="R224" s="2" t="s">
        <v>1237</v>
      </c>
      <c r="S224" s="2"/>
      <c r="T224" s="2" t="s">
        <v>37</v>
      </c>
      <c r="U224" s="2"/>
      <c r="V224" s="2">
        <v>5</v>
      </c>
      <c r="W224" s="2"/>
    </row>
    <row r="225" spans="1:23" ht="37" customHeight="1">
      <c r="A225" s="2" t="s">
        <v>1232</v>
      </c>
      <c r="B225" s="2" t="s">
        <v>1238</v>
      </c>
      <c r="C225" s="5">
        <v>5.18</v>
      </c>
      <c r="D225" s="5">
        <v>1.35</v>
      </c>
      <c r="E225" s="5">
        <v>2.1800000000000002</v>
      </c>
      <c r="F225" s="5">
        <v>0.65</v>
      </c>
      <c r="G225" s="4">
        <v>10.8</v>
      </c>
      <c r="H225" s="4" t="s">
        <v>1239</v>
      </c>
      <c r="I225" s="2" t="s">
        <v>1240</v>
      </c>
      <c r="J225" s="2" t="s">
        <v>41</v>
      </c>
      <c r="K225" s="2" t="s">
        <v>1241</v>
      </c>
      <c r="L225" s="2" t="s">
        <v>32</v>
      </c>
      <c r="M225" s="19">
        <f t="shared" si="3"/>
        <v>6</v>
      </c>
      <c r="N225" s="2" t="s">
        <v>1242</v>
      </c>
      <c r="O225" s="2" t="s">
        <v>1243</v>
      </c>
      <c r="P225" s="2" t="s">
        <v>45</v>
      </c>
      <c r="Q225" s="2"/>
      <c r="R225" s="2" t="s">
        <v>1244</v>
      </c>
      <c r="S225" s="2" t="s">
        <v>1245</v>
      </c>
      <c r="T225" s="2" t="s">
        <v>37</v>
      </c>
      <c r="U225" s="2"/>
      <c r="V225" s="2">
        <v>5</v>
      </c>
      <c r="W225" s="2"/>
    </row>
    <row r="226" spans="1:23" ht="34" customHeight="1">
      <c r="A226" s="2" t="s">
        <v>1232</v>
      </c>
      <c r="B226" s="2" t="s">
        <v>1246</v>
      </c>
      <c r="C226" s="5">
        <v>9.5500000000000007</v>
      </c>
      <c r="D226" s="18">
        <v>3.18</v>
      </c>
      <c r="E226" s="4">
        <v>1.7</v>
      </c>
      <c r="F226" s="5">
        <v>0.25</v>
      </c>
      <c r="G226" s="4">
        <v>30.5</v>
      </c>
      <c r="H226" s="4" t="s">
        <v>1247</v>
      </c>
      <c r="I226" s="2" t="s">
        <v>920</v>
      </c>
      <c r="J226" s="2" t="s">
        <v>41</v>
      </c>
      <c r="K226" s="2" t="s">
        <v>1248</v>
      </c>
      <c r="L226" s="2" t="s">
        <v>32</v>
      </c>
      <c r="M226" s="19">
        <f t="shared" si="3"/>
        <v>6</v>
      </c>
      <c r="N226" s="2" t="s">
        <v>1249</v>
      </c>
      <c r="O226" s="2" t="s">
        <v>1250</v>
      </c>
      <c r="P226" s="2" t="s">
        <v>45</v>
      </c>
      <c r="Q226" s="2"/>
      <c r="R226" s="2" t="s">
        <v>1251</v>
      </c>
      <c r="S226" s="2" t="s">
        <v>1252</v>
      </c>
      <c r="T226" s="2" t="s">
        <v>37</v>
      </c>
      <c r="U226" s="2" t="s">
        <v>254</v>
      </c>
      <c r="V226" s="2">
        <v>4</v>
      </c>
      <c r="W226" s="2" t="s">
        <v>1253</v>
      </c>
    </row>
    <row r="227" spans="1:23" ht="34" customHeight="1">
      <c r="A227" s="2" t="s">
        <v>1232</v>
      </c>
      <c r="B227" s="2" t="s">
        <v>1254</v>
      </c>
      <c r="C227" s="4">
        <v>8.6</v>
      </c>
      <c r="D227" s="18">
        <v>2.87</v>
      </c>
      <c r="E227" s="4">
        <v>1.7</v>
      </c>
      <c r="F227" s="5">
        <v>0.25</v>
      </c>
      <c r="G227" s="6">
        <v>28</v>
      </c>
      <c r="H227" s="6" t="s">
        <v>1255</v>
      </c>
      <c r="I227" s="2" t="s">
        <v>920</v>
      </c>
      <c r="J227" s="2" t="s">
        <v>41</v>
      </c>
      <c r="K227" s="2" t="s">
        <v>1248</v>
      </c>
      <c r="L227" s="2" t="s">
        <v>32</v>
      </c>
      <c r="M227" s="19">
        <f t="shared" si="3"/>
        <v>6</v>
      </c>
      <c r="N227" s="2" t="s">
        <v>1249</v>
      </c>
      <c r="O227" s="2" t="s">
        <v>1256</v>
      </c>
      <c r="P227" s="2" t="s">
        <v>45</v>
      </c>
      <c r="Q227" s="2"/>
      <c r="R227" s="2" t="s">
        <v>1251</v>
      </c>
      <c r="S227" s="2" t="s">
        <v>1252</v>
      </c>
      <c r="T227" s="2" t="s">
        <v>37</v>
      </c>
      <c r="U227" s="2" t="s">
        <v>254</v>
      </c>
      <c r="V227" s="2">
        <v>4</v>
      </c>
      <c r="W227" s="2" t="s">
        <v>1257</v>
      </c>
    </row>
    <row r="228" spans="1:23" ht="34" customHeight="1">
      <c r="A228" s="2" t="s">
        <v>1232</v>
      </c>
      <c r="B228" s="2" t="s">
        <v>1258</v>
      </c>
      <c r="C228" s="4">
        <v>7.5</v>
      </c>
      <c r="D228" s="14">
        <v>2.5</v>
      </c>
      <c r="E228" s="4">
        <v>1.9</v>
      </c>
      <c r="F228" s="5">
        <v>0.47</v>
      </c>
      <c r="G228" s="4">
        <v>20.100000000000001</v>
      </c>
      <c r="H228" s="4" t="s">
        <v>1259</v>
      </c>
      <c r="I228" s="2" t="s">
        <v>920</v>
      </c>
      <c r="J228" s="2" t="s">
        <v>41</v>
      </c>
      <c r="K228" s="2" t="s">
        <v>1248</v>
      </c>
      <c r="L228" s="2" t="s">
        <v>32</v>
      </c>
      <c r="M228" s="19">
        <f t="shared" si="3"/>
        <v>6</v>
      </c>
      <c r="N228" s="2" t="s">
        <v>1249</v>
      </c>
      <c r="O228" s="2" t="s">
        <v>1260</v>
      </c>
      <c r="P228" s="2" t="s">
        <v>45</v>
      </c>
      <c r="Q228" s="2"/>
      <c r="R228" s="2" t="s">
        <v>1251</v>
      </c>
      <c r="S228" s="2" t="s">
        <v>1252</v>
      </c>
      <c r="T228" s="2" t="s">
        <v>37</v>
      </c>
      <c r="U228" s="2" t="s">
        <v>254</v>
      </c>
      <c r="V228" s="2">
        <v>4</v>
      </c>
      <c r="W228" s="2" t="s">
        <v>1261</v>
      </c>
    </row>
    <row r="229" spans="1:23" ht="34" customHeight="1">
      <c r="A229" s="2" t="s">
        <v>1232</v>
      </c>
      <c r="B229" s="2" t="s">
        <v>1262</v>
      </c>
      <c r="C229" s="4">
        <v>6.1</v>
      </c>
      <c r="D229" s="18">
        <v>2.0299999999999998</v>
      </c>
      <c r="E229" s="4">
        <v>1.9</v>
      </c>
      <c r="F229" s="5">
        <v>0.47</v>
      </c>
      <c r="G229" s="4">
        <v>14.1</v>
      </c>
      <c r="H229" s="4" t="s">
        <v>1263</v>
      </c>
      <c r="I229" s="2" t="s">
        <v>920</v>
      </c>
      <c r="J229" s="2" t="s">
        <v>41</v>
      </c>
      <c r="K229" s="2" t="s">
        <v>1248</v>
      </c>
      <c r="L229" s="2" t="s">
        <v>32</v>
      </c>
      <c r="M229" s="19">
        <f t="shared" si="3"/>
        <v>6</v>
      </c>
      <c r="N229" s="2" t="s">
        <v>1249</v>
      </c>
      <c r="O229" s="2" t="s">
        <v>1264</v>
      </c>
      <c r="P229" s="2" t="s">
        <v>45</v>
      </c>
      <c r="Q229" s="2"/>
      <c r="R229" s="2" t="s">
        <v>1251</v>
      </c>
      <c r="S229" s="2" t="s">
        <v>1252</v>
      </c>
      <c r="T229" s="2" t="s">
        <v>37</v>
      </c>
      <c r="U229" s="2" t="s">
        <v>254</v>
      </c>
      <c r="V229" s="2">
        <v>4</v>
      </c>
      <c r="W229" s="2" t="s">
        <v>1265</v>
      </c>
    </row>
    <row r="230" spans="1:23" ht="34" customHeight="1">
      <c r="A230" s="2" t="s">
        <v>1266</v>
      </c>
      <c r="B230" s="2" t="s">
        <v>1267</v>
      </c>
      <c r="C230" s="8">
        <v>8.4000000000000005E-2</v>
      </c>
      <c r="D230" s="8">
        <v>5.6000000000000001E-2</v>
      </c>
      <c r="E230" s="6">
        <v>4</v>
      </c>
      <c r="F230" s="7"/>
      <c r="G230" s="9">
        <v>6.4999999999999997E-3</v>
      </c>
      <c r="H230" s="9" t="s">
        <v>257</v>
      </c>
      <c r="I230" s="2" t="s">
        <v>1268</v>
      </c>
      <c r="J230" s="2" t="s">
        <v>50</v>
      </c>
      <c r="K230" s="2" t="s">
        <v>101</v>
      </c>
      <c r="L230" s="2" t="s">
        <v>1269</v>
      </c>
      <c r="M230" s="19">
        <f t="shared" si="3"/>
        <v>5</v>
      </c>
      <c r="N230" s="2" t="s">
        <v>206</v>
      </c>
      <c r="O230" s="2" t="s">
        <v>1270</v>
      </c>
      <c r="P230" s="2" t="s">
        <v>45</v>
      </c>
      <c r="Q230" s="2" t="s">
        <v>65</v>
      </c>
      <c r="R230" s="2" t="s">
        <v>1271</v>
      </c>
      <c r="S230" s="2"/>
      <c r="T230" s="2" t="s">
        <v>1096</v>
      </c>
      <c r="U230" s="2"/>
      <c r="V230" s="2">
        <v>4</v>
      </c>
      <c r="W230" s="2"/>
    </row>
    <row r="231" spans="1:23" ht="37" customHeight="1">
      <c r="A231" s="2" t="s">
        <v>1272</v>
      </c>
      <c r="B231" s="2" t="s">
        <v>1273</v>
      </c>
      <c r="C231" s="5">
        <v>0.54</v>
      </c>
      <c r="D231" s="4">
        <v>0.1</v>
      </c>
      <c r="E231" s="12">
        <v>1</v>
      </c>
      <c r="F231" s="12">
        <v>0</v>
      </c>
      <c r="G231" s="4">
        <v>0.3</v>
      </c>
      <c r="H231" s="4" t="s">
        <v>1274</v>
      </c>
      <c r="I231" s="2" t="s">
        <v>1275</v>
      </c>
      <c r="J231" s="2" t="s">
        <v>61</v>
      </c>
      <c r="K231" s="2" t="s">
        <v>1276</v>
      </c>
      <c r="L231" s="2" t="s">
        <v>32</v>
      </c>
      <c r="M231" s="19">
        <f t="shared" si="3"/>
        <v>6</v>
      </c>
      <c r="N231" s="2" t="s">
        <v>1277</v>
      </c>
      <c r="O231" s="2" t="s">
        <v>1278</v>
      </c>
      <c r="P231" s="2" t="s">
        <v>35</v>
      </c>
      <c r="Q231" s="2"/>
      <c r="R231" s="2" t="s">
        <v>1279</v>
      </c>
      <c r="S231" s="2" t="s">
        <v>1280</v>
      </c>
      <c r="T231" s="2" t="s">
        <v>37</v>
      </c>
      <c r="U231" s="2" t="s">
        <v>147</v>
      </c>
      <c r="V231" s="2">
        <v>3</v>
      </c>
      <c r="W231" s="2" t="s">
        <v>1281</v>
      </c>
    </row>
    <row r="232" spans="1:23" ht="37" customHeight="1">
      <c r="A232" s="2" t="s">
        <v>1272</v>
      </c>
      <c r="B232" s="2" t="s">
        <v>1282</v>
      </c>
      <c r="C232" s="5">
        <v>0.64</v>
      </c>
      <c r="D232" s="5">
        <v>0.17</v>
      </c>
      <c r="E232" s="12">
        <v>1</v>
      </c>
      <c r="F232" s="12">
        <v>0</v>
      </c>
      <c r="G232" s="4">
        <v>0.8</v>
      </c>
      <c r="H232" s="4" t="s">
        <v>745</v>
      </c>
      <c r="I232" s="2" t="s">
        <v>1275</v>
      </c>
      <c r="J232" s="2" t="s">
        <v>61</v>
      </c>
      <c r="K232" s="2" t="s">
        <v>1276</v>
      </c>
      <c r="L232" s="2" t="s">
        <v>32</v>
      </c>
      <c r="M232" s="19">
        <f t="shared" si="3"/>
        <v>6</v>
      </c>
      <c r="N232" s="2" t="s">
        <v>1277</v>
      </c>
      <c r="O232" s="2" t="s">
        <v>1283</v>
      </c>
      <c r="P232" s="2" t="s">
        <v>35</v>
      </c>
      <c r="Q232" s="2"/>
      <c r="R232" s="2" t="s">
        <v>1279</v>
      </c>
      <c r="S232" s="2" t="s">
        <v>1284</v>
      </c>
      <c r="T232" s="2" t="s">
        <v>37</v>
      </c>
      <c r="U232" s="2" t="s">
        <v>147</v>
      </c>
      <c r="V232" s="2">
        <v>3</v>
      </c>
      <c r="W232" s="2" t="s">
        <v>1281</v>
      </c>
    </row>
    <row r="233" spans="1:23" ht="34" customHeight="1">
      <c r="A233" s="2" t="s">
        <v>1272</v>
      </c>
      <c r="B233" s="2" t="s">
        <v>1285</v>
      </c>
      <c r="C233" s="5">
        <v>0.68</v>
      </c>
      <c r="D233" s="5">
        <v>0.22</v>
      </c>
      <c r="E233" s="7" t="s">
        <v>1286</v>
      </c>
      <c r="F233" s="7" t="s">
        <v>1287</v>
      </c>
      <c r="G233" s="7" t="s">
        <v>1288</v>
      </c>
      <c r="H233" s="7" t="s">
        <v>430</v>
      </c>
      <c r="I233" s="2" t="s">
        <v>71</v>
      </c>
      <c r="J233" s="2" t="s">
        <v>61</v>
      </c>
      <c r="K233" s="2" t="s">
        <v>1289</v>
      </c>
      <c r="L233" s="2" t="s">
        <v>32</v>
      </c>
      <c r="M233" s="19">
        <f t="shared" si="3"/>
        <v>6</v>
      </c>
      <c r="N233" s="2" t="s">
        <v>1290</v>
      </c>
      <c r="O233" s="2" t="s">
        <v>1291</v>
      </c>
      <c r="P233" s="2" t="s">
        <v>35</v>
      </c>
      <c r="Q233" s="2"/>
      <c r="R233" s="2" t="s">
        <v>1279</v>
      </c>
      <c r="S233" s="2" t="s">
        <v>1292</v>
      </c>
      <c r="T233" s="2" t="s">
        <v>37</v>
      </c>
      <c r="U233" s="2"/>
      <c r="V233" s="2">
        <v>5</v>
      </c>
      <c r="W233" s="2"/>
    </row>
    <row r="234" spans="1:23" ht="37" customHeight="1">
      <c r="A234" s="2" t="s">
        <v>1272</v>
      </c>
      <c r="B234" s="2" t="s">
        <v>1293</v>
      </c>
      <c r="C234" s="5">
        <v>4.62</v>
      </c>
      <c r="D234" s="5">
        <v>1.18</v>
      </c>
      <c r="E234" s="4">
        <v>1.8</v>
      </c>
      <c r="F234" s="5">
        <v>0.65</v>
      </c>
      <c r="G234" s="6">
        <v>12</v>
      </c>
      <c r="H234" s="6" t="s">
        <v>1294</v>
      </c>
      <c r="I234" s="2" t="s">
        <v>1295</v>
      </c>
      <c r="J234" s="2" t="s">
        <v>41</v>
      </c>
      <c r="K234" s="2" t="s">
        <v>1296</v>
      </c>
      <c r="L234" s="2" t="s">
        <v>32</v>
      </c>
      <c r="M234" s="19">
        <f t="shared" si="3"/>
        <v>6</v>
      </c>
      <c r="N234" s="2" t="s">
        <v>1297</v>
      </c>
      <c r="O234" s="2" t="s">
        <v>1298</v>
      </c>
      <c r="P234" s="2" t="s">
        <v>45</v>
      </c>
      <c r="Q234" s="2"/>
      <c r="R234" s="2" t="s">
        <v>1299</v>
      </c>
      <c r="S234" s="2" t="s">
        <v>1300</v>
      </c>
      <c r="T234" s="2" t="s">
        <v>37</v>
      </c>
      <c r="U234" s="2"/>
      <c r="V234" s="2">
        <v>5</v>
      </c>
      <c r="W234" s="2"/>
    </row>
    <row r="235" spans="1:23" ht="34" customHeight="1">
      <c r="A235" s="2" t="s">
        <v>1272</v>
      </c>
      <c r="B235" s="2" t="s">
        <v>1301</v>
      </c>
      <c r="C235" s="4">
        <v>3.3</v>
      </c>
      <c r="D235" s="5">
        <v>1.1299999999999999</v>
      </c>
      <c r="E235" s="5">
        <v>1.84</v>
      </c>
      <c r="F235" s="7"/>
      <c r="G235" s="4">
        <v>7.8</v>
      </c>
      <c r="H235" s="4" t="s">
        <v>1302</v>
      </c>
      <c r="I235" s="2" t="s">
        <v>29</v>
      </c>
      <c r="J235" s="2" t="s">
        <v>41</v>
      </c>
      <c r="K235" s="2" t="s">
        <v>1303</v>
      </c>
      <c r="L235" s="2" t="s">
        <v>32</v>
      </c>
      <c r="M235" s="19">
        <f t="shared" si="3"/>
        <v>5</v>
      </c>
      <c r="N235" s="2" t="s">
        <v>1304</v>
      </c>
      <c r="O235" s="2" t="s">
        <v>1305</v>
      </c>
      <c r="P235" s="2" t="s">
        <v>45</v>
      </c>
      <c r="Q235" s="2" t="s">
        <v>65</v>
      </c>
      <c r="R235" s="2" t="s">
        <v>1279</v>
      </c>
      <c r="S235" s="2" t="s">
        <v>1306</v>
      </c>
      <c r="T235" s="2" t="s">
        <v>37</v>
      </c>
      <c r="U235" s="2"/>
      <c r="V235" s="2">
        <v>4</v>
      </c>
      <c r="W235" s="2"/>
    </row>
    <row r="236" spans="1:23" ht="34" customHeight="1">
      <c r="A236" s="2" t="s">
        <v>1272</v>
      </c>
      <c r="B236" s="2" t="s">
        <v>1307</v>
      </c>
      <c r="C236" s="5">
        <v>6.25</v>
      </c>
      <c r="D236" s="5">
        <v>1.56</v>
      </c>
      <c r="E236" s="4">
        <v>2.2000000000000002</v>
      </c>
      <c r="F236" s="5">
        <v>0.63</v>
      </c>
      <c r="G236" s="6">
        <v>11</v>
      </c>
      <c r="H236" s="6" t="s">
        <v>1308</v>
      </c>
      <c r="I236" s="2" t="s">
        <v>29</v>
      </c>
      <c r="J236" s="2" t="s">
        <v>41</v>
      </c>
      <c r="K236" s="2" t="s">
        <v>1303</v>
      </c>
      <c r="L236" s="2" t="s">
        <v>32</v>
      </c>
      <c r="M236" s="19">
        <f t="shared" si="3"/>
        <v>6</v>
      </c>
      <c r="N236" s="2" t="s">
        <v>1309</v>
      </c>
      <c r="O236" s="2" t="s">
        <v>1310</v>
      </c>
      <c r="P236" s="2" t="s">
        <v>45</v>
      </c>
      <c r="Q236" s="2"/>
      <c r="R236" s="2" t="s">
        <v>1311</v>
      </c>
      <c r="S236" s="2"/>
      <c r="T236" s="2" t="s">
        <v>37</v>
      </c>
      <c r="U236" s="2"/>
      <c r="V236" s="2">
        <v>5</v>
      </c>
      <c r="W236" s="2"/>
    </row>
    <row r="237" spans="1:23" ht="34" customHeight="1">
      <c r="A237" s="2" t="s">
        <v>1272</v>
      </c>
      <c r="B237" s="2" t="s">
        <v>1312</v>
      </c>
      <c r="C237" s="5">
        <v>9.75</v>
      </c>
      <c r="D237" s="5">
        <v>2.44</v>
      </c>
      <c r="E237" s="4">
        <v>2.2000000000000002</v>
      </c>
      <c r="F237" s="8">
        <v>0.625</v>
      </c>
      <c r="G237" s="6">
        <v>14</v>
      </c>
      <c r="H237" s="6" t="s">
        <v>1313</v>
      </c>
      <c r="I237" s="2" t="s">
        <v>29</v>
      </c>
      <c r="J237" s="2" t="s">
        <v>41</v>
      </c>
      <c r="K237" s="2" t="s">
        <v>1314</v>
      </c>
      <c r="L237" s="2" t="s">
        <v>32</v>
      </c>
      <c r="M237" s="19">
        <f t="shared" si="3"/>
        <v>6</v>
      </c>
      <c r="N237" s="2" t="s">
        <v>1315</v>
      </c>
      <c r="O237" s="2" t="s">
        <v>1316</v>
      </c>
      <c r="P237" s="2" t="s">
        <v>45</v>
      </c>
      <c r="Q237" s="2"/>
      <c r="R237" s="2" t="s">
        <v>1317</v>
      </c>
      <c r="S237" s="2"/>
      <c r="T237" s="2" t="s">
        <v>37</v>
      </c>
      <c r="U237" s="2"/>
      <c r="V237" s="2">
        <v>5</v>
      </c>
      <c r="W237" s="2"/>
    </row>
    <row r="238" spans="1:23" ht="34" customHeight="1">
      <c r="A238" s="2" t="s">
        <v>1272</v>
      </c>
      <c r="B238" s="2" t="s">
        <v>1318</v>
      </c>
      <c r="C238" s="4">
        <v>5.2</v>
      </c>
      <c r="D238" s="4">
        <v>1.3</v>
      </c>
      <c r="E238" s="8">
        <v>2.1789999999999998</v>
      </c>
      <c r="F238" s="8">
        <v>0.84199999999999997</v>
      </c>
      <c r="G238" s="8">
        <v>12.824999999999999</v>
      </c>
      <c r="H238" s="8" t="s">
        <v>430</v>
      </c>
      <c r="I238" s="2" t="s">
        <v>29</v>
      </c>
      <c r="J238" s="2" t="s">
        <v>41</v>
      </c>
      <c r="K238" s="2" t="s">
        <v>1319</v>
      </c>
      <c r="L238" s="2" t="s">
        <v>32</v>
      </c>
      <c r="M238" s="19">
        <f t="shared" si="3"/>
        <v>6</v>
      </c>
      <c r="N238" s="2" t="s">
        <v>1320</v>
      </c>
      <c r="O238" s="2" t="s">
        <v>1321</v>
      </c>
      <c r="P238" s="2" t="s">
        <v>45</v>
      </c>
      <c r="Q238" s="2"/>
      <c r="R238" s="2" t="s">
        <v>1311</v>
      </c>
      <c r="S238" s="2"/>
      <c r="T238" s="2" t="s">
        <v>37</v>
      </c>
      <c r="U238" s="2"/>
      <c r="V238" s="2">
        <v>5</v>
      </c>
      <c r="W238" s="2"/>
    </row>
    <row r="239" spans="1:23" ht="34" customHeight="1">
      <c r="A239" s="2" t="s">
        <v>1272</v>
      </c>
      <c r="B239" s="2" t="s">
        <v>1322</v>
      </c>
      <c r="C239" s="4">
        <v>5.2</v>
      </c>
      <c r="D239" s="4">
        <v>1.3</v>
      </c>
      <c r="E239" s="4">
        <v>2.2000000000000002</v>
      </c>
      <c r="F239" s="4">
        <v>0.9</v>
      </c>
      <c r="G239" s="4">
        <v>12.8</v>
      </c>
      <c r="H239" s="4" t="s">
        <v>430</v>
      </c>
      <c r="I239" s="2" t="s">
        <v>29</v>
      </c>
      <c r="J239" s="2" t="s">
        <v>41</v>
      </c>
      <c r="K239" s="2" t="s">
        <v>1323</v>
      </c>
      <c r="L239" s="2" t="s">
        <v>32</v>
      </c>
      <c r="M239" s="19">
        <f t="shared" si="3"/>
        <v>6</v>
      </c>
      <c r="N239" s="2" t="s">
        <v>1324</v>
      </c>
      <c r="O239" s="2" t="s">
        <v>1325</v>
      </c>
      <c r="P239" s="2" t="s">
        <v>45</v>
      </c>
      <c r="Q239" s="2"/>
      <c r="R239" s="2" t="s">
        <v>1311</v>
      </c>
      <c r="S239" s="2" t="s">
        <v>1326</v>
      </c>
      <c r="T239" s="2" t="s">
        <v>37</v>
      </c>
      <c r="U239" s="2"/>
      <c r="V239" s="2">
        <v>5</v>
      </c>
      <c r="W239" s="2"/>
    </row>
    <row r="240" spans="1:23" ht="34" customHeight="1">
      <c r="A240" s="2" t="s">
        <v>1272</v>
      </c>
      <c r="B240" s="2" t="s">
        <v>1327</v>
      </c>
      <c r="C240" s="5">
        <v>6.75</v>
      </c>
      <c r="D240" s="4">
        <v>1.5</v>
      </c>
      <c r="E240" s="4">
        <v>1.8</v>
      </c>
      <c r="F240" s="4">
        <v>0.7</v>
      </c>
      <c r="G240" s="4">
        <v>10.199999999999999</v>
      </c>
      <c r="H240" s="4" t="s">
        <v>1328</v>
      </c>
      <c r="I240" s="2" t="s">
        <v>1329</v>
      </c>
      <c r="J240" s="2" t="s">
        <v>41</v>
      </c>
      <c r="K240" s="2" t="s">
        <v>1330</v>
      </c>
      <c r="L240" s="2" t="s">
        <v>32</v>
      </c>
      <c r="M240" s="19">
        <f t="shared" si="3"/>
        <v>6</v>
      </c>
      <c r="N240" s="2" t="s">
        <v>1331</v>
      </c>
      <c r="O240" s="2" t="s">
        <v>1332</v>
      </c>
      <c r="P240" s="2" t="s">
        <v>35</v>
      </c>
      <c r="Q240" s="2"/>
      <c r="R240" s="2" t="s">
        <v>1311</v>
      </c>
      <c r="S240" s="2"/>
      <c r="T240" s="2" t="s">
        <v>37</v>
      </c>
      <c r="U240" s="2"/>
      <c r="V240" s="2">
        <v>5</v>
      </c>
      <c r="W240" s="2"/>
    </row>
    <row r="241" spans="1:23" ht="34" customHeight="1">
      <c r="A241" s="2" t="s">
        <v>1272</v>
      </c>
      <c r="B241" s="2" t="s">
        <v>1333</v>
      </c>
      <c r="C241" s="4">
        <v>5.6</v>
      </c>
      <c r="D241" s="4">
        <v>1.4</v>
      </c>
      <c r="E241" s="5">
        <v>2.0299999999999998</v>
      </c>
      <c r="F241" s="5">
        <v>0.67</v>
      </c>
      <c r="G241" s="5">
        <v>6.43</v>
      </c>
      <c r="H241" s="5" t="s">
        <v>1334</v>
      </c>
      <c r="I241" s="2" t="s">
        <v>29</v>
      </c>
      <c r="J241" s="2" t="s">
        <v>41</v>
      </c>
      <c r="K241" s="2" t="s">
        <v>1335</v>
      </c>
      <c r="L241" s="2" t="s">
        <v>32</v>
      </c>
      <c r="M241" s="19">
        <f t="shared" si="3"/>
        <v>6</v>
      </c>
      <c r="N241" s="2" t="s">
        <v>1336</v>
      </c>
      <c r="O241" s="2" t="s">
        <v>1337</v>
      </c>
      <c r="P241" s="2" t="s">
        <v>45</v>
      </c>
      <c r="Q241" s="2"/>
      <c r="R241" s="2" t="s">
        <v>1311</v>
      </c>
      <c r="S241" s="2"/>
      <c r="T241" s="2" t="s">
        <v>37</v>
      </c>
      <c r="U241" s="2"/>
      <c r="V241" s="2">
        <v>5</v>
      </c>
      <c r="W241" s="2"/>
    </row>
    <row r="242" spans="1:23" ht="34" customHeight="1">
      <c r="A242" s="2" t="s">
        <v>1272</v>
      </c>
      <c r="B242" s="2" t="s">
        <v>1338</v>
      </c>
      <c r="C242" s="4">
        <v>7.5</v>
      </c>
      <c r="D242" s="4">
        <v>2.5</v>
      </c>
      <c r="E242" s="8">
        <v>1.8420000000000001</v>
      </c>
      <c r="F242" s="8">
        <v>0.81399999999999995</v>
      </c>
      <c r="G242" s="6">
        <v>30</v>
      </c>
      <c r="H242" s="6" t="s">
        <v>1339</v>
      </c>
      <c r="I242" s="2" t="s">
        <v>1340</v>
      </c>
      <c r="J242" s="2" t="s">
        <v>41</v>
      </c>
      <c r="K242" s="2" t="s">
        <v>1341</v>
      </c>
      <c r="L242" s="2" t="s">
        <v>32</v>
      </c>
      <c r="M242" s="19">
        <f t="shared" si="3"/>
        <v>6</v>
      </c>
      <c r="N242" s="2" t="s">
        <v>1342</v>
      </c>
      <c r="O242" s="2" t="s">
        <v>1343</v>
      </c>
      <c r="P242" s="2" t="s">
        <v>45</v>
      </c>
      <c r="Q242" s="2"/>
      <c r="R242" s="2" t="s">
        <v>1311</v>
      </c>
      <c r="S242" s="2"/>
      <c r="T242" s="2" t="s">
        <v>37</v>
      </c>
      <c r="U242" s="2"/>
      <c r="V242" s="2">
        <v>5</v>
      </c>
      <c r="W242" s="2"/>
    </row>
    <row r="243" spans="1:23" ht="34" customHeight="1">
      <c r="A243" s="2" t="s">
        <v>1272</v>
      </c>
      <c r="B243" s="2" t="s">
        <v>1344</v>
      </c>
      <c r="C243" s="5">
        <v>6.04</v>
      </c>
      <c r="D243" s="5">
        <v>1.51</v>
      </c>
      <c r="E243" s="5">
        <v>2.0299999999999998</v>
      </c>
      <c r="F243" s="7"/>
      <c r="G243" s="5">
        <v>6.64</v>
      </c>
      <c r="H243" s="5" t="s">
        <v>1345</v>
      </c>
      <c r="I243" s="2" t="s">
        <v>29</v>
      </c>
      <c r="J243" s="2" t="s">
        <v>41</v>
      </c>
      <c r="K243" s="2" t="s">
        <v>1341</v>
      </c>
      <c r="L243" s="2" t="s">
        <v>32</v>
      </c>
      <c r="M243" s="19">
        <f t="shared" si="3"/>
        <v>5</v>
      </c>
      <c r="N243" s="2" t="s">
        <v>1346</v>
      </c>
      <c r="O243" s="2" t="s">
        <v>1347</v>
      </c>
      <c r="P243" s="2" t="s">
        <v>35</v>
      </c>
      <c r="Q243" s="2" t="s">
        <v>65</v>
      </c>
      <c r="R243" s="2" t="s">
        <v>1311</v>
      </c>
      <c r="S243" s="2"/>
      <c r="T243" s="2" t="s">
        <v>37</v>
      </c>
      <c r="U243" s="2"/>
      <c r="V243" s="2">
        <v>4</v>
      </c>
      <c r="W243" s="2"/>
    </row>
    <row r="244" spans="1:23" ht="34" customHeight="1">
      <c r="A244" s="2" t="s">
        <v>1272</v>
      </c>
      <c r="B244" s="2" t="s">
        <v>1348</v>
      </c>
      <c r="C244" s="5">
        <v>7.64</v>
      </c>
      <c r="D244" s="4">
        <v>1.7</v>
      </c>
      <c r="E244" s="4">
        <v>1.8</v>
      </c>
      <c r="F244" s="7"/>
      <c r="G244" s="4">
        <v>10.9</v>
      </c>
      <c r="H244" s="4" t="s">
        <v>1349</v>
      </c>
      <c r="I244" s="2" t="s">
        <v>29</v>
      </c>
      <c r="J244" s="2" t="s">
        <v>41</v>
      </c>
      <c r="K244" s="2" t="s">
        <v>1341</v>
      </c>
      <c r="L244" s="2" t="s">
        <v>32</v>
      </c>
      <c r="M244" s="19">
        <f t="shared" si="3"/>
        <v>5</v>
      </c>
      <c r="N244" s="2" t="s">
        <v>1346</v>
      </c>
      <c r="O244" s="2" t="s">
        <v>1350</v>
      </c>
      <c r="P244" s="2" t="s">
        <v>35</v>
      </c>
      <c r="Q244" s="2" t="s">
        <v>65</v>
      </c>
      <c r="R244" s="2" t="s">
        <v>1311</v>
      </c>
      <c r="S244" s="2" t="s">
        <v>1351</v>
      </c>
      <c r="T244" s="2" t="s">
        <v>37</v>
      </c>
      <c r="U244" s="2"/>
      <c r="V244" s="2">
        <v>4</v>
      </c>
      <c r="W244" s="2"/>
    </row>
    <row r="245" spans="1:23" ht="34" customHeight="1">
      <c r="A245" s="2" t="s">
        <v>1272</v>
      </c>
      <c r="B245" s="2" t="s">
        <v>1352</v>
      </c>
      <c r="C245" s="5">
        <v>5.52</v>
      </c>
      <c r="D245" s="5">
        <v>1.38</v>
      </c>
      <c r="E245" s="5">
        <v>1.89</v>
      </c>
      <c r="F245" s="5">
        <v>0.77</v>
      </c>
      <c r="G245" s="5">
        <v>11.32</v>
      </c>
      <c r="H245" s="5" t="s">
        <v>430</v>
      </c>
      <c r="I245" s="2" t="s">
        <v>1353</v>
      </c>
      <c r="J245" s="2" t="s">
        <v>41</v>
      </c>
      <c r="K245" s="2" t="s">
        <v>502</v>
      </c>
      <c r="L245" s="2" t="s">
        <v>32</v>
      </c>
      <c r="M245" s="19">
        <f t="shared" si="3"/>
        <v>6</v>
      </c>
      <c r="N245" s="2" t="s">
        <v>1354</v>
      </c>
      <c r="O245" s="2" t="s">
        <v>1355</v>
      </c>
      <c r="P245" s="2" t="s">
        <v>35</v>
      </c>
      <c r="Q245" s="2"/>
      <c r="R245" s="2" t="s">
        <v>1311</v>
      </c>
      <c r="S245" s="2"/>
      <c r="T245" s="2" t="s">
        <v>37</v>
      </c>
      <c r="U245" s="2"/>
      <c r="V245" s="2">
        <v>5</v>
      </c>
      <c r="W245" s="2"/>
    </row>
    <row r="246" spans="1:23" ht="34" customHeight="1">
      <c r="A246" s="2" t="s">
        <v>1272</v>
      </c>
      <c r="B246" s="2" t="s">
        <v>1356</v>
      </c>
      <c r="C246" s="4">
        <v>3.2</v>
      </c>
      <c r="D246" s="6">
        <v>2</v>
      </c>
      <c r="E246" s="5">
        <v>3.75</v>
      </c>
      <c r="F246" s="5">
        <v>0.71</v>
      </c>
      <c r="G246" s="5">
        <v>30.85</v>
      </c>
      <c r="H246" s="5" t="s">
        <v>883</v>
      </c>
      <c r="I246" s="2" t="s">
        <v>29</v>
      </c>
      <c r="J246" s="2" t="s">
        <v>41</v>
      </c>
      <c r="K246" s="2" t="s">
        <v>1357</v>
      </c>
      <c r="L246" s="2" t="s">
        <v>79</v>
      </c>
      <c r="M246" s="19">
        <f t="shared" si="3"/>
        <v>6</v>
      </c>
      <c r="N246" s="2" t="s">
        <v>1358</v>
      </c>
      <c r="O246" s="2" t="s">
        <v>1359</v>
      </c>
      <c r="P246" s="2" t="s">
        <v>45</v>
      </c>
      <c r="Q246" s="2"/>
      <c r="R246" s="2" t="s">
        <v>1311</v>
      </c>
      <c r="S246" s="2"/>
      <c r="T246" s="2" t="s">
        <v>37</v>
      </c>
      <c r="U246" s="2"/>
      <c r="V246" s="2">
        <v>5</v>
      </c>
      <c r="W246" s="2"/>
    </row>
    <row r="247" spans="1:23" ht="34" customHeight="1">
      <c r="A247" s="2" t="s">
        <v>1272</v>
      </c>
      <c r="B247" s="2" t="s">
        <v>1360</v>
      </c>
      <c r="C247" s="4">
        <v>3.2</v>
      </c>
      <c r="D247" s="6">
        <v>2</v>
      </c>
      <c r="E247" s="4">
        <v>3.4</v>
      </c>
      <c r="F247" s="5">
        <v>0.64</v>
      </c>
      <c r="G247" s="6">
        <v>29</v>
      </c>
      <c r="H247" s="6" t="s">
        <v>883</v>
      </c>
      <c r="I247" s="2" t="s">
        <v>1361</v>
      </c>
      <c r="J247" s="2" t="s">
        <v>41</v>
      </c>
      <c r="K247" s="2" t="s">
        <v>1362</v>
      </c>
      <c r="L247" s="2" t="s">
        <v>79</v>
      </c>
      <c r="M247" s="19">
        <f t="shared" si="3"/>
        <v>6</v>
      </c>
      <c r="N247" s="2" t="s">
        <v>1363</v>
      </c>
      <c r="O247" s="2" t="s">
        <v>1364</v>
      </c>
      <c r="P247" s="2" t="s">
        <v>190</v>
      </c>
      <c r="Q247" s="2"/>
      <c r="R247" s="2" t="s">
        <v>1311</v>
      </c>
      <c r="S247" s="2" t="s">
        <v>1365</v>
      </c>
      <c r="T247" s="2" t="s">
        <v>37</v>
      </c>
      <c r="U247" s="2"/>
      <c r="V247" s="2">
        <v>5</v>
      </c>
      <c r="W247" s="2"/>
    </row>
    <row r="248" spans="1:23" ht="34" customHeight="1">
      <c r="A248" s="2" t="s">
        <v>1272</v>
      </c>
      <c r="B248" s="2" t="s">
        <v>1366</v>
      </c>
      <c r="C248" s="7" t="s">
        <v>1367</v>
      </c>
      <c r="D248" s="7" t="s">
        <v>1368</v>
      </c>
      <c r="E248" s="7"/>
      <c r="F248" s="7"/>
      <c r="G248" s="7" t="s">
        <v>1369</v>
      </c>
      <c r="H248" s="7" t="s">
        <v>48</v>
      </c>
      <c r="I248" s="2" t="s">
        <v>29</v>
      </c>
      <c r="J248" s="2" t="s">
        <v>50</v>
      </c>
      <c r="K248" s="2" t="s">
        <v>1370</v>
      </c>
      <c r="L248" s="2" t="s">
        <v>32</v>
      </c>
      <c r="M248" s="19">
        <f t="shared" si="3"/>
        <v>4</v>
      </c>
      <c r="N248" s="2" t="s">
        <v>1371</v>
      </c>
      <c r="O248" s="2" t="s">
        <v>1372</v>
      </c>
      <c r="P248" s="2" t="s">
        <v>45</v>
      </c>
      <c r="Q248" s="2" t="s">
        <v>147</v>
      </c>
      <c r="R248" s="2" t="s">
        <v>1373</v>
      </c>
      <c r="S248" s="2"/>
      <c r="T248" s="2" t="s">
        <v>37</v>
      </c>
      <c r="U248" s="2"/>
      <c r="V248" s="2">
        <v>3</v>
      </c>
      <c r="W248" s="2"/>
    </row>
    <row r="249" spans="1:23" ht="34" customHeight="1">
      <c r="A249" s="2" t="s">
        <v>1272</v>
      </c>
      <c r="B249" s="2" t="s">
        <v>1374</v>
      </c>
      <c r="C249" s="5">
        <v>2.59</v>
      </c>
      <c r="D249" s="4">
        <v>0.8</v>
      </c>
      <c r="E249" s="6">
        <v>2</v>
      </c>
      <c r="F249" s="5">
        <v>0.45</v>
      </c>
      <c r="G249" s="4">
        <v>11.8</v>
      </c>
      <c r="H249" s="4" t="s">
        <v>1334</v>
      </c>
      <c r="I249" s="2" t="s">
        <v>29</v>
      </c>
      <c r="J249" s="2" t="s">
        <v>41</v>
      </c>
      <c r="K249" s="2" t="s">
        <v>1375</v>
      </c>
      <c r="L249" s="2" t="s">
        <v>32</v>
      </c>
      <c r="M249" s="19">
        <f t="shared" si="3"/>
        <v>6</v>
      </c>
      <c r="N249" s="2" t="s">
        <v>1376</v>
      </c>
      <c r="O249" s="2" t="s">
        <v>1377</v>
      </c>
      <c r="P249" s="2" t="s">
        <v>45</v>
      </c>
      <c r="Q249" s="2"/>
      <c r="R249" s="2" t="s">
        <v>1378</v>
      </c>
      <c r="S249" s="2"/>
      <c r="T249" s="2" t="s">
        <v>37</v>
      </c>
      <c r="U249" s="2"/>
      <c r="V249" s="2">
        <v>5</v>
      </c>
      <c r="W249" s="2"/>
    </row>
    <row r="250" spans="1:23" ht="34" customHeight="1">
      <c r="A250" s="2" t="s">
        <v>1272</v>
      </c>
      <c r="B250" s="2" t="s">
        <v>1379</v>
      </c>
      <c r="C250" s="4">
        <v>1.5</v>
      </c>
      <c r="D250" s="5">
        <v>0.36</v>
      </c>
      <c r="E250" s="7"/>
      <c r="F250" s="7"/>
      <c r="G250" s="5">
        <v>0.04</v>
      </c>
      <c r="H250" s="5" t="s">
        <v>261</v>
      </c>
      <c r="I250" s="2" t="s">
        <v>316</v>
      </c>
      <c r="J250" s="2" t="s">
        <v>61</v>
      </c>
      <c r="K250" s="2" t="s">
        <v>1380</v>
      </c>
      <c r="L250" s="2" t="s">
        <v>32</v>
      </c>
      <c r="M250" s="19">
        <f t="shared" si="3"/>
        <v>4</v>
      </c>
      <c r="N250" s="2" t="s">
        <v>1381</v>
      </c>
      <c r="O250" s="2" t="s">
        <v>1382</v>
      </c>
      <c r="P250" s="2" t="s">
        <v>45</v>
      </c>
      <c r="Q250" s="2" t="s">
        <v>147</v>
      </c>
      <c r="R250" s="2" t="s">
        <v>1383</v>
      </c>
      <c r="S250" s="2"/>
      <c r="T250" s="2" t="s">
        <v>37</v>
      </c>
      <c r="U250" s="2"/>
      <c r="V250" s="2">
        <v>3</v>
      </c>
      <c r="W250" s="2"/>
    </row>
    <row r="251" spans="1:23" ht="34" customHeight="1">
      <c r="A251" s="2" t="s">
        <v>1272</v>
      </c>
      <c r="B251" s="2" t="s">
        <v>1384</v>
      </c>
      <c r="C251" s="5">
        <v>0.34</v>
      </c>
      <c r="D251" s="5">
        <v>0.22</v>
      </c>
      <c r="E251" s="7" t="s">
        <v>1385</v>
      </c>
      <c r="F251" s="7" t="s">
        <v>1386</v>
      </c>
      <c r="G251" s="7" t="s">
        <v>1387</v>
      </c>
      <c r="H251" s="7" t="s">
        <v>261</v>
      </c>
      <c r="I251" s="2" t="s">
        <v>1388</v>
      </c>
      <c r="J251" s="2" t="s">
        <v>50</v>
      </c>
      <c r="K251" s="2" t="s">
        <v>1389</v>
      </c>
      <c r="L251" s="2" t="s">
        <v>79</v>
      </c>
      <c r="M251" s="19">
        <f t="shared" si="3"/>
        <v>6</v>
      </c>
      <c r="N251" s="2" t="s">
        <v>1390</v>
      </c>
      <c r="O251" s="2" t="s">
        <v>1391</v>
      </c>
      <c r="P251" s="2" t="s">
        <v>45</v>
      </c>
      <c r="Q251" s="2"/>
      <c r="R251" s="2" t="s">
        <v>1373</v>
      </c>
      <c r="S251" s="2" t="s">
        <v>1392</v>
      </c>
      <c r="T251" s="2" t="s">
        <v>37</v>
      </c>
      <c r="U251" s="2"/>
      <c r="V251" s="2">
        <v>5</v>
      </c>
      <c r="W251" s="2"/>
    </row>
    <row r="252" spans="1:23" ht="34" customHeight="1">
      <c r="A252" s="2" t="s">
        <v>1272</v>
      </c>
      <c r="B252" s="2" t="s">
        <v>1393</v>
      </c>
      <c r="C252" s="4">
        <v>2.1</v>
      </c>
      <c r="D252" s="5">
        <v>0.65</v>
      </c>
      <c r="E252" s="6">
        <v>2</v>
      </c>
      <c r="F252" s="5">
        <v>0.25</v>
      </c>
      <c r="G252" s="6">
        <v>11</v>
      </c>
      <c r="H252" s="6" t="s">
        <v>1274</v>
      </c>
      <c r="I252" s="2" t="s">
        <v>29</v>
      </c>
      <c r="J252" s="2" t="s">
        <v>41</v>
      </c>
      <c r="K252" s="2" t="s">
        <v>1394</v>
      </c>
      <c r="L252" s="2" t="s">
        <v>32</v>
      </c>
      <c r="M252" s="19">
        <f t="shared" si="3"/>
        <v>6</v>
      </c>
      <c r="N252" s="2" t="s">
        <v>1376</v>
      </c>
      <c r="O252" s="2" t="s">
        <v>1395</v>
      </c>
      <c r="P252" s="2" t="s">
        <v>45</v>
      </c>
      <c r="Q252" s="2"/>
      <c r="R252" s="2" t="s">
        <v>1396</v>
      </c>
      <c r="S252" s="2"/>
      <c r="T252" s="2" t="s">
        <v>37</v>
      </c>
      <c r="U252" s="2"/>
      <c r="V252" s="2">
        <v>5</v>
      </c>
      <c r="W252" s="2"/>
    </row>
    <row r="253" spans="1:23" ht="37" customHeight="1">
      <c r="A253" s="2" t="s">
        <v>1272</v>
      </c>
      <c r="B253" s="2" t="s">
        <v>1397</v>
      </c>
      <c r="C253" s="4">
        <v>1.7</v>
      </c>
      <c r="D253" s="4">
        <v>0.6</v>
      </c>
      <c r="E253" s="7" t="s">
        <v>1398</v>
      </c>
      <c r="F253" s="7" t="s">
        <v>1399</v>
      </c>
      <c r="G253" s="7" t="s">
        <v>1400</v>
      </c>
      <c r="H253" s="7" t="s">
        <v>1401</v>
      </c>
      <c r="I253" s="2" t="s">
        <v>71</v>
      </c>
      <c r="J253" s="2" t="s">
        <v>94</v>
      </c>
      <c r="K253" s="2" t="s">
        <v>1402</v>
      </c>
      <c r="L253" s="2" t="s">
        <v>32</v>
      </c>
      <c r="M253" s="19">
        <f t="shared" si="3"/>
        <v>6</v>
      </c>
      <c r="N253" s="2" t="s">
        <v>1403</v>
      </c>
      <c r="O253" s="2" t="s">
        <v>1404</v>
      </c>
      <c r="P253" s="2" t="s">
        <v>45</v>
      </c>
      <c r="Q253" s="2"/>
      <c r="R253" s="2" t="s">
        <v>1405</v>
      </c>
      <c r="S253" s="2" t="s">
        <v>1406</v>
      </c>
      <c r="T253" s="2" t="s">
        <v>37</v>
      </c>
      <c r="U253" s="2"/>
      <c r="V253" s="2">
        <v>5</v>
      </c>
      <c r="W253" s="2"/>
    </row>
    <row r="254" spans="1:23" ht="34" customHeight="1">
      <c r="A254" s="2" t="s">
        <v>1272</v>
      </c>
      <c r="B254" s="2" t="s">
        <v>1407</v>
      </c>
      <c r="C254" s="5">
        <v>0.59</v>
      </c>
      <c r="D254" s="7"/>
      <c r="E254" s="7"/>
      <c r="F254" s="7"/>
      <c r="G254" s="5">
        <v>0.32</v>
      </c>
      <c r="H254" s="5" t="s">
        <v>1408</v>
      </c>
      <c r="I254" s="2" t="s">
        <v>29</v>
      </c>
      <c r="J254" s="2" t="s">
        <v>50</v>
      </c>
      <c r="K254" s="2" t="s">
        <v>1370</v>
      </c>
      <c r="L254" s="2" t="s">
        <v>32</v>
      </c>
      <c r="M254" s="19">
        <f t="shared" si="3"/>
        <v>3</v>
      </c>
      <c r="N254" s="2" t="s">
        <v>1371</v>
      </c>
      <c r="O254" s="2" t="s">
        <v>1409</v>
      </c>
      <c r="P254" s="2" t="s">
        <v>45</v>
      </c>
      <c r="Q254" s="2" t="s">
        <v>1410</v>
      </c>
      <c r="R254" s="2" t="s">
        <v>1411</v>
      </c>
      <c r="S254" s="2"/>
      <c r="T254" s="2" t="s">
        <v>37</v>
      </c>
      <c r="U254" s="2"/>
      <c r="V254" s="2">
        <v>2</v>
      </c>
      <c r="W254" s="2"/>
    </row>
    <row r="255" spans="1:23" ht="34" customHeight="1">
      <c r="A255" s="2" t="s">
        <v>1272</v>
      </c>
      <c r="B255" s="2" t="s">
        <v>1412</v>
      </c>
      <c r="C255" s="5">
        <v>0.66</v>
      </c>
      <c r="D255" s="7"/>
      <c r="E255" s="7"/>
      <c r="F255" s="7"/>
      <c r="G255" s="5">
        <v>0.15</v>
      </c>
      <c r="H255" s="5" t="s">
        <v>1408</v>
      </c>
      <c r="I255" s="2" t="s">
        <v>180</v>
      </c>
      <c r="J255" s="2" t="s">
        <v>50</v>
      </c>
      <c r="K255" s="2" t="s">
        <v>1389</v>
      </c>
      <c r="L255" s="2" t="s">
        <v>32</v>
      </c>
      <c r="M255" s="19">
        <f t="shared" si="3"/>
        <v>3</v>
      </c>
      <c r="N255" s="2" t="s">
        <v>1413</v>
      </c>
      <c r="O255" s="2" t="s">
        <v>1414</v>
      </c>
      <c r="P255" s="2" t="s">
        <v>35</v>
      </c>
      <c r="Q255" s="2" t="s">
        <v>1410</v>
      </c>
      <c r="R255" s="2" t="s">
        <v>1415</v>
      </c>
      <c r="S255" s="2" t="s">
        <v>1416</v>
      </c>
      <c r="T255" s="2" t="s">
        <v>37</v>
      </c>
      <c r="U255" s="2"/>
      <c r="V255" s="2">
        <v>2</v>
      </c>
      <c r="W255" s="2"/>
    </row>
    <row r="256" spans="1:23" ht="34" customHeight="1">
      <c r="A256" s="2" t="s">
        <v>1272</v>
      </c>
      <c r="B256" s="2" t="s">
        <v>1417</v>
      </c>
      <c r="C256" s="5">
        <v>1.43</v>
      </c>
      <c r="D256" s="5">
        <v>0.45</v>
      </c>
      <c r="E256" s="4">
        <v>2.8</v>
      </c>
      <c r="F256" s="7"/>
      <c r="G256" s="4">
        <v>1.2</v>
      </c>
      <c r="H256" s="4" t="s">
        <v>323</v>
      </c>
      <c r="I256" s="2" t="s">
        <v>316</v>
      </c>
      <c r="J256" s="2" t="s">
        <v>50</v>
      </c>
      <c r="K256" s="2" t="s">
        <v>1389</v>
      </c>
      <c r="L256" s="2" t="s">
        <v>32</v>
      </c>
      <c r="M256" s="19">
        <f t="shared" si="3"/>
        <v>5</v>
      </c>
      <c r="N256" s="2" t="s">
        <v>1418</v>
      </c>
      <c r="O256" s="2" t="s">
        <v>1419</v>
      </c>
      <c r="P256" s="2" t="s">
        <v>35</v>
      </c>
      <c r="Q256" s="2" t="s">
        <v>65</v>
      </c>
      <c r="R256" s="2" t="s">
        <v>1415</v>
      </c>
      <c r="S256" s="2" t="s">
        <v>1420</v>
      </c>
      <c r="T256" s="2" t="s">
        <v>37</v>
      </c>
      <c r="U256" s="2"/>
      <c r="V256" s="2">
        <v>4</v>
      </c>
      <c r="W256" s="2"/>
    </row>
    <row r="257" spans="1:23" ht="34" customHeight="1">
      <c r="A257" s="2" t="s">
        <v>1272</v>
      </c>
      <c r="B257" s="2" t="s">
        <v>1421</v>
      </c>
      <c r="C257" s="6">
        <v>5</v>
      </c>
      <c r="D257" s="6">
        <v>1</v>
      </c>
      <c r="E257" s="6">
        <v>2</v>
      </c>
      <c r="F257" s="7"/>
      <c r="G257" s="5">
        <v>0.04</v>
      </c>
      <c r="H257" s="5" t="s">
        <v>375</v>
      </c>
      <c r="I257" s="2" t="s">
        <v>180</v>
      </c>
      <c r="J257" s="2" t="s">
        <v>61</v>
      </c>
      <c r="K257" s="2" t="s">
        <v>1422</v>
      </c>
      <c r="L257" s="2" t="s">
        <v>32</v>
      </c>
      <c r="M257" s="19">
        <f t="shared" si="3"/>
        <v>5</v>
      </c>
      <c r="N257" s="2" t="s">
        <v>1423</v>
      </c>
      <c r="O257" s="2" t="s">
        <v>1424</v>
      </c>
      <c r="P257" s="2" t="s">
        <v>45</v>
      </c>
      <c r="Q257" s="2" t="s">
        <v>65</v>
      </c>
      <c r="R257" s="2" t="s">
        <v>1383</v>
      </c>
      <c r="S257" s="2"/>
      <c r="T257" s="2" t="s">
        <v>37</v>
      </c>
      <c r="U257" s="2"/>
      <c r="V257" s="2">
        <v>4</v>
      </c>
      <c r="W257" s="2"/>
    </row>
    <row r="258" spans="1:23" ht="34" customHeight="1">
      <c r="A258" s="2" t="s">
        <v>1272</v>
      </c>
      <c r="B258" s="2" t="s">
        <v>1425</v>
      </c>
      <c r="C258" s="8">
        <v>0.38100000000000001</v>
      </c>
      <c r="D258" s="8">
        <v>0.126</v>
      </c>
      <c r="E258" s="7"/>
      <c r="F258" s="7"/>
      <c r="G258" s="5">
        <v>0.01</v>
      </c>
      <c r="H258" s="5" t="s">
        <v>1426</v>
      </c>
      <c r="I258" s="2" t="s">
        <v>71</v>
      </c>
      <c r="J258" s="2" t="s">
        <v>50</v>
      </c>
      <c r="K258" s="2" t="s">
        <v>1389</v>
      </c>
      <c r="L258" s="2" t="s">
        <v>32</v>
      </c>
      <c r="M258" s="19">
        <f t="shared" si="3"/>
        <v>4</v>
      </c>
      <c r="N258" s="2" t="s">
        <v>1427</v>
      </c>
      <c r="O258" s="2" t="s">
        <v>1428</v>
      </c>
      <c r="P258" s="2" t="s">
        <v>35</v>
      </c>
      <c r="Q258" s="2" t="s">
        <v>147</v>
      </c>
      <c r="R258" s="2" t="s">
        <v>1429</v>
      </c>
      <c r="S258" s="2"/>
      <c r="T258" s="2" t="s">
        <v>37</v>
      </c>
      <c r="U258" s="2"/>
      <c r="V258" s="2">
        <v>3</v>
      </c>
      <c r="W258" s="2"/>
    </row>
    <row r="259" spans="1:23" ht="34" customHeight="1">
      <c r="A259" s="2" t="s">
        <v>1272</v>
      </c>
      <c r="B259" s="2" t="s">
        <v>1430</v>
      </c>
      <c r="C259" s="5">
        <v>2.14</v>
      </c>
      <c r="D259" s="8">
        <v>0.59499999999999997</v>
      </c>
      <c r="E259" s="6">
        <v>2</v>
      </c>
      <c r="F259" s="4">
        <v>0.7</v>
      </c>
      <c r="G259" s="4">
        <v>7.7</v>
      </c>
      <c r="H259" s="4" t="s">
        <v>1274</v>
      </c>
      <c r="I259" s="2" t="s">
        <v>29</v>
      </c>
      <c r="J259" s="2" t="s">
        <v>41</v>
      </c>
      <c r="K259" s="2" t="s">
        <v>62</v>
      </c>
      <c r="L259" s="2" t="s">
        <v>32</v>
      </c>
      <c r="M259" s="19">
        <f t="shared" si="3"/>
        <v>6</v>
      </c>
      <c r="N259" s="2" t="s">
        <v>1431</v>
      </c>
      <c r="O259" s="2" t="s">
        <v>1432</v>
      </c>
      <c r="P259" s="2" t="s">
        <v>45</v>
      </c>
      <c r="Q259" s="2"/>
      <c r="R259" s="2" t="s">
        <v>1433</v>
      </c>
      <c r="S259" s="2"/>
      <c r="T259" s="2" t="s">
        <v>37</v>
      </c>
      <c r="U259" s="2"/>
      <c r="V259" s="2">
        <v>5</v>
      </c>
      <c r="W259" s="2"/>
    </row>
    <row r="260" spans="1:23" ht="34" customHeight="1">
      <c r="A260" s="2" t="s">
        <v>1272</v>
      </c>
      <c r="B260" s="2" t="s">
        <v>1434</v>
      </c>
      <c r="C260" s="5">
        <v>1.47</v>
      </c>
      <c r="D260" s="5">
        <v>0.45</v>
      </c>
      <c r="E260" s="5">
        <v>1.54</v>
      </c>
      <c r="F260" s="5">
        <v>0.54</v>
      </c>
      <c r="G260" s="5">
        <v>0.66</v>
      </c>
      <c r="H260" s="5" t="s">
        <v>114</v>
      </c>
      <c r="I260" s="2" t="s">
        <v>29</v>
      </c>
      <c r="J260" s="2" t="s">
        <v>41</v>
      </c>
      <c r="K260" s="2" t="s">
        <v>1435</v>
      </c>
      <c r="L260" s="2" t="s">
        <v>32</v>
      </c>
      <c r="M260" s="19">
        <f t="shared" si="3"/>
        <v>6</v>
      </c>
      <c r="N260" s="2" t="s">
        <v>1436</v>
      </c>
      <c r="O260" s="2" t="s">
        <v>1437</v>
      </c>
      <c r="P260" s="2" t="s">
        <v>45</v>
      </c>
      <c r="Q260" s="2"/>
      <c r="R260" s="2" t="s">
        <v>1373</v>
      </c>
      <c r="S260" s="2" t="s">
        <v>1438</v>
      </c>
      <c r="T260" s="2" t="s">
        <v>37</v>
      </c>
      <c r="U260" s="2"/>
      <c r="V260" s="2">
        <v>5</v>
      </c>
      <c r="W260" s="2"/>
    </row>
    <row r="261" spans="1:23" ht="37" customHeight="1">
      <c r="A261" s="2" t="s">
        <v>1272</v>
      </c>
      <c r="B261" s="2" t="s">
        <v>1439</v>
      </c>
      <c r="C261" s="5">
        <v>0.92</v>
      </c>
      <c r="D261" s="5">
        <v>0.15</v>
      </c>
      <c r="E261" s="6">
        <v>1</v>
      </c>
      <c r="F261" s="12">
        <v>0</v>
      </c>
      <c r="G261" s="7" t="s">
        <v>1440</v>
      </c>
      <c r="H261" s="7" t="s">
        <v>243</v>
      </c>
      <c r="I261" s="2" t="s">
        <v>1154</v>
      </c>
      <c r="J261" s="2" t="s">
        <v>94</v>
      </c>
      <c r="K261" s="2" t="s">
        <v>1441</v>
      </c>
      <c r="L261" s="2" t="s">
        <v>32</v>
      </c>
      <c r="M261" s="19">
        <f t="shared" si="3"/>
        <v>6</v>
      </c>
      <c r="N261" s="2" t="s">
        <v>1442</v>
      </c>
      <c r="O261" s="2" t="s">
        <v>1443</v>
      </c>
      <c r="P261" s="2" t="s">
        <v>130</v>
      </c>
      <c r="Q261" s="2"/>
      <c r="R261" s="2" t="s">
        <v>1444</v>
      </c>
      <c r="S261" s="2"/>
      <c r="T261" s="2" t="s">
        <v>37</v>
      </c>
      <c r="U261" s="2" t="s">
        <v>65</v>
      </c>
      <c r="V261" s="2">
        <v>4</v>
      </c>
      <c r="W261" s="2" t="s">
        <v>1445</v>
      </c>
    </row>
    <row r="262" spans="1:23" ht="34" customHeight="1">
      <c r="A262" s="2" t="s">
        <v>1272</v>
      </c>
      <c r="B262" s="2" t="s">
        <v>1446</v>
      </c>
      <c r="C262" s="4">
        <v>0.3</v>
      </c>
      <c r="D262" s="4">
        <v>0.2</v>
      </c>
      <c r="E262" s="5">
        <v>1.75</v>
      </c>
      <c r="F262" s="7"/>
      <c r="G262" s="5">
        <v>0.25</v>
      </c>
      <c r="H262" s="5" t="s">
        <v>293</v>
      </c>
      <c r="I262" s="2" t="s">
        <v>71</v>
      </c>
      <c r="J262" s="2" t="s">
        <v>50</v>
      </c>
      <c r="K262" s="2" t="s">
        <v>1389</v>
      </c>
      <c r="L262" s="2" t="s">
        <v>79</v>
      </c>
      <c r="M262" s="19">
        <f t="shared" ref="M262:M315" si="4">6-COUNTBLANK(C262:H262)</f>
        <v>5</v>
      </c>
      <c r="N262" s="2" t="s">
        <v>1447</v>
      </c>
      <c r="O262" s="2" t="s">
        <v>1448</v>
      </c>
      <c r="P262" s="2" t="s">
        <v>45</v>
      </c>
      <c r="Q262" s="2" t="s">
        <v>65</v>
      </c>
      <c r="R262" s="2" t="s">
        <v>1449</v>
      </c>
      <c r="S262" s="2" t="s">
        <v>1450</v>
      </c>
      <c r="T262" s="2" t="s">
        <v>37</v>
      </c>
      <c r="U262" s="2"/>
      <c r="V262" s="2">
        <v>4</v>
      </c>
      <c r="W262" s="2"/>
    </row>
    <row r="263" spans="1:23" ht="34" customHeight="1">
      <c r="A263" s="2" t="s">
        <v>1272</v>
      </c>
      <c r="B263" s="2" t="s">
        <v>1451</v>
      </c>
      <c r="C263" s="4">
        <v>0.3</v>
      </c>
      <c r="D263" s="4">
        <v>0.2</v>
      </c>
      <c r="E263" s="5">
        <v>1.75</v>
      </c>
      <c r="F263" s="7"/>
      <c r="G263" s="5">
        <v>0.25</v>
      </c>
      <c r="H263" s="5" t="s">
        <v>293</v>
      </c>
      <c r="I263" s="2" t="s">
        <v>71</v>
      </c>
      <c r="J263" s="2" t="s">
        <v>50</v>
      </c>
      <c r="K263" s="2" t="s">
        <v>1389</v>
      </c>
      <c r="L263" s="2" t="s">
        <v>79</v>
      </c>
      <c r="M263" s="19">
        <f t="shared" si="4"/>
        <v>5</v>
      </c>
      <c r="N263" s="2" t="s">
        <v>1452</v>
      </c>
      <c r="O263" s="2" t="s">
        <v>1453</v>
      </c>
      <c r="P263" s="2" t="s">
        <v>190</v>
      </c>
      <c r="Q263" s="2" t="s">
        <v>65</v>
      </c>
      <c r="R263" s="2" t="s">
        <v>1449</v>
      </c>
      <c r="S263" s="2" t="s">
        <v>1454</v>
      </c>
      <c r="T263" s="2" t="s">
        <v>37</v>
      </c>
      <c r="U263" s="2"/>
      <c r="V263" s="2">
        <v>4</v>
      </c>
      <c r="W263" s="2"/>
    </row>
    <row r="264" spans="1:23" ht="37" customHeight="1">
      <c r="A264" s="2" t="s">
        <v>1272</v>
      </c>
      <c r="B264" s="2" t="s">
        <v>1455</v>
      </c>
      <c r="C264" s="5">
        <v>0.92</v>
      </c>
      <c r="D264" s="5">
        <v>0.26</v>
      </c>
      <c r="E264" s="12">
        <v>1</v>
      </c>
      <c r="F264" s="12">
        <v>0</v>
      </c>
      <c r="G264" s="4">
        <v>0.2</v>
      </c>
      <c r="H264" s="4" t="s">
        <v>304</v>
      </c>
      <c r="I264" s="2" t="s">
        <v>1456</v>
      </c>
      <c r="J264" s="2" t="s">
        <v>50</v>
      </c>
      <c r="K264" s="2" t="s">
        <v>1457</v>
      </c>
      <c r="L264" s="2" t="s">
        <v>32</v>
      </c>
      <c r="M264" s="19">
        <f t="shared" si="4"/>
        <v>6</v>
      </c>
      <c r="N264" s="2" t="s">
        <v>1458</v>
      </c>
      <c r="O264" s="2" t="s">
        <v>1459</v>
      </c>
      <c r="P264" s="2" t="s">
        <v>45</v>
      </c>
      <c r="Q264" s="2"/>
      <c r="R264" s="2" t="s">
        <v>1460</v>
      </c>
      <c r="S264" s="2" t="s">
        <v>1461</v>
      </c>
      <c r="T264" s="2" t="s">
        <v>37</v>
      </c>
      <c r="U264" s="2" t="s">
        <v>147</v>
      </c>
      <c r="V264" s="2">
        <v>3</v>
      </c>
      <c r="W264" s="2" t="s">
        <v>1462</v>
      </c>
    </row>
    <row r="265" spans="1:23" ht="37" customHeight="1">
      <c r="A265" s="2" t="s">
        <v>1272</v>
      </c>
      <c r="B265" s="2" t="s">
        <v>1463</v>
      </c>
      <c r="C265" s="5">
        <v>0.92</v>
      </c>
      <c r="D265" s="5">
        <v>0.27</v>
      </c>
      <c r="E265" s="16">
        <v>1.833333333333333</v>
      </c>
      <c r="F265" s="12">
        <v>0</v>
      </c>
      <c r="G265" s="4">
        <v>0.2</v>
      </c>
      <c r="H265" s="4" t="s">
        <v>304</v>
      </c>
      <c r="I265" s="2" t="s">
        <v>1456</v>
      </c>
      <c r="J265" s="2" t="s">
        <v>50</v>
      </c>
      <c r="K265" s="2" t="s">
        <v>1464</v>
      </c>
      <c r="L265" s="2" t="s">
        <v>32</v>
      </c>
      <c r="M265" s="19">
        <f t="shared" si="4"/>
        <v>6</v>
      </c>
      <c r="N265" s="2" t="s">
        <v>1465</v>
      </c>
      <c r="O265" s="2" t="s">
        <v>1466</v>
      </c>
      <c r="P265" s="2" t="s">
        <v>45</v>
      </c>
      <c r="Q265" s="2"/>
      <c r="R265" s="2" t="s">
        <v>1467</v>
      </c>
      <c r="S265" s="2" t="s">
        <v>1468</v>
      </c>
      <c r="T265" s="2" t="s">
        <v>37</v>
      </c>
      <c r="U265" s="2" t="s">
        <v>147</v>
      </c>
      <c r="V265" s="2">
        <v>3</v>
      </c>
      <c r="W265" s="2" t="s">
        <v>1469</v>
      </c>
    </row>
    <row r="266" spans="1:23" ht="34" customHeight="1">
      <c r="A266" s="2" t="s">
        <v>1272</v>
      </c>
      <c r="B266" s="2" t="s">
        <v>1470</v>
      </c>
      <c r="C266" s="4">
        <v>0.4</v>
      </c>
      <c r="D266" s="5">
        <v>0.26</v>
      </c>
      <c r="E266" s="4">
        <v>1.5</v>
      </c>
      <c r="F266" s="7" t="s">
        <v>1471</v>
      </c>
      <c r="G266" s="7" t="s">
        <v>1472</v>
      </c>
      <c r="H266" s="7" t="s">
        <v>1017</v>
      </c>
      <c r="I266" s="2" t="s">
        <v>1473</v>
      </c>
      <c r="J266" s="2" t="s">
        <v>61</v>
      </c>
      <c r="K266" s="2" t="s">
        <v>1474</v>
      </c>
      <c r="L266" s="2" t="s">
        <v>79</v>
      </c>
      <c r="M266" s="19">
        <f t="shared" si="4"/>
        <v>6</v>
      </c>
      <c r="N266" s="2" t="s">
        <v>1475</v>
      </c>
      <c r="O266" s="2" t="s">
        <v>1476</v>
      </c>
      <c r="P266" s="2" t="s">
        <v>45</v>
      </c>
      <c r="Q266" s="2"/>
      <c r="R266" s="2" t="s">
        <v>1373</v>
      </c>
      <c r="S266" s="2" t="s">
        <v>1477</v>
      </c>
      <c r="T266" s="2" t="s">
        <v>37</v>
      </c>
      <c r="U266" s="2"/>
      <c r="V266" s="2">
        <v>5</v>
      </c>
      <c r="W266" s="2"/>
    </row>
    <row r="267" spans="1:23" ht="34" customHeight="1">
      <c r="A267" s="2" t="s">
        <v>1272</v>
      </c>
      <c r="B267" s="2" t="s">
        <v>1478</v>
      </c>
      <c r="C267" s="4">
        <v>0.4</v>
      </c>
      <c r="D267" s="5">
        <v>0.26</v>
      </c>
      <c r="E267" s="4">
        <v>1.6</v>
      </c>
      <c r="F267" s="7" t="s">
        <v>1479</v>
      </c>
      <c r="G267" s="8">
        <v>0.13500000000000001</v>
      </c>
      <c r="H267" s="8" t="s">
        <v>1480</v>
      </c>
      <c r="I267" s="2" t="s">
        <v>71</v>
      </c>
      <c r="J267" s="2" t="s">
        <v>94</v>
      </c>
      <c r="K267" s="2" t="s">
        <v>962</v>
      </c>
      <c r="L267" s="2" t="s">
        <v>79</v>
      </c>
      <c r="M267" s="19">
        <f t="shared" si="4"/>
        <v>6</v>
      </c>
      <c r="N267" s="2" t="s">
        <v>1481</v>
      </c>
      <c r="O267" s="2" t="s">
        <v>1482</v>
      </c>
      <c r="P267" s="2" t="s">
        <v>45</v>
      </c>
      <c r="Q267" s="2"/>
      <c r="R267" s="2" t="s">
        <v>1373</v>
      </c>
      <c r="S267" s="2" t="s">
        <v>1483</v>
      </c>
      <c r="T267" s="2" t="s">
        <v>37</v>
      </c>
      <c r="U267" s="2"/>
      <c r="V267" s="2">
        <v>5</v>
      </c>
      <c r="W267" s="2"/>
    </row>
    <row r="268" spans="1:23" ht="37" customHeight="1">
      <c r="A268" s="2" t="s">
        <v>1272</v>
      </c>
      <c r="B268" s="2" t="s">
        <v>1484</v>
      </c>
      <c r="C268" s="4">
        <v>0.9</v>
      </c>
      <c r="D268" s="4">
        <v>0.4</v>
      </c>
      <c r="E268" s="7"/>
      <c r="F268" s="7"/>
      <c r="G268" s="7" t="s">
        <v>1485</v>
      </c>
      <c r="H268" s="7" t="s">
        <v>243</v>
      </c>
      <c r="I268" s="2" t="s">
        <v>1486</v>
      </c>
      <c r="J268" s="2" t="s">
        <v>61</v>
      </c>
      <c r="K268" s="2" t="s">
        <v>1380</v>
      </c>
      <c r="L268" s="2" t="s">
        <v>32</v>
      </c>
      <c r="M268" s="19">
        <f t="shared" si="4"/>
        <v>4</v>
      </c>
      <c r="N268" s="2" t="s">
        <v>1487</v>
      </c>
      <c r="O268" s="2" t="s">
        <v>1488</v>
      </c>
      <c r="P268" s="2" t="s">
        <v>35</v>
      </c>
      <c r="Q268" s="2" t="s">
        <v>147</v>
      </c>
      <c r="R268" s="2" t="s">
        <v>1383</v>
      </c>
      <c r="S268" s="2"/>
      <c r="T268" s="2" t="s">
        <v>37</v>
      </c>
      <c r="U268" s="2"/>
      <c r="V268" s="2">
        <v>3</v>
      </c>
      <c r="W268" s="2"/>
    </row>
    <row r="269" spans="1:23" ht="34" customHeight="1">
      <c r="A269" s="2" t="s">
        <v>1272</v>
      </c>
      <c r="B269" s="2" t="s">
        <v>1489</v>
      </c>
      <c r="C269" s="5">
        <v>4.55</v>
      </c>
      <c r="D269" s="4">
        <v>1.2</v>
      </c>
      <c r="E269" s="4">
        <v>1.4</v>
      </c>
      <c r="F269" s="4">
        <v>-0.5</v>
      </c>
      <c r="G269" s="6">
        <v>10</v>
      </c>
      <c r="H269" s="6" t="s">
        <v>226</v>
      </c>
      <c r="I269" s="2" t="s">
        <v>29</v>
      </c>
      <c r="J269" s="2" t="s">
        <v>41</v>
      </c>
      <c r="K269" s="2" t="s">
        <v>962</v>
      </c>
      <c r="L269" s="2" t="s">
        <v>32</v>
      </c>
      <c r="M269" s="19">
        <f t="shared" si="4"/>
        <v>6</v>
      </c>
      <c r="N269" s="2" t="s">
        <v>1490</v>
      </c>
      <c r="O269" s="2" t="s">
        <v>1491</v>
      </c>
      <c r="P269" s="2" t="s">
        <v>45</v>
      </c>
      <c r="Q269" s="2"/>
      <c r="R269" s="2" t="s">
        <v>1492</v>
      </c>
      <c r="S269" s="2"/>
      <c r="T269" s="2" t="s">
        <v>37</v>
      </c>
      <c r="U269" s="2"/>
      <c r="V269" s="2">
        <v>5</v>
      </c>
      <c r="W269" s="2"/>
    </row>
    <row r="270" spans="1:23" ht="34" customHeight="1">
      <c r="A270" s="2" t="s">
        <v>1272</v>
      </c>
      <c r="B270" s="2" t="s">
        <v>1493</v>
      </c>
      <c r="C270" s="7" t="s">
        <v>1494</v>
      </c>
      <c r="D270" s="7" t="s">
        <v>1495</v>
      </c>
      <c r="E270" s="7"/>
      <c r="F270" s="7"/>
      <c r="G270" s="7" t="s">
        <v>1496</v>
      </c>
      <c r="H270" s="7" t="s">
        <v>1497</v>
      </c>
      <c r="I270" s="2" t="s">
        <v>71</v>
      </c>
      <c r="J270" s="2" t="s">
        <v>61</v>
      </c>
      <c r="K270" s="2" t="s">
        <v>1498</v>
      </c>
      <c r="L270" s="2" t="s">
        <v>79</v>
      </c>
      <c r="M270" s="19">
        <f t="shared" si="4"/>
        <v>4</v>
      </c>
      <c r="N270" s="2" t="s">
        <v>1499</v>
      </c>
      <c r="O270" s="2" t="s">
        <v>1500</v>
      </c>
      <c r="P270" s="2" t="s">
        <v>130</v>
      </c>
      <c r="Q270" s="2" t="s">
        <v>147</v>
      </c>
      <c r="R270" s="2" t="s">
        <v>1501</v>
      </c>
      <c r="S270" s="2" t="s">
        <v>1502</v>
      </c>
      <c r="T270" s="2" t="s">
        <v>37</v>
      </c>
      <c r="U270" s="2"/>
      <c r="V270" s="2">
        <v>3</v>
      </c>
      <c r="W270" s="2"/>
    </row>
    <row r="271" spans="1:23" ht="34" customHeight="1">
      <c r="A271" s="2" t="s">
        <v>1272</v>
      </c>
      <c r="B271" s="2" t="s">
        <v>1503</v>
      </c>
      <c r="C271" s="4">
        <v>0.3</v>
      </c>
      <c r="D271" s="4">
        <v>0.1</v>
      </c>
      <c r="E271" s="7"/>
      <c r="F271" s="7"/>
      <c r="G271" s="7" t="s">
        <v>1504</v>
      </c>
      <c r="H271" s="7" t="s">
        <v>48</v>
      </c>
      <c r="I271" s="2" t="s">
        <v>1486</v>
      </c>
      <c r="J271" s="2" t="s">
        <v>61</v>
      </c>
      <c r="K271" s="2" t="s">
        <v>1380</v>
      </c>
      <c r="L271" s="2" t="s">
        <v>32</v>
      </c>
      <c r="M271" s="19">
        <f t="shared" si="4"/>
        <v>4</v>
      </c>
      <c r="N271" s="2" t="s">
        <v>1505</v>
      </c>
      <c r="O271" s="2" t="s">
        <v>1506</v>
      </c>
      <c r="P271" s="2" t="s">
        <v>35</v>
      </c>
      <c r="Q271" s="2" t="s">
        <v>147</v>
      </c>
      <c r="R271" s="2" t="s">
        <v>1383</v>
      </c>
      <c r="S271" s="2"/>
      <c r="T271" s="2" t="s">
        <v>37</v>
      </c>
      <c r="U271" s="2"/>
      <c r="V271" s="2">
        <v>3</v>
      </c>
      <c r="W271" s="2"/>
    </row>
    <row r="272" spans="1:23" ht="34" customHeight="1">
      <c r="A272" s="2" t="s">
        <v>1272</v>
      </c>
      <c r="B272" s="2" t="s">
        <v>1507</v>
      </c>
      <c r="C272" s="5">
        <v>0.64</v>
      </c>
      <c r="D272" s="8">
        <v>0.16500000000000001</v>
      </c>
      <c r="E272" s="7"/>
      <c r="F272" s="7"/>
      <c r="G272" s="7" t="s">
        <v>1508</v>
      </c>
      <c r="H272" s="7" t="s">
        <v>705</v>
      </c>
      <c r="I272" s="2" t="s">
        <v>29</v>
      </c>
      <c r="J272" s="2" t="s">
        <v>50</v>
      </c>
      <c r="K272" s="2" t="s">
        <v>1509</v>
      </c>
      <c r="L272" s="2" t="s">
        <v>32</v>
      </c>
      <c r="M272" s="19">
        <f t="shared" si="4"/>
        <v>4</v>
      </c>
      <c r="N272" s="2" t="s">
        <v>1510</v>
      </c>
      <c r="O272" s="2" t="s">
        <v>1511</v>
      </c>
      <c r="P272" s="2" t="s">
        <v>45</v>
      </c>
      <c r="Q272" s="2" t="s">
        <v>147</v>
      </c>
      <c r="R272" s="2" t="s">
        <v>1512</v>
      </c>
      <c r="S272" s="2" t="s">
        <v>1513</v>
      </c>
      <c r="T272" s="2" t="s">
        <v>37</v>
      </c>
      <c r="U272" s="2"/>
      <c r="V272" s="2">
        <v>3</v>
      </c>
      <c r="W272" s="2"/>
    </row>
    <row r="273" spans="1:23" ht="37" customHeight="1">
      <c r="A273" s="2" t="s">
        <v>1272</v>
      </c>
      <c r="B273" s="2" t="s">
        <v>1514</v>
      </c>
      <c r="C273" s="5">
        <v>0.85</v>
      </c>
      <c r="D273" s="5">
        <v>0.67</v>
      </c>
      <c r="E273" s="7" t="s">
        <v>1515</v>
      </c>
      <c r="F273" s="7" t="s">
        <v>1516</v>
      </c>
      <c r="G273" s="7" t="s">
        <v>1517</v>
      </c>
      <c r="H273" s="7" t="s">
        <v>243</v>
      </c>
      <c r="I273" s="2" t="s">
        <v>71</v>
      </c>
      <c r="J273" s="2" t="s">
        <v>61</v>
      </c>
      <c r="K273" s="2" t="s">
        <v>1518</v>
      </c>
      <c r="L273" s="2" t="s">
        <v>79</v>
      </c>
      <c r="M273" s="19">
        <f t="shared" si="4"/>
        <v>6</v>
      </c>
      <c r="N273" s="2" t="s">
        <v>1519</v>
      </c>
      <c r="O273" s="2" t="s">
        <v>1520</v>
      </c>
      <c r="P273" s="2" t="s">
        <v>35</v>
      </c>
      <c r="Q273" s="2"/>
      <c r="R273" s="2" t="s">
        <v>1373</v>
      </c>
      <c r="S273" s="2" t="s">
        <v>1521</v>
      </c>
      <c r="T273" s="2" t="s">
        <v>37</v>
      </c>
      <c r="U273" s="2"/>
      <c r="V273" s="2">
        <v>5</v>
      </c>
      <c r="W273" s="2"/>
    </row>
    <row r="274" spans="1:23" ht="34" customHeight="1">
      <c r="A274" s="2" t="s">
        <v>1272</v>
      </c>
      <c r="B274" s="2" t="s">
        <v>1522</v>
      </c>
      <c r="C274" s="5">
        <v>0.94</v>
      </c>
      <c r="D274" s="5">
        <v>0.55000000000000004</v>
      </c>
      <c r="E274" s="5">
        <v>2.75</v>
      </c>
      <c r="F274" s="4">
        <v>0.5</v>
      </c>
      <c r="G274" s="6">
        <v>2</v>
      </c>
      <c r="H274" s="6" t="s">
        <v>117</v>
      </c>
      <c r="I274" s="2" t="s">
        <v>1523</v>
      </c>
      <c r="J274" s="2" t="s">
        <v>61</v>
      </c>
      <c r="K274" s="2" t="s">
        <v>1524</v>
      </c>
      <c r="L274" s="2" t="s">
        <v>79</v>
      </c>
      <c r="M274" s="19">
        <f t="shared" si="4"/>
        <v>6</v>
      </c>
      <c r="N274" s="2" t="s">
        <v>1525</v>
      </c>
      <c r="O274" s="2" t="s">
        <v>1526</v>
      </c>
      <c r="P274" s="2" t="s">
        <v>45</v>
      </c>
      <c r="Q274" s="2"/>
      <c r="R274" s="2" t="s">
        <v>1373</v>
      </c>
      <c r="S274" s="2" t="s">
        <v>1527</v>
      </c>
      <c r="T274" s="2" t="s">
        <v>37</v>
      </c>
      <c r="U274" s="2"/>
      <c r="V274" s="2">
        <v>5</v>
      </c>
      <c r="W274" s="2"/>
    </row>
    <row r="275" spans="1:23" ht="34" customHeight="1">
      <c r="A275" s="2" t="s">
        <v>1272</v>
      </c>
      <c r="B275" s="2" t="s">
        <v>1528</v>
      </c>
      <c r="C275" s="4">
        <v>0.8</v>
      </c>
      <c r="D275" s="5">
        <v>0.23</v>
      </c>
      <c r="E275" s="7"/>
      <c r="F275" s="7"/>
      <c r="G275" s="5">
        <v>0.34</v>
      </c>
      <c r="H275" s="5" t="s">
        <v>114</v>
      </c>
      <c r="I275" s="2" t="s">
        <v>29</v>
      </c>
      <c r="J275" s="2" t="s">
        <v>50</v>
      </c>
      <c r="K275" s="2" t="s">
        <v>1370</v>
      </c>
      <c r="L275" s="2" t="s">
        <v>32</v>
      </c>
      <c r="M275" s="19">
        <f t="shared" si="4"/>
        <v>4</v>
      </c>
      <c r="N275" s="2" t="s">
        <v>1371</v>
      </c>
      <c r="O275" s="2" t="s">
        <v>1529</v>
      </c>
      <c r="P275" s="2" t="s">
        <v>45</v>
      </c>
      <c r="Q275" s="2" t="s">
        <v>147</v>
      </c>
      <c r="R275" s="2" t="s">
        <v>1467</v>
      </c>
      <c r="S275" s="2"/>
      <c r="T275" s="2" t="s">
        <v>37</v>
      </c>
      <c r="U275" s="2"/>
      <c r="V275" s="2">
        <v>3</v>
      </c>
      <c r="W275" s="2"/>
    </row>
    <row r="276" spans="1:23" ht="34" customHeight="1">
      <c r="A276" s="2" t="s">
        <v>1272</v>
      </c>
      <c r="B276" s="2" t="s">
        <v>1530</v>
      </c>
      <c r="C276" s="5">
        <v>1.45</v>
      </c>
      <c r="D276" s="4">
        <v>0.3</v>
      </c>
      <c r="E276" s="7"/>
      <c r="F276" s="7"/>
      <c r="G276" s="7"/>
      <c r="H276" s="7" t="s">
        <v>1531</v>
      </c>
      <c r="I276" s="2" t="s">
        <v>71</v>
      </c>
      <c r="J276" s="2" t="s">
        <v>50</v>
      </c>
      <c r="K276" s="2" t="s">
        <v>1389</v>
      </c>
      <c r="L276" s="2" t="s">
        <v>32</v>
      </c>
      <c r="M276" s="19">
        <f t="shared" si="4"/>
        <v>3</v>
      </c>
      <c r="N276" s="2" t="s">
        <v>1532</v>
      </c>
      <c r="O276" s="2" t="s">
        <v>1533</v>
      </c>
      <c r="P276" s="2" t="s">
        <v>35</v>
      </c>
      <c r="Q276" s="2" t="s">
        <v>141</v>
      </c>
      <c r="R276" s="2" t="s">
        <v>1373</v>
      </c>
      <c r="S276" s="2" t="s">
        <v>1534</v>
      </c>
      <c r="T276" s="2" t="s">
        <v>37</v>
      </c>
      <c r="U276" s="2"/>
      <c r="V276" s="2">
        <v>2</v>
      </c>
      <c r="W276" s="2"/>
    </row>
    <row r="277" spans="1:23" ht="34" customHeight="1">
      <c r="A277" s="2" t="s">
        <v>1272</v>
      </c>
      <c r="B277" s="2" t="s">
        <v>1535</v>
      </c>
      <c r="C277" s="5">
        <v>1.65</v>
      </c>
      <c r="D277" s="5">
        <v>0.28000000000000003</v>
      </c>
      <c r="E277" s="4">
        <v>1.7</v>
      </c>
      <c r="F277" s="4">
        <v>0.7</v>
      </c>
      <c r="G277" s="5">
        <v>0.34</v>
      </c>
      <c r="H277" s="5" t="s">
        <v>48</v>
      </c>
      <c r="I277" s="2" t="s">
        <v>1536</v>
      </c>
      <c r="J277" s="2" t="s">
        <v>50</v>
      </c>
      <c r="K277" s="2" t="s">
        <v>1389</v>
      </c>
      <c r="L277" s="2" t="s">
        <v>32</v>
      </c>
      <c r="M277" s="19">
        <f t="shared" si="4"/>
        <v>6</v>
      </c>
      <c r="N277" s="2" t="s">
        <v>1537</v>
      </c>
      <c r="O277" s="2" t="s">
        <v>1538</v>
      </c>
      <c r="P277" s="2" t="s">
        <v>45</v>
      </c>
      <c r="Q277" s="2"/>
      <c r="R277" s="2" t="s">
        <v>1373</v>
      </c>
      <c r="S277" s="2" t="s">
        <v>1539</v>
      </c>
      <c r="T277" s="2" t="s">
        <v>37</v>
      </c>
      <c r="U277" s="2"/>
      <c r="V277" s="2">
        <v>5</v>
      </c>
      <c r="W277" s="2"/>
    </row>
    <row r="278" spans="1:23" ht="37" customHeight="1">
      <c r="A278" s="2" t="s">
        <v>1272</v>
      </c>
      <c r="B278" s="2" t="s">
        <v>1540</v>
      </c>
      <c r="C278" s="5">
        <v>1.45</v>
      </c>
      <c r="D278" s="5">
        <v>0.45</v>
      </c>
      <c r="E278" s="12">
        <v>1</v>
      </c>
      <c r="F278" s="12">
        <v>0</v>
      </c>
      <c r="G278" s="4">
        <v>0.5</v>
      </c>
      <c r="H278" s="4" t="s">
        <v>114</v>
      </c>
      <c r="I278" s="2" t="s">
        <v>1541</v>
      </c>
      <c r="J278" s="2" t="s">
        <v>50</v>
      </c>
      <c r="K278" s="2" t="s">
        <v>1389</v>
      </c>
      <c r="L278" s="2" t="s">
        <v>32</v>
      </c>
      <c r="M278" s="19">
        <f t="shared" si="4"/>
        <v>6</v>
      </c>
      <c r="N278" s="2" t="s">
        <v>1542</v>
      </c>
      <c r="O278" s="2" t="s">
        <v>1543</v>
      </c>
      <c r="P278" s="2" t="s">
        <v>190</v>
      </c>
      <c r="Q278" s="2"/>
      <c r="R278" s="2" t="s">
        <v>1373</v>
      </c>
      <c r="S278" s="2" t="s">
        <v>1544</v>
      </c>
      <c r="T278" s="2" t="s">
        <v>37</v>
      </c>
      <c r="U278" s="2" t="s">
        <v>147</v>
      </c>
      <c r="V278" s="2">
        <v>3</v>
      </c>
      <c r="W278" s="2" t="s">
        <v>1545</v>
      </c>
    </row>
    <row r="279" spans="1:23" ht="37" customHeight="1">
      <c r="A279" s="2" t="s">
        <v>1272</v>
      </c>
      <c r="B279" s="2" t="s">
        <v>1546</v>
      </c>
      <c r="C279" s="5">
        <v>0.35</v>
      </c>
      <c r="D279" s="5">
        <v>0.28999999999999998</v>
      </c>
      <c r="E279" s="4">
        <v>1.8</v>
      </c>
      <c r="F279" s="7"/>
      <c r="G279" s="5">
        <v>0.15</v>
      </c>
      <c r="H279" s="5" t="s">
        <v>1547</v>
      </c>
      <c r="I279" s="2" t="s">
        <v>180</v>
      </c>
      <c r="J279" s="2" t="s">
        <v>61</v>
      </c>
      <c r="K279" s="2" t="s">
        <v>1548</v>
      </c>
      <c r="L279" s="2" t="s">
        <v>79</v>
      </c>
      <c r="M279" s="19">
        <f t="shared" si="4"/>
        <v>5</v>
      </c>
      <c r="N279" s="2" t="s">
        <v>1549</v>
      </c>
      <c r="O279" s="2" t="s">
        <v>1550</v>
      </c>
      <c r="P279" s="2" t="s">
        <v>45</v>
      </c>
      <c r="Q279" s="2" t="s">
        <v>65</v>
      </c>
      <c r="R279" s="2" t="s">
        <v>1501</v>
      </c>
      <c r="S279" s="2" t="s">
        <v>1551</v>
      </c>
      <c r="T279" s="2" t="s">
        <v>37</v>
      </c>
      <c r="U279" s="2"/>
      <c r="V279" s="2">
        <v>4</v>
      </c>
      <c r="W279" s="2"/>
    </row>
    <row r="280" spans="1:23" ht="34" customHeight="1">
      <c r="A280" s="2" t="s">
        <v>1272</v>
      </c>
      <c r="B280" s="2" t="s">
        <v>1552</v>
      </c>
      <c r="C280" s="5">
        <v>0.45</v>
      </c>
      <c r="D280" s="7"/>
      <c r="E280" s="7"/>
      <c r="F280" s="7"/>
      <c r="G280" s="7" t="s">
        <v>1553</v>
      </c>
      <c r="H280" s="7" t="s">
        <v>1554</v>
      </c>
      <c r="I280" s="2" t="s">
        <v>71</v>
      </c>
      <c r="J280" s="2" t="s">
        <v>94</v>
      </c>
      <c r="K280" s="2" t="s">
        <v>199</v>
      </c>
      <c r="L280" s="2" t="s">
        <v>79</v>
      </c>
      <c r="M280" s="19">
        <f t="shared" si="4"/>
        <v>3</v>
      </c>
      <c r="N280" s="2" t="s">
        <v>1555</v>
      </c>
      <c r="O280" s="2" t="s">
        <v>1556</v>
      </c>
      <c r="P280" s="2" t="s">
        <v>35</v>
      </c>
      <c r="Q280" s="2" t="s">
        <v>1410</v>
      </c>
      <c r="R280" s="2" t="s">
        <v>1501</v>
      </c>
      <c r="S280" s="2" t="s">
        <v>1557</v>
      </c>
      <c r="T280" s="2" t="s">
        <v>37</v>
      </c>
      <c r="U280" s="2"/>
      <c r="V280" s="2">
        <v>2</v>
      </c>
      <c r="W280" s="2"/>
    </row>
    <row r="281" spans="1:23" ht="34" customHeight="1">
      <c r="A281" s="2" t="s">
        <v>1272</v>
      </c>
      <c r="B281" s="2" t="s">
        <v>1558</v>
      </c>
      <c r="C281" s="5">
        <v>0.93</v>
      </c>
      <c r="D281" s="5">
        <v>0.25</v>
      </c>
      <c r="E281" s="7"/>
      <c r="F281" s="7"/>
      <c r="G281" s="5">
        <v>7.0000000000000007E-2</v>
      </c>
      <c r="H281" s="5" t="s">
        <v>117</v>
      </c>
      <c r="I281" s="2" t="s">
        <v>316</v>
      </c>
      <c r="J281" s="2" t="s">
        <v>50</v>
      </c>
      <c r="K281" s="2" t="s">
        <v>1389</v>
      </c>
      <c r="L281" s="2" t="s">
        <v>32</v>
      </c>
      <c r="M281" s="19">
        <f t="shared" si="4"/>
        <v>4</v>
      </c>
      <c r="N281" s="2" t="s">
        <v>1559</v>
      </c>
      <c r="O281" s="2" t="s">
        <v>1560</v>
      </c>
      <c r="P281" s="2" t="s">
        <v>35</v>
      </c>
      <c r="Q281" s="2" t="s">
        <v>147</v>
      </c>
      <c r="R281" s="2" t="s">
        <v>1501</v>
      </c>
      <c r="S281" s="2"/>
      <c r="T281" s="2" t="s">
        <v>37</v>
      </c>
      <c r="U281" s="2"/>
      <c r="V281" s="2">
        <v>3</v>
      </c>
      <c r="W281" s="2"/>
    </row>
    <row r="282" spans="1:23" ht="37" customHeight="1">
      <c r="A282" s="2" t="s">
        <v>1272</v>
      </c>
      <c r="B282" s="2" t="s">
        <v>1561</v>
      </c>
      <c r="C282" s="8">
        <v>0.53300000000000003</v>
      </c>
      <c r="D282" s="5">
        <v>0.15</v>
      </c>
      <c r="E282" s="12">
        <v>1</v>
      </c>
      <c r="F282" s="12">
        <v>0</v>
      </c>
      <c r="G282" s="5">
        <v>0.06</v>
      </c>
      <c r="H282" s="5" t="s">
        <v>219</v>
      </c>
      <c r="I282" s="2" t="s">
        <v>1562</v>
      </c>
      <c r="J282" s="2" t="s">
        <v>50</v>
      </c>
      <c r="K282" s="2" t="s">
        <v>1563</v>
      </c>
      <c r="L282" s="2" t="s">
        <v>32</v>
      </c>
      <c r="M282" s="19">
        <f t="shared" si="4"/>
        <v>6</v>
      </c>
      <c r="N282" s="2" t="s">
        <v>1564</v>
      </c>
      <c r="O282" s="2" t="s">
        <v>1565</v>
      </c>
      <c r="P282" s="2" t="s">
        <v>35</v>
      </c>
      <c r="Q282" s="2"/>
      <c r="R282" s="2" t="s">
        <v>1566</v>
      </c>
      <c r="S282" s="2" t="s">
        <v>1567</v>
      </c>
      <c r="T282" s="2" t="s">
        <v>37</v>
      </c>
      <c r="U282" s="2" t="s">
        <v>147</v>
      </c>
      <c r="V282" s="2">
        <v>3</v>
      </c>
      <c r="W282" s="2" t="s">
        <v>1568</v>
      </c>
    </row>
    <row r="283" spans="1:23" ht="34" customHeight="1">
      <c r="A283" s="2" t="s">
        <v>1272</v>
      </c>
      <c r="B283" s="2" t="s">
        <v>1569</v>
      </c>
      <c r="C283" s="4">
        <v>1.3</v>
      </c>
      <c r="D283" s="5">
        <v>0.45</v>
      </c>
      <c r="E283" s="7"/>
      <c r="F283" s="7"/>
      <c r="G283" s="4">
        <v>1.4</v>
      </c>
      <c r="H283" s="4" t="s">
        <v>426</v>
      </c>
      <c r="I283" s="2" t="s">
        <v>29</v>
      </c>
      <c r="J283" s="2" t="s">
        <v>50</v>
      </c>
      <c r="K283" s="2" t="s">
        <v>1370</v>
      </c>
      <c r="L283" s="2" t="s">
        <v>32</v>
      </c>
      <c r="M283" s="19">
        <f t="shared" si="4"/>
        <v>4</v>
      </c>
      <c r="N283" s="2" t="s">
        <v>1371</v>
      </c>
      <c r="O283" s="2" t="s">
        <v>1570</v>
      </c>
      <c r="P283" s="2" t="s">
        <v>45</v>
      </c>
      <c r="Q283" s="2" t="s">
        <v>147</v>
      </c>
      <c r="R283" s="2" t="s">
        <v>1373</v>
      </c>
      <c r="S283" s="2"/>
      <c r="T283" s="2" t="s">
        <v>37</v>
      </c>
      <c r="U283" s="2"/>
      <c r="V283" s="2">
        <v>3</v>
      </c>
      <c r="W283" s="2"/>
    </row>
    <row r="284" spans="1:23" ht="37" customHeight="1">
      <c r="A284" s="2" t="s">
        <v>1272</v>
      </c>
      <c r="B284" s="2" t="s">
        <v>1571</v>
      </c>
      <c r="C284" s="5">
        <v>0.57999999999999996</v>
      </c>
      <c r="D284" s="7"/>
      <c r="E284" s="7"/>
      <c r="F284" s="7"/>
      <c r="G284" s="7"/>
      <c r="H284" s="7"/>
      <c r="I284" s="2" t="s">
        <v>1572</v>
      </c>
      <c r="J284" s="2" t="s">
        <v>50</v>
      </c>
      <c r="K284" s="2" t="s">
        <v>1389</v>
      </c>
      <c r="L284" s="2" t="s">
        <v>32</v>
      </c>
      <c r="M284" s="19">
        <f t="shared" si="4"/>
        <v>1</v>
      </c>
      <c r="N284" s="2" t="s">
        <v>1573</v>
      </c>
      <c r="O284" s="2" t="s">
        <v>1574</v>
      </c>
      <c r="P284" s="2" t="s">
        <v>35</v>
      </c>
      <c r="Q284" s="2" t="s">
        <v>131</v>
      </c>
      <c r="R284" s="2" t="s">
        <v>1575</v>
      </c>
      <c r="S284" s="2"/>
      <c r="T284" s="2" t="s">
        <v>37</v>
      </c>
      <c r="U284" s="2"/>
      <c r="V284" s="2">
        <v>1</v>
      </c>
      <c r="W284" s="2"/>
    </row>
    <row r="285" spans="1:23" ht="34" customHeight="1">
      <c r="A285" s="2" t="s">
        <v>1272</v>
      </c>
      <c r="B285" s="2" t="s">
        <v>1576</v>
      </c>
      <c r="C285" s="5">
        <v>1.85</v>
      </c>
      <c r="D285" s="5">
        <v>0.56999999999999995</v>
      </c>
      <c r="E285" s="5">
        <v>1.97</v>
      </c>
      <c r="F285" s="5">
        <v>0.54</v>
      </c>
      <c r="G285" s="4">
        <v>8.6999999999999993</v>
      </c>
      <c r="H285" s="4" t="s">
        <v>1577</v>
      </c>
      <c r="I285" s="2" t="s">
        <v>29</v>
      </c>
      <c r="J285" s="2" t="s">
        <v>30</v>
      </c>
      <c r="K285" s="2" t="s">
        <v>1578</v>
      </c>
      <c r="L285" s="2" t="s">
        <v>32</v>
      </c>
      <c r="M285" s="19">
        <f t="shared" si="4"/>
        <v>6</v>
      </c>
      <c r="N285" s="2" t="s">
        <v>1579</v>
      </c>
      <c r="O285" s="2" t="s">
        <v>1580</v>
      </c>
      <c r="P285" s="2" t="s">
        <v>45</v>
      </c>
      <c r="Q285" s="2"/>
      <c r="R285" s="2" t="s">
        <v>1581</v>
      </c>
      <c r="S285" s="2"/>
      <c r="T285" s="2" t="s">
        <v>37</v>
      </c>
      <c r="U285" s="2"/>
      <c r="V285" s="2">
        <v>5</v>
      </c>
      <c r="W285" s="2"/>
    </row>
    <row r="286" spans="1:23" ht="37" customHeight="1">
      <c r="A286" s="2" t="s">
        <v>1272</v>
      </c>
      <c r="B286" s="2" t="s">
        <v>1582</v>
      </c>
      <c r="C286" s="6">
        <v>7</v>
      </c>
      <c r="D286" s="16">
        <v>1.944444444444444</v>
      </c>
      <c r="E286" s="4">
        <v>1.6</v>
      </c>
      <c r="F286" s="4">
        <v>0.5</v>
      </c>
      <c r="G286" s="4">
        <v>10.1</v>
      </c>
      <c r="H286" s="4" t="s">
        <v>226</v>
      </c>
      <c r="I286" s="2" t="s">
        <v>1583</v>
      </c>
      <c r="J286" s="2" t="s">
        <v>41</v>
      </c>
      <c r="K286" s="2" t="s">
        <v>1464</v>
      </c>
      <c r="L286" s="2" t="s">
        <v>32</v>
      </c>
      <c r="M286" s="19">
        <f t="shared" si="4"/>
        <v>6</v>
      </c>
      <c r="N286" s="2" t="s">
        <v>1584</v>
      </c>
      <c r="O286" s="2" t="s">
        <v>1585</v>
      </c>
      <c r="P286" s="2" t="s">
        <v>45</v>
      </c>
      <c r="Q286" s="2"/>
      <c r="R286" s="2" t="s">
        <v>1586</v>
      </c>
      <c r="S286" s="2"/>
      <c r="T286" s="2" t="s">
        <v>37</v>
      </c>
      <c r="U286" s="2" t="s">
        <v>254</v>
      </c>
      <c r="V286" s="2">
        <v>4</v>
      </c>
      <c r="W286" s="2" t="s">
        <v>1587</v>
      </c>
    </row>
    <row r="287" spans="1:23" ht="37" customHeight="1">
      <c r="A287" s="2" t="s">
        <v>1272</v>
      </c>
      <c r="B287" s="2" t="s">
        <v>1588</v>
      </c>
      <c r="C287" s="7"/>
      <c r="D287" s="7"/>
      <c r="E287" s="7"/>
      <c r="F287" s="7"/>
      <c r="G287" s="7"/>
      <c r="H287" s="7" t="s">
        <v>117</v>
      </c>
      <c r="I287" s="2" t="s">
        <v>49</v>
      </c>
      <c r="J287" s="2" t="s">
        <v>61</v>
      </c>
      <c r="K287" s="2" t="s">
        <v>1589</v>
      </c>
      <c r="L287" s="2" t="s">
        <v>32</v>
      </c>
      <c r="M287" s="19">
        <f t="shared" si="4"/>
        <v>1</v>
      </c>
      <c r="N287" s="2" t="s">
        <v>1590</v>
      </c>
      <c r="O287" s="2" t="s">
        <v>1591</v>
      </c>
      <c r="P287" s="2" t="s">
        <v>190</v>
      </c>
      <c r="Q287" s="2" t="s">
        <v>55</v>
      </c>
      <c r="R287" s="2" t="s">
        <v>1592</v>
      </c>
      <c r="S287" s="2" t="s">
        <v>1593</v>
      </c>
      <c r="T287" s="2" t="s">
        <v>37</v>
      </c>
      <c r="U287" s="2"/>
      <c r="V287" s="2">
        <v>0</v>
      </c>
      <c r="W287" s="2"/>
    </row>
    <row r="288" spans="1:23" ht="34" customHeight="1">
      <c r="A288" s="2" t="s">
        <v>1272</v>
      </c>
      <c r="B288" s="2" t="s">
        <v>1594</v>
      </c>
      <c r="C288" s="5">
        <v>1.0900000000000001</v>
      </c>
      <c r="D288" s="5">
        <v>0.13</v>
      </c>
      <c r="E288" s="7"/>
      <c r="F288" s="7"/>
      <c r="G288" s="5">
        <v>0.13</v>
      </c>
      <c r="H288" s="5" t="s">
        <v>1595</v>
      </c>
      <c r="I288" s="2" t="s">
        <v>29</v>
      </c>
      <c r="J288" s="2" t="s">
        <v>61</v>
      </c>
      <c r="K288" s="2" t="s">
        <v>1596</v>
      </c>
      <c r="L288" s="2" t="s">
        <v>32</v>
      </c>
      <c r="M288" s="19">
        <f t="shared" si="4"/>
        <v>4</v>
      </c>
      <c r="N288" s="2" t="s">
        <v>1597</v>
      </c>
      <c r="O288" s="2" t="s">
        <v>1598</v>
      </c>
      <c r="P288" s="2" t="s">
        <v>45</v>
      </c>
      <c r="Q288" s="2" t="s">
        <v>147</v>
      </c>
      <c r="R288" s="2" t="s">
        <v>1373</v>
      </c>
      <c r="S288" s="2"/>
      <c r="T288" s="2" t="s">
        <v>37</v>
      </c>
      <c r="U288" s="2"/>
      <c r="V288" s="2">
        <v>3</v>
      </c>
      <c r="W288" s="2"/>
    </row>
    <row r="289" spans="1:23" ht="34" customHeight="1">
      <c r="A289" s="2" t="s">
        <v>1272</v>
      </c>
      <c r="B289" s="2" t="s">
        <v>1599</v>
      </c>
      <c r="C289" s="4">
        <v>0.6</v>
      </c>
      <c r="D289" s="4">
        <v>0.1</v>
      </c>
      <c r="E289" s="7"/>
      <c r="F289" s="7"/>
      <c r="G289" s="5">
        <v>0.09</v>
      </c>
      <c r="H289" s="5" t="s">
        <v>662</v>
      </c>
      <c r="I289" s="2" t="s">
        <v>29</v>
      </c>
      <c r="J289" s="2" t="s">
        <v>50</v>
      </c>
      <c r="K289" s="2" t="s">
        <v>1370</v>
      </c>
      <c r="L289" s="2" t="s">
        <v>32</v>
      </c>
      <c r="M289" s="19">
        <f t="shared" si="4"/>
        <v>4</v>
      </c>
      <c r="N289" s="2" t="s">
        <v>1371</v>
      </c>
      <c r="O289" s="2" t="s">
        <v>1600</v>
      </c>
      <c r="P289" s="2" t="s">
        <v>45</v>
      </c>
      <c r="Q289" s="2" t="s">
        <v>147</v>
      </c>
      <c r="R289" s="2" t="s">
        <v>1601</v>
      </c>
      <c r="S289" s="2"/>
      <c r="T289" s="2" t="s">
        <v>37</v>
      </c>
      <c r="U289" s="2"/>
      <c r="V289" s="2">
        <v>3</v>
      </c>
      <c r="W289" s="2"/>
    </row>
    <row r="290" spans="1:23" ht="34" customHeight="1">
      <c r="A290" s="2" t="s">
        <v>1272</v>
      </c>
      <c r="B290" s="2" t="s">
        <v>1602</v>
      </c>
      <c r="C290" s="5">
        <v>1.05</v>
      </c>
      <c r="D290" s="5">
        <v>0.27</v>
      </c>
      <c r="E290" s="7"/>
      <c r="F290" s="7"/>
      <c r="G290" s="4">
        <v>0.2</v>
      </c>
      <c r="H290" s="4" t="s">
        <v>157</v>
      </c>
      <c r="I290" s="2" t="s">
        <v>316</v>
      </c>
      <c r="J290" s="2" t="s">
        <v>50</v>
      </c>
      <c r="K290" s="2" t="s">
        <v>1389</v>
      </c>
      <c r="L290" s="2" t="s">
        <v>32</v>
      </c>
      <c r="M290" s="19">
        <f t="shared" si="4"/>
        <v>4</v>
      </c>
      <c r="N290" s="2" t="s">
        <v>1603</v>
      </c>
      <c r="O290" s="2" t="s">
        <v>1604</v>
      </c>
      <c r="P290" s="2" t="s">
        <v>45</v>
      </c>
      <c r="Q290" s="2" t="s">
        <v>147</v>
      </c>
      <c r="R290" s="2" t="s">
        <v>1566</v>
      </c>
      <c r="S290" s="2" t="s">
        <v>1605</v>
      </c>
      <c r="T290" s="2" t="s">
        <v>37</v>
      </c>
      <c r="U290" s="2"/>
      <c r="V290" s="2">
        <v>3</v>
      </c>
      <c r="W290" s="2"/>
    </row>
    <row r="291" spans="1:23" ht="34" customHeight="1">
      <c r="A291" s="2" t="s">
        <v>1272</v>
      </c>
      <c r="B291" s="2" t="s">
        <v>1606</v>
      </c>
      <c r="C291" s="8">
        <v>2.524</v>
      </c>
      <c r="D291" s="9">
        <v>0.87260000000000004</v>
      </c>
      <c r="E291" s="5">
        <v>1.02</v>
      </c>
      <c r="F291" s="10">
        <v>2.1160000000000002E-2</v>
      </c>
      <c r="G291" s="8">
        <v>2.6680000000000001</v>
      </c>
      <c r="H291" s="8" t="s">
        <v>1607</v>
      </c>
      <c r="I291" s="2" t="s">
        <v>1608</v>
      </c>
      <c r="J291" s="2" t="s">
        <v>61</v>
      </c>
      <c r="K291" s="2" t="s">
        <v>1609</v>
      </c>
      <c r="L291" s="2" t="s">
        <v>32</v>
      </c>
      <c r="M291" s="19">
        <f t="shared" si="4"/>
        <v>6</v>
      </c>
      <c r="N291" s="2" t="s">
        <v>1610</v>
      </c>
      <c r="O291" s="2" t="s">
        <v>1611</v>
      </c>
      <c r="P291" s="2" t="s">
        <v>45</v>
      </c>
      <c r="Q291" s="2"/>
      <c r="R291" s="2" t="s">
        <v>1373</v>
      </c>
      <c r="S291" s="2" t="s">
        <v>1612</v>
      </c>
      <c r="T291" s="2" t="s">
        <v>37</v>
      </c>
      <c r="U291" s="2"/>
      <c r="V291" s="2">
        <v>5</v>
      </c>
      <c r="W291" s="2"/>
    </row>
    <row r="292" spans="1:23" ht="34" customHeight="1">
      <c r="A292" s="2" t="s">
        <v>1272</v>
      </c>
      <c r="B292" s="2" t="s">
        <v>1613</v>
      </c>
      <c r="C292" s="4">
        <v>2.6</v>
      </c>
      <c r="D292" s="4">
        <v>0.9</v>
      </c>
      <c r="E292" s="6">
        <v>1</v>
      </c>
      <c r="F292" s="12">
        <v>0</v>
      </c>
      <c r="G292" s="6">
        <v>3</v>
      </c>
      <c r="H292" s="6" t="s">
        <v>1607</v>
      </c>
      <c r="I292" s="2" t="s">
        <v>1154</v>
      </c>
      <c r="J292" s="2" t="s">
        <v>61</v>
      </c>
      <c r="K292" s="2" t="s">
        <v>1609</v>
      </c>
      <c r="L292" s="2" t="s">
        <v>32</v>
      </c>
      <c r="M292" s="19">
        <f t="shared" si="4"/>
        <v>6</v>
      </c>
      <c r="N292" s="2" t="s">
        <v>1614</v>
      </c>
      <c r="O292" s="2" t="s">
        <v>1615</v>
      </c>
      <c r="P292" s="2" t="s">
        <v>45</v>
      </c>
      <c r="Q292" s="2"/>
      <c r="R292" s="2" t="s">
        <v>1373</v>
      </c>
      <c r="S292" s="2"/>
      <c r="T292" s="2" t="s">
        <v>37</v>
      </c>
      <c r="U292" s="2" t="s">
        <v>65</v>
      </c>
      <c r="V292" s="2">
        <v>4</v>
      </c>
      <c r="W292" s="2" t="s">
        <v>1616</v>
      </c>
    </row>
    <row r="293" spans="1:23" ht="34" customHeight="1">
      <c r="A293" s="2" t="s">
        <v>1272</v>
      </c>
      <c r="B293" s="2" t="s">
        <v>1617</v>
      </c>
      <c r="C293" s="4">
        <v>0.5</v>
      </c>
      <c r="D293" s="7" t="s">
        <v>1618</v>
      </c>
      <c r="E293" s="7"/>
      <c r="F293" s="7"/>
      <c r="G293" s="5">
        <v>0.03</v>
      </c>
      <c r="H293" s="5" t="s">
        <v>293</v>
      </c>
      <c r="I293" s="2" t="s">
        <v>71</v>
      </c>
      <c r="J293" s="2" t="s">
        <v>50</v>
      </c>
      <c r="K293" s="2" t="s">
        <v>1389</v>
      </c>
      <c r="L293" s="2" t="s">
        <v>32</v>
      </c>
      <c r="M293" s="19">
        <f t="shared" si="4"/>
        <v>4</v>
      </c>
      <c r="N293" s="2" t="s">
        <v>1619</v>
      </c>
      <c r="O293" s="2" t="s">
        <v>1620</v>
      </c>
      <c r="P293" s="2" t="s">
        <v>35</v>
      </c>
      <c r="Q293" s="2" t="s">
        <v>147</v>
      </c>
      <c r="R293" s="2" t="s">
        <v>1501</v>
      </c>
      <c r="S293" s="2"/>
      <c r="T293" s="2" t="s">
        <v>37</v>
      </c>
      <c r="U293" s="2"/>
      <c r="V293" s="2">
        <v>3</v>
      </c>
      <c r="W293" s="2"/>
    </row>
    <row r="294" spans="1:23" ht="34" customHeight="1">
      <c r="A294" s="2" t="s">
        <v>1272</v>
      </c>
      <c r="B294" s="2" t="s">
        <v>1621</v>
      </c>
      <c r="C294" s="5">
        <v>2.25</v>
      </c>
      <c r="D294" s="4">
        <v>0.5</v>
      </c>
      <c r="E294" s="6">
        <v>2</v>
      </c>
      <c r="F294" s="4">
        <v>0.8</v>
      </c>
      <c r="G294" s="6">
        <v>2</v>
      </c>
      <c r="H294" s="6" t="s">
        <v>426</v>
      </c>
      <c r="I294" s="2" t="s">
        <v>29</v>
      </c>
      <c r="J294" s="2" t="s">
        <v>41</v>
      </c>
      <c r="K294" s="2" t="s">
        <v>1622</v>
      </c>
      <c r="L294" s="2" t="s">
        <v>32</v>
      </c>
      <c r="M294" s="19">
        <f t="shared" si="4"/>
        <v>6</v>
      </c>
      <c r="N294" s="2" t="s">
        <v>1623</v>
      </c>
      <c r="O294" s="2" t="s">
        <v>1624</v>
      </c>
      <c r="P294" s="2" t="s">
        <v>45</v>
      </c>
      <c r="Q294" s="2"/>
      <c r="R294" s="2" t="s">
        <v>1625</v>
      </c>
      <c r="S294" s="2"/>
      <c r="T294" s="2" t="s">
        <v>37</v>
      </c>
      <c r="U294" s="2"/>
      <c r="V294" s="2">
        <v>5</v>
      </c>
      <c r="W294" s="2"/>
    </row>
    <row r="295" spans="1:23" ht="34" customHeight="1">
      <c r="A295" s="2" t="s">
        <v>1272</v>
      </c>
      <c r="B295" s="2" t="s">
        <v>1626</v>
      </c>
      <c r="C295" s="4">
        <v>0.4</v>
      </c>
      <c r="D295" s="5">
        <v>0.13</v>
      </c>
      <c r="E295" s="7"/>
      <c r="F295" s="7"/>
      <c r="G295" s="7" t="s">
        <v>1627</v>
      </c>
      <c r="H295" s="7" t="s">
        <v>117</v>
      </c>
      <c r="I295" s="2" t="s">
        <v>71</v>
      </c>
      <c r="J295" s="2" t="s">
        <v>50</v>
      </c>
      <c r="K295" s="2" t="s">
        <v>1628</v>
      </c>
      <c r="L295" s="2" t="s">
        <v>32</v>
      </c>
      <c r="M295" s="19">
        <f t="shared" si="4"/>
        <v>4</v>
      </c>
      <c r="N295" s="2" t="s">
        <v>1629</v>
      </c>
      <c r="O295" s="2" t="s">
        <v>1630</v>
      </c>
      <c r="P295" s="2" t="s">
        <v>35</v>
      </c>
      <c r="Q295" s="2" t="s">
        <v>147</v>
      </c>
      <c r="R295" s="2" t="s">
        <v>1575</v>
      </c>
      <c r="S295" s="2"/>
      <c r="T295" s="2" t="s">
        <v>37</v>
      </c>
      <c r="U295" s="2"/>
      <c r="V295" s="2">
        <v>3</v>
      </c>
      <c r="W295" s="2"/>
    </row>
    <row r="296" spans="1:23" ht="34" customHeight="1">
      <c r="A296" s="2" t="s">
        <v>1272</v>
      </c>
      <c r="B296" s="2" t="s">
        <v>1631</v>
      </c>
      <c r="C296" s="4">
        <v>1.2</v>
      </c>
      <c r="D296" s="4">
        <v>0.3</v>
      </c>
      <c r="E296" s="4">
        <v>1.7</v>
      </c>
      <c r="F296" s="4">
        <v>0.7</v>
      </c>
      <c r="G296" s="5">
        <v>1.85</v>
      </c>
      <c r="H296" s="5" t="s">
        <v>1632</v>
      </c>
      <c r="I296" s="2" t="s">
        <v>1633</v>
      </c>
      <c r="J296" s="2" t="s">
        <v>41</v>
      </c>
      <c r="K296" s="2" t="s">
        <v>1634</v>
      </c>
      <c r="L296" s="2" t="s">
        <v>32</v>
      </c>
      <c r="M296" s="19">
        <f t="shared" si="4"/>
        <v>6</v>
      </c>
      <c r="N296" s="2" t="s">
        <v>1635</v>
      </c>
      <c r="O296" s="2" t="s">
        <v>1636</v>
      </c>
      <c r="P296" s="2" t="s">
        <v>45</v>
      </c>
      <c r="Q296" s="2"/>
      <c r="R296" s="2" t="s">
        <v>1279</v>
      </c>
      <c r="S296" s="2"/>
      <c r="T296" s="2" t="s">
        <v>37</v>
      </c>
      <c r="U296" s="2"/>
      <c r="V296" s="2">
        <v>5</v>
      </c>
      <c r="W296" s="2"/>
    </row>
    <row r="297" spans="1:23" ht="34" customHeight="1">
      <c r="A297" s="2" t="s">
        <v>1637</v>
      </c>
      <c r="B297" s="2" t="s">
        <v>1638</v>
      </c>
      <c r="C297" s="5">
        <v>0.22</v>
      </c>
      <c r="D297" s="8">
        <v>3.5000000000000003E-2</v>
      </c>
      <c r="E297" s="7"/>
      <c r="F297" s="7"/>
      <c r="G297" s="8">
        <v>5.0000000000000001E-3</v>
      </c>
      <c r="H297" s="8" t="s">
        <v>117</v>
      </c>
      <c r="I297" s="2" t="s">
        <v>316</v>
      </c>
      <c r="J297" s="2" t="s">
        <v>50</v>
      </c>
      <c r="K297" s="2" t="s">
        <v>1639</v>
      </c>
      <c r="L297" s="2" t="s">
        <v>32</v>
      </c>
      <c r="M297" s="19">
        <f t="shared" si="4"/>
        <v>4</v>
      </c>
      <c r="N297" s="2" t="s">
        <v>1640</v>
      </c>
      <c r="O297" s="2" t="s">
        <v>1641</v>
      </c>
      <c r="P297" s="2" t="s">
        <v>190</v>
      </c>
      <c r="Q297" s="2" t="s">
        <v>147</v>
      </c>
      <c r="R297" s="2" t="s">
        <v>1642</v>
      </c>
      <c r="S297" s="2" t="s">
        <v>1643</v>
      </c>
      <c r="T297" s="2" t="s">
        <v>37</v>
      </c>
      <c r="U297" s="2"/>
      <c r="V297" s="2">
        <v>3</v>
      </c>
      <c r="W297" s="2"/>
    </row>
    <row r="298" spans="1:23" ht="37" customHeight="1">
      <c r="A298" s="2" t="s">
        <v>1637</v>
      </c>
      <c r="B298" s="2" t="s">
        <v>1644</v>
      </c>
      <c r="C298" s="5">
        <v>0.46</v>
      </c>
      <c r="D298" s="8">
        <v>0.125</v>
      </c>
      <c r="E298" s="6">
        <v>1</v>
      </c>
      <c r="F298" s="12">
        <v>0</v>
      </c>
      <c r="G298" s="7" t="s">
        <v>1645</v>
      </c>
      <c r="H298" s="7" t="s">
        <v>117</v>
      </c>
      <c r="I298" s="2" t="s">
        <v>1154</v>
      </c>
      <c r="J298" s="2" t="s">
        <v>94</v>
      </c>
      <c r="K298" s="2" t="s">
        <v>1441</v>
      </c>
      <c r="L298" s="2" t="s">
        <v>32</v>
      </c>
      <c r="M298" s="19">
        <f t="shared" si="4"/>
        <v>6</v>
      </c>
      <c r="N298" s="2" t="s">
        <v>1646</v>
      </c>
      <c r="O298" s="2" t="s">
        <v>1647</v>
      </c>
      <c r="P298" s="2" t="s">
        <v>35</v>
      </c>
      <c r="Q298" s="2"/>
      <c r="R298" s="2" t="s">
        <v>1642</v>
      </c>
      <c r="S298" s="2"/>
      <c r="T298" s="2" t="s">
        <v>37</v>
      </c>
      <c r="U298" s="2" t="s">
        <v>65</v>
      </c>
      <c r="V298" s="2">
        <v>4</v>
      </c>
      <c r="W298" s="2" t="s">
        <v>1648</v>
      </c>
    </row>
    <row r="299" spans="1:23" ht="34" customHeight="1">
      <c r="A299" s="2" t="s">
        <v>1637</v>
      </c>
      <c r="B299" s="2" t="s">
        <v>1649</v>
      </c>
      <c r="C299" s="5">
        <v>0.87</v>
      </c>
      <c r="D299" s="5">
        <v>0.25</v>
      </c>
      <c r="E299" s="7"/>
      <c r="F299" s="7"/>
      <c r="G299" s="4">
        <v>0.2</v>
      </c>
      <c r="H299" s="4" t="s">
        <v>883</v>
      </c>
      <c r="I299" s="2" t="s">
        <v>316</v>
      </c>
      <c r="J299" s="2" t="s">
        <v>61</v>
      </c>
      <c r="K299" s="2" t="s">
        <v>715</v>
      </c>
      <c r="L299" s="2" t="s">
        <v>32</v>
      </c>
      <c r="M299" s="19">
        <f t="shared" si="4"/>
        <v>4</v>
      </c>
      <c r="N299" s="2" t="s">
        <v>1650</v>
      </c>
      <c r="O299" s="2" t="s">
        <v>1651</v>
      </c>
      <c r="P299" s="2" t="s">
        <v>45</v>
      </c>
      <c r="Q299" s="2" t="s">
        <v>147</v>
      </c>
      <c r="R299" s="2" t="s">
        <v>1652</v>
      </c>
      <c r="S299" s="2"/>
      <c r="T299" s="2" t="s">
        <v>37</v>
      </c>
      <c r="U299" s="2"/>
      <c r="V299" s="2">
        <v>3</v>
      </c>
      <c r="W299" s="2"/>
    </row>
    <row r="300" spans="1:23" ht="34" customHeight="1">
      <c r="A300" s="2" t="s">
        <v>1653</v>
      </c>
      <c r="B300" s="2" t="s">
        <v>1654</v>
      </c>
      <c r="C300" s="5">
        <v>0.23</v>
      </c>
      <c r="D300" s="5">
        <v>0.06</v>
      </c>
      <c r="E300" s="6">
        <v>1</v>
      </c>
      <c r="F300" s="12">
        <v>0</v>
      </c>
      <c r="G300" s="7" t="s">
        <v>1655</v>
      </c>
      <c r="H300" s="7" t="s">
        <v>293</v>
      </c>
      <c r="I300" s="2" t="s">
        <v>920</v>
      </c>
      <c r="J300" s="2" t="s">
        <v>50</v>
      </c>
      <c r="K300" s="2" t="s">
        <v>62</v>
      </c>
      <c r="L300" s="2" t="s">
        <v>32</v>
      </c>
      <c r="M300" s="19">
        <f t="shared" si="4"/>
        <v>6</v>
      </c>
      <c r="N300" s="2" t="s">
        <v>1656</v>
      </c>
      <c r="O300" s="2" t="s">
        <v>1657</v>
      </c>
      <c r="P300" s="2" t="s">
        <v>190</v>
      </c>
      <c r="Q300" s="2"/>
      <c r="R300" s="2" t="s">
        <v>1658</v>
      </c>
      <c r="S300" s="2"/>
      <c r="T300" s="2" t="s">
        <v>37</v>
      </c>
      <c r="U300" s="2" t="s">
        <v>65</v>
      </c>
      <c r="V300" s="2">
        <v>4</v>
      </c>
      <c r="W300" s="2" t="s">
        <v>1659</v>
      </c>
    </row>
    <row r="301" spans="1:23" ht="34" customHeight="1">
      <c r="A301" s="2" t="s">
        <v>1653</v>
      </c>
      <c r="B301" s="2" t="s">
        <v>1660</v>
      </c>
      <c r="C301" s="5">
        <v>0.41</v>
      </c>
      <c r="D301" s="8">
        <v>0.185</v>
      </c>
      <c r="E301" s="7"/>
      <c r="F301" s="7"/>
      <c r="G301" s="8">
        <v>0.27700000000000002</v>
      </c>
      <c r="H301" s="8" t="s">
        <v>455</v>
      </c>
      <c r="I301" s="2" t="s">
        <v>29</v>
      </c>
      <c r="J301" s="2" t="s">
        <v>41</v>
      </c>
      <c r="K301" s="2" t="s">
        <v>281</v>
      </c>
      <c r="L301" s="2" t="s">
        <v>32</v>
      </c>
      <c r="M301" s="19">
        <f t="shared" si="4"/>
        <v>4</v>
      </c>
      <c r="N301" s="2" t="s">
        <v>1661</v>
      </c>
      <c r="O301" s="2" t="s">
        <v>1662</v>
      </c>
      <c r="P301" s="2" t="s">
        <v>190</v>
      </c>
      <c r="Q301" s="2" t="s">
        <v>147</v>
      </c>
      <c r="R301" s="2" t="s">
        <v>1663</v>
      </c>
      <c r="S301" s="2"/>
      <c r="T301" s="2" t="s">
        <v>37</v>
      </c>
      <c r="U301" s="2"/>
      <c r="V301" s="2">
        <v>3</v>
      </c>
      <c r="W301" s="2"/>
    </row>
    <row r="302" spans="1:23" ht="37" customHeight="1">
      <c r="A302" s="2" t="s">
        <v>1653</v>
      </c>
      <c r="B302" s="2" t="s">
        <v>1664</v>
      </c>
      <c r="C302" s="7"/>
      <c r="D302" s="7"/>
      <c r="E302" s="7"/>
      <c r="F302" s="7"/>
      <c r="G302" s="7"/>
      <c r="H302" s="7" t="s">
        <v>293</v>
      </c>
      <c r="I302" s="2" t="s">
        <v>49</v>
      </c>
      <c r="J302" s="2" t="s">
        <v>50</v>
      </c>
      <c r="K302" s="2" t="s">
        <v>1665</v>
      </c>
      <c r="L302" s="2" t="s">
        <v>32</v>
      </c>
      <c r="M302" s="19">
        <f t="shared" si="4"/>
        <v>1</v>
      </c>
      <c r="N302" s="2" t="s">
        <v>1666</v>
      </c>
      <c r="O302" s="2" t="s">
        <v>1667</v>
      </c>
      <c r="P302" s="2" t="s">
        <v>190</v>
      </c>
      <c r="Q302" s="2" t="s">
        <v>55</v>
      </c>
      <c r="R302" s="2" t="s">
        <v>1668</v>
      </c>
      <c r="S302" s="2" t="s">
        <v>1669</v>
      </c>
      <c r="T302" s="2" t="s">
        <v>37</v>
      </c>
      <c r="U302" s="2"/>
      <c r="V302" s="2">
        <v>0</v>
      </c>
      <c r="W302" s="2"/>
    </row>
    <row r="303" spans="1:23" ht="34" customHeight="1">
      <c r="A303" s="2" t="s">
        <v>1653</v>
      </c>
      <c r="B303" s="2" t="s">
        <v>1670</v>
      </c>
      <c r="C303" s="4">
        <v>0.4</v>
      </c>
      <c r="D303" s="5">
        <v>0.15</v>
      </c>
      <c r="E303" s="7"/>
      <c r="F303" s="7"/>
      <c r="G303" s="7" t="s">
        <v>1671</v>
      </c>
      <c r="H303" s="7" t="s">
        <v>1672</v>
      </c>
      <c r="I303" s="2" t="s">
        <v>29</v>
      </c>
      <c r="J303" s="2" t="s">
        <v>41</v>
      </c>
      <c r="K303" s="2" t="s">
        <v>1673</v>
      </c>
      <c r="L303" s="2" t="s">
        <v>32</v>
      </c>
      <c r="M303" s="19">
        <f t="shared" si="4"/>
        <v>4</v>
      </c>
      <c r="N303" s="2" t="s">
        <v>1674</v>
      </c>
      <c r="O303" s="2" t="s">
        <v>1675</v>
      </c>
      <c r="P303" s="2" t="s">
        <v>45</v>
      </c>
      <c r="Q303" s="2" t="s">
        <v>147</v>
      </c>
      <c r="R303" s="2" t="s">
        <v>1676</v>
      </c>
      <c r="S303" s="2" t="s">
        <v>1677</v>
      </c>
      <c r="T303" s="2" t="s">
        <v>37</v>
      </c>
      <c r="U303" s="2"/>
      <c r="V303" s="2">
        <v>3</v>
      </c>
      <c r="W303" s="2"/>
    </row>
    <row r="304" spans="1:23" ht="34" customHeight="1">
      <c r="A304" s="2" t="s">
        <v>1678</v>
      </c>
      <c r="B304" s="2" t="s">
        <v>1679</v>
      </c>
      <c r="C304" s="4">
        <v>0.3</v>
      </c>
      <c r="D304" s="14">
        <v>0.2</v>
      </c>
      <c r="E304" s="7" t="s">
        <v>1680</v>
      </c>
      <c r="F304" s="4">
        <v>0.3</v>
      </c>
      <c r="G304" s="5">
        <v>0.22</v>
      </c>
      <c r="H304" s="5" t="s">
        <v>1681</v>
      </c>
      <c r="I304" s="2" t="s">
        <v>1682</v>
      </c>
      <c r="J304" s="2" t="s">
        <v>94</v>
      </c>
      <c r="K304" s="2" t="s">
        <v>1683</v>
      </c>
      <c r="L304" s="2" t="s">
        <v>79</v>
      </c>
      <c r="M304" s="19">
        <f t="shared" si="4"/>
        <v>6</v>
      </c>
      <c r="N304" s="2" t="s">
        <v>1684</v>
      </c>
      <c r="O304" s="2" t="s">
        <v>1685</v>
      </c>
      <c r="P304" s="2" t="s">
        <v>35</v>
      </c>
      <c r="Q304" s="2"/>
      <c r="R304" s="2" t="s">
        <v>1686</v>
      </c>
      <c r="S304" s="2"/>
      <c r="T304" s="2" t="s">
        <v>37</v>
      </c>
      <c r="U304" s="2" t="s">
        <v>254</v>
      </c>
      <c r="V304" s="2">
        <v>4</v>
      </c>
      <c r="W304" s="2" t="s">
        <v>1687</v>
      </c>
    </row>
    <row r="305" spans="1:23" ht="37" customHeight="1">
      <c r="A305" s="2" t="s">
        <v>1678</v>
      </c>
      <c r="B305" s="2" t="s">
        <v>1688</v>
      </c>
      <c r="C305" s="4">
        <v>0.3</v>
      </c>
      <c r="D305" s="5">
        <v>0.06</v>
      </c>
      <c r="E305" s="6">
        <v>1</v>
      </c>
      <c r="F305" s="12">
        <v>0</v>
      </c>
      <c r="G305" s="5">
        <v>0.01</v>
      </c>
      <c r="H305" s="5" t="s">
        <v>117</v>
      </c>
      <c r="I305" s="2" t="s">
        <v>1275</v>
      </c>
      <c r="J305" s="2" t="s">
        <v>94</v>
      </c>
      <c r="K305" s="2" t="s">
        <v>1683</v>
      </c>
      <c r="L305" s="2" t="s">
        <v>32</v>
      </c>
      <c r="M305" s="19">
        <f t="shared" si="4"/>
        <v>6</v>
      </c>
      <c r="N305" s="2" t="s">
        <v>1689</v>
      </c>
      <c r="O305" s="2" t="s">
        <v>1690</v>
      </c>
      <c r="P305" s="2" t="s">
        <v>45</v>
      </c>
      <c r="Q305" s="2"/>
      <c r="R305" s="2" t="s">
        <v>1691</v>
      </c>
      <c r="S305" s="2" t="s">
        <v>1692</v>
      </c>
      <c r="T305" s="2" t="s">
        <v>37</v>
      </c>
      <c r="U305" s="2" t="s">
        <v>65</v>
      </c>
      <c r="V305" s="2">
        <v>4</v>
      </c>
      <c r="W305" s="2" t="s">
        <v>1693</v>
      </c>
    </row>
    <row r="306" spans="1:23" ht="34" customHeight="1">
      <c r="A306" s="2" t="s">
        <v>1678</v>
      </c>
      <c r="B306" s="2" t="s">
        <v>1694</v>
      </c>
      <c r="C306" s="4">
        <v>0.3</v>
      </c>
      <c r="D306" s="5">
        <v>0.08</v>
      </c>
      <c r="E306" s="7"/>
      <c r="F306" s="7"/>
      <c r="G306" s="9">
        <v>8.5000000000000006E-3</v>
      </c>
      <c r="H306" s="9" t="s">
        <v>1681</v>
      </c>
      <c r="I306" s="2" t="s">
        <v>316</v>
      </c>
      <c r="J306" s="2" t="s">
        <v>50</v>
      </c>
      <c r="K306" s="2" t="s">
        <v>1695</v>
      </c>
      <c r="L306" s="2" t="s">
        <v>32</v>
      </c>
      <c r="M306" s="19">
        <f t="shared" si="4"/>
        <v>4</v>
      </c>
      <c r="N306" s="2" t="s">
        <v>1696</v>
      </c>
      <c r="O306" s="2" t="s">
        <v>1697</v>
      </c>
      <c r="P306" s="2" t="s">
        <v>45</v>
      </c>
      <c r="Q306" s="2" t="s">
        <v>147</v>
      </c>
      <c r="R306" s="2" t="s">
        <v>1698</v>
      </c>
      <c r="S306" s="2"/>
      <c r="T306" s="2" t="s">
        <v>37</v>
      </c>
      <c r="U306" s="2"/>
      <c r="V306" s="2">
        <v>3</v>
      </c>
      <c r="W306" s="2"/>
    </row>
    <row r="307" spans="1:23" ht="34" customHeight="1">
      <c r="A307" s="2" t="s">
        <v>1678</v>
      </c>
      <c r="B307" s="2" t="s">
        <v>1699</v>
      </c>
      <c r="C307" s="5">
        <v>0.61</v>
      </c>
      <c r="D307" s="5">
        <v>0.18</v>
      </c>
      <c r="E307" s="6">
        <v>1</v>
      </c>
      <c r="F307" s="12">
        <v>0</v>
      </c>
      <c r="G307" s="4">
        <v>0.1</v>
      </c>
      <c r="H307" s="4" t="s">
        <v>1700</v>
      </c>
      <c r="I307" s="2" t="s">
        <v>1275</v>
      </c>
      <c r="J307" s="2" t="s">
        <v>94</v>
      </c>
      <c r="K307" s="2" t="s">
        <v>1683</v>
      </c>
      <c r="L307" s="2" t="s">
        <v>32</v>
      </c>
      <c r="M307" s="19">
        <f t="shared" si="4"/>
        <v>6</v>
      </c>
      <c r="N307" s="2" t="s">
        <v>1701</v>
      </c>
      <c r="O307" s="2" t="s">
        <v>1702</v>
      </c>
      <c r="P307" s="2" t="s">
        <v>45</v>
      </c>
      <c r="Q307" s="2"/>
      <c r="R307" s="2" t="s">
        <v>1698</v>
      </c>
      <c r="S307" s="2" t="s">
        <v>1703</v>
      </c>
      <c r="T307" s="2" t="s">
        <v>37</v>
      </c>
      <c r="U307" s="2" t="s">
        <v>65</v>
      </c>
      <c r="V307" s="2">
        <v>4</v>
      </c>
      <c r="W307" s="2" t="s">
        <v>1704</v>
      </c>
    </row>
    <row r="308" spans="1:23" ht="34" customHeight="1">
      <c r="A308" s="2" t="s">
        <v>1705</v>
      </c>
      <c r="B308" s="2" t="s">
        <v>1706</v>
      </c>
      <c r="C308" s="7" t="s">
        <v>1494</v>
      </c>
      <c r="D308" s="7" t="s">
        <v>1495</v>
      </c>
      <c r="E308" s="7"/>
      <c r="F308" s="7"/>
      <c r="G308" s="7" t="s">
        <v>1496</v>
      </c>
      <c r="H308" s="7" t="s">
        <v>293</v>
      </c>
      <c r="I308" s="2" t="s">
        <v>71</v>
      </c>
      <c r="J308" s="2" t="s">
        <v>72</v>
      </c>
      <c r="K308" s="2" t="s">
        <v>1707</v>
      </c>
      <c r="L308" s="2" t="s">
        <v>79</v>
      </c>
      <c r="M308" s="19">
        <f t="shared" si="4"/>
        <v>4</v>
      </c>
      <c r="N308" s="2" t="s">
        <v>1499</v>
      </c>
      <c r="O308" s="2" t="s">
        <v>1708</v>
      </c>
      <c r="P308" s="2" t="s">
        <v>130</v>
      </c>
      <c r="Q308" s="2" t="s">
        <v>147</v>
      </c>
      <c r="R308" s="2" t="s">
        <v>1709</v>
      </c>
      <c r="S308" s="2" t="s">
        <v>1710</v>
      </c>
      <c r="T308" s="2" t="s">
        <v>37</v>
      </c>
      <c r="U308" s="2"/>
      <c r="V308" s="2">
        <v>3</v>
      </c>
      <c r="W308" s="2"/>
    </row>
    <row r="309" spans="1:23" ht="34" customHeight="1">
      <c r="A309" s="2" t="s">
        <v>1711</v>
      </c>
      <c r="B309" s="2" t="s">
        <v>1712</v>
      </c>
      <c r="C309" s="4">
        <v>0.3</v>
      </c>
      <c r="D309" s="4">
        <v>0.1</v>
      </c>
      <c r="E309" s="5">
        <v>1.25</v>
      </c>
      <c r="F309" s="7"/>
      <c r="G309" s="8">
        <v>4.4999999999999998E-2</v>
      </c>
      <c r="H309" s="8" t="s">
        <v>662</v>
      </c>
      <c r="I309" s="2" t="s">
        <v>614</v>
      </c>
      <c r="J309" s="2" t="s">
        <v>72</v>
      </c>
      <c r="K309" s="2" t="s">
        <v>615</v>
      </c>
      <c r="L309" s="2" t="s">
        <v>32</v>
      </c>
      <c r="M309" s="19">
        <f t="shared" si="4"/>
        <v>5</v>
      </c>
      <c r="N309" s="2" t="s">
        <v>852</v>
      </c>
      <c r="O309" s="2" t="s">
        <v>1713</v>
      </c>
      <c r="P309" s="2" t="s">
        <v>45</v>
      </c>
      <c r="Q309" s="2" t="s">
        <v>65</v>
      </c>
      <c r="R309" s="2" t="s">
        <v>1714</v>
      </c>
      <c r="S309" s="2" t="s">
        <v>1715</v>
      </c>
      <c r="T309" s="2" t="s">
        <v>37</v>
      </c>
      <c r="U309" s="2"/>
      <c r="V309" s="2">
        <v>4</v>
      </c>
      <c r="W309" s="2"/>
    </row>
    <row r="310" spans="1:23" ht="37" customHeight="1">
      <c r="A310" s="2" t="s">
        <v>1716</v>
      </c>
      <c r="B310" s="2" t="s">
        <v>1717</v>
      </c>
      <c r="C310" s="5">
        <v>0.53</v>
      </c>
      <c r="D310" s="8">
        <v>0.115</v>
      </c>
      <c r="E310" s="6">
        <v>1</v>
      </c>
      <c r="F310" s="12">
        <v>0</v>
      </c>
      <c r="G310" s="5">
        <v>0.12</v>
      </c>
      <c r="H310" s="5" t="s">
        <v>426</v>
      </c>
      <c r="I310" s="2" t="s">
        <v>601</v>
      </c>
      <c r="J310" s="2" t="s">
        <v>50</v>
      </c>
      <c r="K310" s="2" t="s">
        <v>101</v>
      </c>
      <c r="L310" s="2" t="s">
        <v>32</v>
      </c>
      <c r="M310" s="19">
        <f t="shared" si="4"/>
        <v>6</v>
      </c>
      <c r="N310" s="2" t="s">
        <v>63</v>
      </c>
      <c r="O310" s="2" t="s">
        <v>1718</v>
      </c>
      <c r="P310" s="2" t="s">
        <v>45</v>
      </c>
      <c r="Q310" s="2"/>
      <c r="R310" s="2" t="s">
        <v>1719</v>
      </c>
      <c r="S310" s="2" t="s">
        <v>1720</v>
      </c>
      <c r="T310" s="2" t="s">
        <v>37</v>
      </c>
      <c r="U310" s="2" t="s">
        <v>65</v>
      </c>
      <c r="V310" s="2">
        <v>4</v>
      </c>
      <c r="W310" s="2" t="s">
        <v>1721</v>
      </c>
    </row>
    <row r="311" spans="1:23" ht="64" customHeight="1">
      <c r="A311" s="2" t="s">
        <v>1722</v>
      </c>
      <c r="B311" s="2" t="s">
        <v>1723</v>
      </c>
      <c r="C311" s="5">
        <v>0.52</v>
      </c>
      <c r="D311" s="5">
        <v>0.24</v>
      </c>
      <c r="E311" s="12">
        <v>1</v>
      </c>
      <c r="F311" s="12">
        <v>0</v>
      </c>
      <c r="G311" s="5">
        <v>0.12</v>
      </c>
      <c r="H311" s="5" t="s">
        <v>137</v>
      </c>
      <c r="I311" s="2" t="s">
        <v>1724</v>
      </c>
      <c r="J311" s="2" t="s">
        <v>50</v>
      </c>
      <c r="K311" s="2" t="s">
        <v>1341</v>
      </c>
      <c r="L311" s="2" t="s">
        <v>32</v>
      </c>
      <c r="M311" s="19">
        <f t="shared" si="4"/>
        <v>6</v>
      </c>
      <c r="N311" s="2" t="s">
        <v>1725</v>
      </c>
      <c r="O311" s="2" t="s">
        <v>1726</v>
      </c>
      <c r="P311" s="2" t="s">
        <v>45</v>
      </c>
      <c r="Q311" s="2"/>
      <c r="R311" s="2" t="s">
        <v>1727</v>
      </c>
      <c r="S311" s="2"/>
      <c r="T311" s="2" t="s">
        <v>37</v>
      </c>
      <c r="U311" s="2" t="s">
        <v>147</v>
      </c>
      <c r="V311" s="2">
        <v>3</v>
      </c>
      <c r="W311" s="2" t="s">
        <v>1728</v>
      </c>
    </row>
    <row r="312" spans="1:23" ht="34" customHeight="1">
      <c r="A312" s="2" t="s">
        <v>1729</v>
      </c>
      <c r="B312" s="2" t="s">
        <v>1730</v>
      </c>
      <c r="C312" s="4">
        <v>0.1</v>
      </c>
      <c r="D312" s="5">
        <v>0.06</v>
      </c>
      <c r="E312" s="4">
        <v>2.5</v>
      </c>
      <c r="F312" s="7"/>
      <c r="G312" s="8">
        <v>1.7000000000000001E-2</v>
      </c>
      <c r="H312" s="8" t="s">
        <v>1731</v>
      </c>
      <c r="I312" s="2" t="s">
        <v>1268</v>
      </c>
      <c r="J312" s="2" t="s">
        <v>61</v>
      </c>
      <c r="K312" s="2" t="s">
        <v>101</v>
      </c>
      <c r="L312" s="2" t="s">
        <v>79</v>
      </c>
      <c r="M312" s="19">
        <f t="shared" si="4"/>
        <v>5</v>
      </c>
      <c r="N312" s="2" t="s">
        <v>206</v>
      </c>
      <c r="O312" s="2" t="s">
        <v>1732</v>
      </c>
      <c r="P312" s="2" t="s">
        <v>45</v>
      </c>
      <c r="Q312" s="2" t="s">
        <v>65</v>
      </c>
      <c r="R312" s="2" t="s">
        <v>1733</v>
      </c>
      <c r="S312" s="2"/>
      <c r="T312" s="2" t="s">
        <v>37</v>
      </c>
      <c r="U312" s="2"/>
      <c r="V312" s="2">
        <v>4</v>
      </c>
      <c r="W312" s="2"/>
    </row>
    <row r="313" spans="1:23" ht="64" customHeight="1">
      <c r="A313" s="2" t="s">
        <v>1729</v>
      </c>
      <c r="B313" s="2" t="s">
        <v>1734</v>
      </c>
      <c r="C313" s="4">
        <v>0.4</v>
      </c>
      <c r="D313" s="8">
        <v>6.5000000000000002E-2</v>
      </c>
      <c r="E313" s="12">
        <v>1</v>
      </c>
      <c r="F313" s="12">
        <v>0</v>
      </c>
      <c r="G313" s="7" t="s">
        <v>525</v>
      </c>
      <c r="H313" s="7" t="s">
        <v>117</v>
      </c>
      <c r="I313" s="2" t="s">
        <v>1735</v>
      </c>
      <c r="J313" s="2" t="s">
        <v>50</v>
      </c>
      <c r="K313" s="2" t="s">
        <v>775</v>
      </c>
      <c r="L313" s="2" t="s">
        <v>32</v>
      </c>
      <c r="M313" s="19">
        <f t="shared" si="4"/>
        <v>6</v>
      </c>
      <c r="N313" s="2" t="s">
        <v>1736</v>
      </c>
      <c r="O313" s="2" t="s">
        <v>1737</v>
      </c>
      <c r="P313" s="2" t="s">
        <v>35</v>
      </c>
      <c r="Q313" s="2"/>
      <c r="R313" s="2" t="s">
        <v>1738</v>
      </c>
      <c r="S313" s="2"/>
      <c r="T313" s="2" t="s">
        <v>37</v>
      </c>
      <c r="U313" s="2" t="s">
        <v>147</v>
      </c>
      <c r="V313" s="2">
        <v>3</v>
      </c>
      <c r="W313" s="2" t="s">
        <v>1739</v>
      </c>
    </row>
    <row r="314" spans="1:23" ht="64" customHeight="1">
      <c r="A314" s="2" t="s">
        <v>1729</v>
      </c>
      <c r="B314" s="2" t="s">
        <v>1740</v>
      </c>
      <c r="C314" s="4">
        <v>0.5</v>
      </c>
      <c r="D314" s="4">
        <v>0.1</v>
      </c>
      <c r="E314" s="12">
        <v>1</v>
      </c>
      <c r="F314" s="12">
        <v>0</v>
      </c>
      <c r="G314" s="5">
        <v>7.0000000000000007E-2</v>
      </c>
      <c r="H314" s="5" t="s">
        <v>883</v>
      </c>
      <c r="I314" s="2" t="s">
        <v>663</v>
      </c>
      <c r="J314" s="2" t="s">
        <v>871</v>
      </c>
      <c r="K314" s="2" t="s">
        <v>281</v>
      </c>
      <c r="L314" s="2" t="s">
        <v>32</v>
      </c>
      <c r="M314" s="19">
        <f t="shared" si="4"/>
        <v>6</v>
      </c>
      <c r="N314" s="2" t="s">
        <v>120</v>
      </c>
      <c r="O314" s="2" t="s">
        <v>1741</v>
      </c>
      <c r="P314" s="2" t="s">
        <v>122</v>
      </c>
      <c r="Q314" s="2"/>
      <c r="R314" s="2" t="s">
        <v>1738</v>
      </c>
      <c r="S314" s="2"/>
      <c r="T314" s="2" t="s">
        <v>37</v>
      </c>
      <c r="U314" s="2" t="s">
        <v>147</v>
      </c>
      <c r="V314" s="2">
        <v>3</v>
      </c>
      <c r="W314" s="2" t="s">
        <v>1739</v>
      </c>
    </row>
    <row r="315" spans="1:23" ht="64" customHeight="1">
      <c r="A315" s="2" t="s">
        <v>1729</v>
      </c>
      <c r="B315" s="2" t="s">
        <v>1742</v>
      </c>
      <c r="C315" s="5">
        <v>0.44</v>
      </c>
      <c r="D315" s="8">
        <v>0.105</v>
      </c>
      <c r="E315" s="12">
        <v>1</v>
      </c>
      <c r="F315" s="12">
        <v>0</v>
      </c>
      <c r="G315" s="5">
        <v>0.02</v>
      </c>
      <c r="H315" s="5" t="s">
        <v>662</v>
      </c>
      <c r="I315" s="2" t="s">
        <v>1743</v>
      </c>
      <c r="J315" s="2" t="s">
        <v>50</v>
      </c>
      <c r="K315" s="2" t="s">
        <v>1744</v>
      </c>
      <c r="L315" s="2" t="s">
        <v>32</v>
      </c>
      <c r="M315" s="19">
        <f t="shared" si="4"/>
        <v>6</v>
      </c>
      <c r="N315" s="2" t="s">
        <v>1745</v>
      </c>
      <c r="O315" s="2" t="s">
        <v>1746</v>
      </c>
      <c r="P315" s="2" t="s">
        <v>45</v>
      </c>
      <c r="Q315" s="2"/>
      <c r="R315" s="2" t="s">
        <v>1747</v>
      </c>
      <c r="S315" s="2"/>
      <c r="T315" s="2" t="s">
        <v>37</v>
      </c>
      <c r="U315" s="2" t="s">
        <v>147</v>
      </c>
      <c r="V315" s="2">
        <v>3</v>
      </c>
      <c r="W315" s="2" t="s">
        <v>813</v>
      </c>
    </row>
  </sheetData>
  <mergeCells count="3">
    <mergeCell ref="A3:M3"/>
    <mergeCell ref="A2:M2"/>
    <mergeCell ref="A1:M1"/>
  </mergeCells>
  <phoneticPr fontId="11" type="noConversion"/>
  <conditionalFormatting sqref="C6:G315">
    <cfRule type="containsBlanks" dxfId="1" priority="2"/>
  </conditionalFormatting>
  <conditionalFormatting sqref="L6:L315">
    <cfRule type="cellIs" dxfId="0" priority="1" operator="equal">
      <formula>5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7F8C"/>
  </sheetPr>
  <dimension ref="A1:L18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2" width="21.9140625" customWidth="1"/>
    <col min="3" max="3" width="36.5" customWidth="1"/>
    <col min="4" max="4" width="25.6640625" customWidth="1"/>
    <col min="5" max="5" width="16" customWidth="1"/>
    <col min="6" max="6" width="11.9140625" customWidth="1"/>
    <col min="7" max="7" width="37.5" customWidth="1"/>
    <col min="8" max="8" width="17.5" customWidth="1"/>
    <col min="9" max="9" width="35" customWidth="1"/>
    <col min="10" max="10" width="65" customWidth="1"/>
    <col min="11" max="11" width="81.25" customWidth="1"/>
    <col min="12" max="12" width="28.75" customWidth="1"/>
  </cols>
  <sheetData>
    <row r="1" spans="1:12" ht="38" customHeight="1">
      <c r="A1" s="34" t="s">
        <v>1748</v>
      </c>
      <c r="B1" s="32"/>
      <c r="C1" s="32"/>
      <c r="D1" s="32"/>
      <c r="E1" s="32"/>
      <c r="F1" s="32"/>
      <c r="G1" s="32"/>
      <c r="H1" s="32"/>
      <c r="I1" s="32"/>
    </row>
    <row r="2" spans="1:12" ht="34" customHeight="1">
      <c r="A2" s="33" t="s">
        <v>1749</v>
      </c>
      <c r="B2" s="32"/>
      <c r="C2" s="32"/>
      <c r="D2" s="32"/>
      <c r="E2" s="32"/>
      <c r="F2" s="32"/>
      <c r="G2" s="32"/>
      <c r="H2" s="32"/>
      <c r="I2" s="32"/>
    </row>
    <row r="3" spans="1:12" ht="16.5">
      <c r="A3" s="1"/>
      <c r="B3" s="1"/>
      <c r="C3" s="1"/>
      <c r="D3" s="1"/>
      <c r="E3" s="1"/>
      <c r="F3" s="1"/>
      <c r="G3" s="1"/>
      <c r="H3" s="1"/>
      <c r="I3" s="1"/>
    </row>
    <row r="5" spans="1:12" ht="32" customHeight="1">
      <c r="A5" s="3" t="s">
        <v>17</v>
      </c>
      <c r="B5" s="3" t="s">
        <v>3</v>
      </c>
      <c r="C5" s="3" t="s">
        <v>4</v>
      </c>
      <c r="D5" s="3" t="s">
        <v>1750</v>
      </c>
      <c r="E5" s="3" t="s">
        <v>1751</v>
      </c>
      <c r="F5" s="3" t="s">
        <v>1752</v>
      </c>
      <c r="G5" s="3" t="s">
        <v>11</v>
      </c>
      <c r="H5" s="3" t="s">
        <v>1753</v>
      </c>
      <c r="I5" s="3" t="s">
        <v>1754</v>
      </c>
      <c r="J5" s="3" t="s">
        <v>1755</v>
      </c>
      <c r="K5" s="3" t="s">
        <v>1756</v>
      </c>
      <c r="L5" s="3" t="s">
        <v>18</v>
      </c>
    </row>
    <row r="6" spans="1:12" ht="34" customHeight="1">
      <c r="A6" s="2" t="s">
        <v>34</v>
      </c>
      <c r="B6" s="2" t="s">
        <v>26</v>
      </c>
      <c r="C6" s="2" t="s">
        <v>27</v>
      </c>
      <c r="D6" s="2" t="s">
        <v>1757</v>
      </c>
      <c r="E6" s="4">
        <v>3.6</v>
      </c>
      <c r="F6" s="7" t="s">
        <v>1758</v>
      </c>
      <c r="G6" s="2" t="s">
        <v>29</v>
      </c>
      <c r="H6" s="2" t="s">
        <v>1759</v>
      </c>
      <c r="I6" s="2" t="s">
        <v>1760</v>
      </c>
      <c r="J6" s="2" t="s">
        <v>1761</v>
      </c>
      <c r="K6" s="2" t="s">
        <v>1762</v>
      </c>
      <c r="L6" s="2" t="s">
        <v>35</v>
      </c>
    </row>
    <row r="7" spans="1:12" ht="34" customHeight="1">
      <c r="A7" s="2" t="s">
        <v>34</v>
      </c>
      <c r="B7" s="2" t="s">
        <v>26</v>
      </c>
      <c r="C7" s="2" t="s">
        <v>27</v>
      </c>
      <c r="D7" s="2" t="s">
        <v>254</v>
      </c>
      <c r="E7" s="4">
        <v>1.1000000000000001</v>
      </c>
      <c r="F7" s="7" t="s">
        <v>1758</v>
      </c>
      <c r="G7" s="2" t="s">
        <v>29</v>
      </c>
      <c r="H7" s="2" t="s">
        <v>1759</v>
      </c>
      <c r="I7" s="2" t="s">
        <v>1760</v>
      </c>
      <c r="J7" s="2" t="s">
        <v>1761</v>
      </c>
      <c r="K7" s="2" t="s">
        <v>1762</v>
      </c>
      <c r="L7" s="2" t="s">
        <v>35</v>
      </c>
    </row>
    <row r="8" spans="1:12" ht="34" customHeight="1">
      <c r="A8" s="2" t="s">
        <v>34</v>
      </c>
      <c r="B8" s="2" t="s">
        <v>26</v>
      </c>
      <c r="C8" s="2" t="s">
        <v>27</v>
      </c>
      <c r="D8" s="2" t="s">
        <v>124</v>
      </c>
      <c r="E8" s="5">
        <v>1.87</v>
      </c>
      <c r="F8" s="7" t="s">
        <v>1763</v>
      </c>
      <c r="G8" s="2" t="s">
        <v>29</v>
      </c>
      <c r="H8" s="2" t="s">
        <v>1759</v>
      </c>
      <c r="I8" s="2" t="s">
        <v>1760</v>
      </c>
      <c r="J8" s="2" t="s">
        <v>1761</v>
      </c>
      <c r="K8" s="2" t="s">
        <v>1762</v>
      </c>
      <c r="L8" s="2" t="s">
        <v>35</v>
      </c>
    </row>
    <row r="9" spans="1:12" ht="34" customHeight="1">
      <c r="A9" s="2" t="s">
        <v>34</v>
      </c>
      <c r="B9" s="2" t="s">
        <v>26</v>
      </c>
      <c r="C9" s="2" t="s">
        <v>27</v>
      </c>
      <c r="D9" s="2" t="s">
        <v>65</v>
      </c>
      <c r="E9" s="5">
        <v>0.51</v>
      </c>
      <c r="F9" s="7" t="s">
        <v>1763</v>
      </c>
      <c r="G9" s="2" t="s">
        <v>29</v>
      </c>
      <c r="H9" s="2" t="s">
        <v>1759</v>
      </c>
      <c r="I9" s="2" t="s">
        <v>1760</v>
      </c>
      <c r="J9" s="2" t="s">
        <v>1761</v>
      </c>
      <c r="K9" s="2" t="s">
        <v>1762</v>
      </c>
      <c r="L9" s="2" t="s">
        <v>35</v>
      </c>
    </row>
    <row r="10" spans="1:12" ht="34" customHeight="1">
      <c r="A10" s="2" t="s">
        <v>34</v>
      </c>
      <c r="B10" s="2" t="s">
        <v>26</v>
      </c>
      <c r="C10" s="2" t="s">
        <v>27</v>
      </c>
      <c r="D10" s="2" t="s">
        <v>222</v>
      </c>
      <c r="E10" s="6">
        <v>7</v>
      </c>
      <c r="F10" s="7" t="s">
        <v>1764</v>
      </c>
      <c r="G10" s="2" t="s">
        <v>29</v>
      </c>
      <c r="H10" s="2" t="s">
        <v>1759</v>
      </c>
      <c r="I10" s="2" t="s">
        <v>1760</v>
      </c>
      <c r="J10" s="2" t="s">
        <v>1761</v>
      </c>
      <c r="K10" s="2" t="s">
        <v>1762</v>
      </c>
      <c r="L10" s="2" t="s">
        <v>35</v>
      </c>
    </row>
    <row r="11" spans="1:12" ht="37" customHeight="1">
      <c r="A11" s="2" t="s">
        <v>34</v>
      </c>
      <c r="B11" s="2" t="s">
        <v>26</v>
      </c>
      <c r="C11" s="2" t="s">
        <v>27</v>
      </c>
      <c r="D11" s="2" t="s">
        <v>1765</v>
      </c>
      <c r="E11" s="6" t="s">
        <v>28</v>
      </c>
      <c r="F11" s="7" t="s">
        <v>1766</v>
      </c>
      <c r="G11" s="2" t="s">
        <v>29</v>
      </c>
      <c r="H11" s="2" t="s">
        <v>1759</v>
      </c>
      <c r="I11" s="2" t="s">
        <v>1767</v>
      </c>
      <c r="J11" s="2"/>
      <c r="K11" t="s">
        <v>1768</v>
      </c>
    </row>
    <row r="12" spans="1:12" ht="37" customHeight="1">
      <c r="A12" s="2" t="s">
        <v>44</v>
      </c>
      <c r="B12" s="2" t="s">
        <v>26</v>
      </c>
      <c r="C12" s="2" t="s">
        <v>38</v>
      </c>
      <c r="D12" s="2" t="s">
        <v>1757</v>
      </c>
      <c r="E12" s="4">
        <v>7.2</v>
      </c>
      <c r="F12" s="7" t="s">
        <v>1758</v>
      </c>
      <c r="G12" s="2" t="s">
        <v>40</v>
      </c>
      <c r="H12" s="2" t="s">
        <v>1759</v>
      </c>
      <c r="I12" s="2" t="s">
        <v>1769</v>
      </c>
      <c r="J12" s="2" t="s">
        <v>1770</v>
      </c>
      <c r="K12" s="2" t="s">
        <v>1771</v>
      </c>
      <c r="L12" s="2" t="s">
        <v>45</v>
      </c>
    </row>
    <row r="13" spans="1:12" ht="37" customHeight="1">
      <c r="A13" s="2" t="s">
        <v>44</v>
      </c>
      <c r="B13" s="2" t="s">
        <v>26</v>
      </c>
      <c r="C13" s="2" t="s">
        <v>38</v>
      </c>
      <c r="D13" s="2" t="s">
        <v>254</v>
      </c>
      <c r="E13" s="6">
        <v>2</v>
      </c>
      <c r="F13" s="7" t="s">
        <v>1758</v>
      </c>
      <c r="G13" s="2" t="s">
        <v>40</v>
      </c>
      <c r="H13" s="2" t="s">
        <v>1759</v>
      </c>
      <c r="I13" s="2" t="s">
        <v>1769</v>
      </c>
      <c r="J13" s="2" t="s">
        <v>1770</v>
      </c>
      <c r="K13" s="2" t="s">
        <v>1771</v>
      </c>
      <c r="L13" s="2" t="s">
        <v>45</v>
      </c>
    </row>
    <row r="14" spans="1:12" ht="37" customHeight="1">
      <c r="A14" s="2" t="s">
        <v>44</v>
      </c>
      <c r="B14" s="2" t="s">
        <v>26</v>
      </c>
      <c r="C14" s="2" t="s">
        <v>38</v>
      </c>
      <c r="D14" s="2" t="s">
        <v>124</v>
      </c>
      <c r="E14" s="6">
        <v>2</v>
      </c>
      <c r="F14" s="7" t="s">
        <v>1763</v>
      </c>
      <c r="G14" s="2" t="s">
        <v>40</v>
      </c>
      <c r="H14" s="2" t="s">
        <v>1759</v>
      </c>
      <c r="I14" s="2" t="s">
        <v>1769</v>
      </c>
      <c r="J14" s="2" t="s">
        <v>1770</v>
      </c>
      <c r="K14" s="2" t="s">
        <v>1771</v>
      </c>
      <c r="L14" s="2" t="s">
        <v>45</v>
      </c>
    </row>
    <row r="15" spans="1:12" ht="37" customHeight="1">
      <c r="A15" s="2" t="s">
        <v>44</v>
      </c>
      <c r="B15" s="2" t="s">
        <v>26</v>
      </c>
      <c r="C15" s="2" t="s">
        <v>38</v>
      </c>
      <c r="D15" s="2" t="s">
        <v>65</v>
      </c>
      <c r="E15" s="5">
        <v>0.52</v>
      </c>
      <c r="F15" s="7" t="s">
        <v>1763</v>
      </c>
      <c r="G15" s="2" t="s">
        <v>40</v>
      </c>
      <c r="H15" s="2" t="s">
        <v>1759</v>
      </c>
      <c r="I15" s="2" t="s">
        <v>1769</v>
      </c>
      <c r="J15" s="2" t="s">
        <v>1770</v>
      </c>
      <c r="K15" s="2" t="s">
        <v>1771</v>
      </c>
      <c r="L15" s="2" t="s">
        <v>45</v>
      </c>
    </row>
    <row r="16" spans="1:12" ht="34" customHeight="1">
      <c r="A16" s="2" t="s">
        <v>44</v>
      </c>
      <c r="B16" s="2" t="s">
        <v>26</v>
      </c>
      <c r="C16" s="2" t="s">
        <v>38</v>
      </c>
      <c r="D16" s="2" t="s">
        <v>222</v>
      </c>
      <c r="E16" s="4">
        <v>13.7</v>
      </c>
      <c r="F16" s="7" t="s">
        <v>1764</v>
      </c>
      <c r="G16" s="2" t="s">
        <v>40</v>
      </c>
      <c r="H16" s="2" t="s">
        <v>1759</v>
      </c>
      <c r="I16" s="2" t="s">
        <v>1769</v>
      </c>
      <c r="J16" s="2" t="s">
        <v>1770</v>
      </c>
      <c r="K16" s="2" t="s">
        <v>1771</v>
      </c>
      <c r="L16" s="2" t="s">
        <v>45</v>
      </c>
    </row>
    <row r="17" spans="1:12" ht="34" customHeight="1">
      <c r="A17" s="2" t="s">
        <v>44</v>
      </c>
      <c r="B17" s="2" t="s">
        <v>26</v>
      </c>
      <c r="C17" s="2" t="s">
        <v>38</v>
      </c>
      <c r="D17" s="2" t="s">
        <v>1765</v>
      </c>
      <c r="E17" s="4" t="s">
        <v>39</v>
      </c>
      <c r="F17" s="7" t="s">
        <v>1766</v>
      </c>
      <c r="G17" s="2" t="s">
        <v>40</v>
      </c>
      <c r="H17" s="2" t="s">
        <v>1759</v>
      </c>
      <c r="I17" s="2" t="s">
        <v>1767</v>
      </c>
      <c r="J17" s="2"/>
      <c r="K17" t="s">
        <v>1772</v>
      </c>
    </row>
    <row r="18" spans="1:12" ht="34" customHeight="1">
      <c r="A18" s="2" t="s">
        <v>53</v>
      </c>
      <c r="B18" s="2" t="s">
        <v>26</v>
      </c>
      <c r="C18" s="2" t="s">
        <v>47</v>
      </c>
      <c r="D18" s="2" t="s">
        <v>1757</v>
      </c>
      <c r="E18" s="7"/>
      <c r="F18" s="7" t="s">
        <v>1758</v>
      </c>
      <c r="G18" s="2" t="s">
        <v>49</v>
      </c>
      <c r="H18" s="2" t="s">
        <v>1773</v>
      </c>
      <c r="I18" s="2"/>
      <c r="J18" s="2"/>
      <c r="K18" s="2" t="s">
        <v>1774</v>
      </c>
      <c r="L18" s="2" t="s">
        <v>54</v>
      </c>
    </row>
    <row r="19" spans="1:12" ht="34" customHeight="1">
      <c r="A19" s="2" t="s">
        <v>53</v>
      </c>
      <c r="B19" s="2" t="s">
        <v>26</v>
      </c>
      <c r="C19" s="2" t="s">
        <v>47</v>
      </c>
      <c r="D19" s="2" t="s">
        <v>254</v>
      </c>
      <c r="E19" s="7"/>
      <c r="F19" s="7" t="s">
        <v>1758</v>
      </c>
      <c r="G19" s="2" t="s">
        <v>49</v>
      </c>
      <c r="H19" s="2" t="s">
        <v>1773</v>
      </c>
      <c r="I19" s="2"/>
      <c r="J19" s="2"/>
      <c r="K19" s="2" t="s">
        <v>1774</v>
      </c>
      <c r="L19" s="2" t="s">
        <v>54</v>
      </c>
    </row>
    <row r="20" spans="1:12" ht="34" customHeight="1">
      <c r="A20" s="2" t="s">
        <v>53</v>
      </c>
      <c r="B20" s="2" t="s">
        <v>26</v>
      </c>
      <c r="C20" s="2" t="s">
        <v>47</v>
      </c>
      <c r="D20" s="2" t="s">
        <v>124</v>
      </c>
      <c r="E20" s="7"/>
      <c r="F20" s="7" t="s">
        <v>1763</v>
      </c>
      <c r="G20" s="2" t="s">
        <v>49</v>
      </c>
      <c r="H20" s="2" t="s">
        <v>1773</v>
      </c>
      <c r="I20" s="2"/>
      <c r="J20" s="2"/>
      <c r="K20" s="2" t="s">
        <v>1774</v>
      </c>
      <c r="L20" s="2" t="s">
        <v>54</v>
      </c>
    </row>
    <row r="21" spans="1:12" ht="37" customHeight="1">
      <c r="A21" s="2" t="s">
        <v>53</v>
      </c>
      <c r="B21" s="2" t="s">
        <v>26</v>
      </c>
      <c r="C21" s="2" t="s">
        <v>47</v>
      </c>
      <c r="D21" s="2" t="s">
        <v>65</v>
      </c>
      <c r="E21" s="7"/>
      <c r="F21" s="7" t="s">
        <v>1763</v>
      </c>
      <c r="G21" s="2" t="s">
        <v>49</v>
      </c>
      <c r="H21" s="2" t="s">
        <v>1773</v>
      </c>
      <c r="I21" s="2"/>
      <c r="J21" s="2"/>
      <c r="K21" s="2" t="s">
        <v>1774</v>
      </c>
      <c r="L21" s="2" t="s">
        <v>54</v>
      </c>
    </row>
    <row r="22" spans="1:12" ht="37" customHeight="1">
      <c r="A22" s="2" t="s">
        <v>53</v>
      </c>
      <c r="B22" s="2" t="s">
        <v>26</v>
      </c>
      <c r="C22" s="2" t="s">
        <v>47</v>
      </c>
      <c r="D22" s="2" t="s">
        <v>222</v>
      </c>
      <c r="E22" s="7"/>
      <c r="F22" s="7" t="s">
        <v>1764</v>
      </c>
      <c r="G22" s="2" t="s">
        <v>49</v>
      </c>
      <c r="H22" s="2" t="s">
        <v>1773</v>
      </c>
      <c r="I22" s="2"/>
      <c r="J22" s="2"/>
      <c r="K22" s="2" t="s">
        <v>1774</v>
      </c>
      <c r="L22" s="2" t="s">
        <v>54</v>
      </c>
    </row>
    <row r="23" spans="1:12" ht="37" customHeight="1">
      <c r="A23" s="2" t="s">
        <v>53</v>
      </c>
      <c r="B23" s="2" t="s">
        <v>26</v>
      </c>
      <c r="C23" s="2" t="s">
        <v>47</v>
      </c>
      <c r="D23" s="2" t="s">
        <v>1765</v>
      </c>
      <c r="E23" s="7" t="s">
        <v>48</v>
      </c>
      <c r="F23" s="7" t="s">
        <v>1766</v>
      </c>
      <c r="G23" s="2" t="s">
        <v>49</v>
      </c>
      <c r="H23" s="2" t="s">
        <v>1759</v>
      </c>
      <c r="I23" s="2" t="s">
        <v>1767</v>
      </c>
      <c r="J23" s="2"/>
      <c r="K23" t="s">
        <v>1775</v>
      </c>
    </row>
    <row r="24" spans="1:12" ht="64" customHeight="1">
      <c r="A24" s="2" t="s">
        <v>64</v>
      </c>
      <c r="B24" s="2" t="s">
        <v>26</v>
      </c>
      <c r="C24" s="2" t="s">
        <v>58</v>
      </c>
      <c r="D24" s="2" t="s">
        <v>1757</v>
      </c>
      <c r="E24" s="5">
        <v>0.45</v>
      </c>
      <c r="F24" s="7" t="s">
        <v>1758</v>
      </c>
      <c r="G24" s="2" t="s">
        <v>60</v>
      </c>
      <c r="H24" s="2" t="s">
        <v>1759</v>
      </c>
      <c r="I24" s="2" t="s">
        <v>1776</v>
      </c>
      <c r="J24" s="2" t="s">
        <v>1777</v>
      </c>
      <c r="K24" s="2" t="s">
        <v>1778</v>
      </c>
      <c r="L24" s="2" t="s">
        <v>45</v>
      </c>
    </row>
    <row r="25" spans="1:12" ht="37" customHeight="1">
      <c r="A25" s="2" t="s">
        <v>64</v>
      </c>
      <c r="B25" s="2" t="s">
        <v>26</v>
      </c>
      <c r="C25" s="2" t="s">
        <v>58</v>
      </c>
      <c r="D25" s="2" t="s">
        <v>254</v>
      </c>
      <c r="E25" s="8">
        <v>0.125</v>
      </c>
      <c r="F25" s="7" t="s">
        <v>1758</v>
      </c>
      <c r="G25" s="2" t="s">
        <v>60</v>
      </c>
      <c r="H25" s="2" t="s">
        <v>1759</v>
      </c>
      <c r="I25" s="2" t="s">
        <v>1776</v>
      </c>
      <c r="J25" s="2" t="s">
        <v>1777</v>
      </c>
      <c r="K25" s="2" t="s">
        <v>1778</v>
      </c>
      <c r="L25" s="2" t="s">
        <v>45</v>
      </c>
    </row>
    <row r="26" spans="1:12" ht="34" customHeight="1">
      <c r="A26" s="2" t="s">
        <v>64</v>
      </c>
      <c r="B26" s="2" t="s">
        <v>26</v>
      </c>
      <c r="C26" s="2" t="s">
        <v>58</v>
      </c>
      <c r="D26" s="2" t="s">
        <v>124</v>
      </c>
      <c r="E26" s="6">
        <v>1</v>
      </c>
      <c r="F26" s="7" t="s">
        <v>1763</v>
      </c>
      <c r="G26" s="2" t="s">
        <v>60</v>
      </c>
      <c r="H26" s="2" t="s">
        <v>1759</v>
      </c>
      <c r="I26" s="2" t="s">
        <v>1776</v>
      </c>
      <c r="J26" s="2" t="s">
        <v>1777</v>
      </c>
      <c r="K26" s="2" t="s">
        <v>1778</v>
      </c>
      <c r="L26" s="2" t="s">
        <v>45</v>
      </c>
    </row>
    <row r="27" spans="1:12" ht="34" customHeight="1">
      <c r="A27" s="2" t="s">
        <v>64</v>
      </c>
      <c r="B27" s="2" t="s">
        <v>26</v>
      </c>
      <c r="C27" s="2" t="s">
        <v>58</v>
      </c>
      <c r="D27" s="2" t="s">
        <v>65</v>
      </c>
      <c r="E27" s="11">
        <v>0</v>
      </c>
      <c r="F27" s="20" t="s">
        <v>1763</v>
      </c>
      <c r="G27" s="21" t="s">
        <v>60</v>
      </c>
      <c r="H27" s="21" t="s">
        <v>1779</v>
      </c>
      <c r="I27" s="2" t="s">
        <v>1780</v>
      </c>
      <c r="J27" s="2" t="s">
        <v>1781</v>
      </c>
      <c r="K27" s="2" t="s">
        <v>1782</v>
      </c>
      <c r="L27" s="2" t="s">
        <v>45</v>
      </c>
    </row>
    <row r="28" spans="1:12" ht="34" customHeight="1">
      <c r="A28" s="2" t="s">
        <v>64</v>
      </c>
      <c r="B28" s="2" t="s">
        <v>26</v>
      </c>
      <c r="C28" s="2" t="s">
        <v>58</v>
      </c>
      <c r="D28" s="2" t="s">
        <v>222</v>
      </c>
      <c r="E28" s="5">
        <v>0.03</v>
      </c>
      <c r="F28" s="7" t="s">
        <v>1764</v>
      </c>
      <c r="G28" s="2" t="s">
        <v>60</v>
      </c>
      <c r="H28" s="2" t="s">
        <v>1759</v>
      </c>
      <c r="I28" s="2" t="s">
        <v>1776</v>
      </c>
      <c r="J28" s="2" t="s">
        <v>1777</v>
      </c>
      <c r="K28" s="2" t="s">
        <v>1778</v>
      </c>
      <c r="L28" s="2" t="s">
        <v>45</v>
      </c>
    </row>
    <row r="29" spans="1:12" ht="34" customHeight="1">
      <c r="A29" s="2" t="s">
        <v>64</v>
      </c>
      <c r="B29" s="2" t="s">
        <v>26</v>
      </c>
      <c r="C29" s="2" t="s">
        <v>58</v>
      </c>
      <c r="D29" s="2" t="s">
        <v>1765</v>
      </c>
      <c r="E29" s="5" t="s">
        <v>59</v>
      </c>
      <c r="F29" s="7" t="s">
        <v>1766</v>
      </c>
      <c r="G29" s="2" t="s">
        <v>60</v>
      </c>
      <c r="H29" s="2" t="s">
        <v>1759</v>
      </c>
      <c r="I29" s="2" t="s">
        <v>1767</v>
      </c>
      <c r="J29" s="2"/>
      <c r="K29" t="s">
        <v>1783</v>
      </c>
    </row>
    <row r="30" spans="1:12" ht="34" customHeight="1">
      <c r="A30" s="2" t="s">
        <v>74</v>
      </c>
      <c r="B30" s="2" t="s">
        <v>26</v>
      </c>
      <c r="C30" s="2" t="s">
        <v>67</v>
      </c>
      <c r="D30" s="2" t="s">
        <v>1757</v>
      </c>
      <c r="E30" s="4">
        <v>1.8</v>
      </c>
      <c r="F30" s="7" t="s">
        <v>1758</v>
      </c>
      <c r="G30" s="2" t="s">
        <v>71</v>
      </c>
      <c r="H30" s="2" t="s">
        <v>1759</v>
      </c>
      <c r="I30" s="2" t="s">
        <v>1784</v>
      </c>
      <c r="J30" s="2" t="s">
        <v>1785</v>
      </c>
      <c r="K30" s="2" t="s">
        <v>1786</v>
      </c>
      <c r="L30" s="2" t="s">
        <v>35</v>
      </c>
    </row>
    <row r="31" spans="1:12" ht="37" customHeight="1">
      <c r="A31" s="2" t="s">
        <v>74</v>
      </c>
      <c r="B31" s="2" t="s">
        <v>26</v>
      </c>
      <c r="C31" s="2" t="s">
        <v>67</v>
      </c>
      <c r="D31" s="2" t="s">
        <v>254</v>
      </c>
      <c r="E31" s="5">
        <v>0.45</v>
      </c>
      <c r="F31" s="7" t="s">
        <v>1758</v>
      </c>
      <c r="G31" s="2" t="s">
        <v>71</v>
      </c>
      <c r="H31" s="2" t="s">
        <v>1759</v>
      </c>
      <c r="I31" s="2" t="s">
        <v>1784</v>
      </c>
      <c r="J31" s="2" t="s">
        <v>1785</v>
      </c>
      <c r="K31" s="2" t="s">
        <v>1786</v>
      </c>
      <c r="L31" s="2" t="s">
        <v>35</v>
      </c>
    </row>
    <row r="32" spans="1:12" ht="37" customHeight="1">
      <c r="A32" s="2" t="s">
        <v>74</v>
      </c>
      <c r="B32" s="2" t="s">
        <v>26</v>
      </c>
      <c r="C32" s="2" t="s">
        <v>67</v>
      </c>
      <c r="D32" s="2" t="s">
        <v>124</v>
      </c>
      <c r="E32" s="7" t="s">
        <v>68</v>
      </c>
      <c r="F32" s="7" t="s">
        <v>1763</v>
      </c>
      <c r="G32" s="2" t="s">
        <v>71</v>
      </c>
      <c r="H32" s="2" t="s">
        <v>1759</v>
      </c>
      <c r="I32" s="2" t="s">
        <v>1784</v>
      </c>
      <c r="J32" s="2" t="s">
        <v>1785</v>
      </c>
      <c r="K32" s="2" t="s">
        <v>1786</v>
      </c>
      <c r="L32" s="2" t="s">
        <v>35</v>
      </c>
    </row>
    <row r="33" spans="1:12" ht="37" customHeight="1">
      <c r="A33" s="2" t="s">
        <v>74</v>
      </c>
      <c r="B33" s="2" t="s">
        <v>26</v>
      </c>
      <c r="C33" s="2" t="s">
        <v>67</v>
      </c>
      <c r="D33" s="2" t="s">
        <v>65</v>
      </c>
      <c r="E33" s="7" t="s">
        <v>69</v>
      </c>
      <c r="F33" s="7" t="s">
        <v>1763</v>
      </c>
      <c r="G33" s="2" t="s">
        <v>71</v>
      </c>
      <c r="H33" s="2" t="s">
        <v>1759</v>
      </c>
      <c r="I33" s="2" t="s">
        <v>1784</v>
      </c>
      <c r="J33" s="2" t="s">
        <v>1785</v>
      </c>
      <c r="K33" s="2" t="s">
        <v>1786</v>
      </c>
      <c r="L33" s="2" t="s">
        <v>35</v>
      </c>
    </row>
    <row r="34" spans="1:12" ht="37" customHeight="1">
      <c r="A34" s="2" t="s">
        <v>74</v>
      </c>
      <c r="B34" s="2" t="s">
        <v>26</v>
      </c>
      <c r="C34" s="2" t="s">
        <v>67</v>
      </c>
      <c r="D34" s="2" t="s">
        <v>222</v>
      </c>
      <c r="E34" s="6">
        <v>1</v>
      </c>
      <c r="F34" s="7" t="s">
        <v>1764</v>
      </c>
      <c r="G34" s="2" t="s">
        <v>71</v>
      </c>
      <c r="H34" s="2" t="s">
        <v>1759</v>
      </c>
      <c r="I34" s="2" t="s">
        <v>1784</v>
      </c>
      <c r="J34" s="2" t="s">
        <v>1785</v>
      </c>
      <c r="K34" s="2" t="s">
        <v>1786</v>
      </c>
      <c r="L34" s="2" t="s">
        <v>35</v>
      </c>
    </row>
    <row r="35" spans="1:12" ht="37" customHeight="1">
      <c r="A35" s="2" t="s">
        <v>74</v>
      </c>
      <c r="B35" s="2" t="s">
        <v>26</v>
      </c>
      <c r="C35" s="2" t="s">
        <v>67</v>
      </c>
      <c r="D35" s="2" t="s">
        <v>1765</v>
      </c>
      <c r="E35" s="6" t="s">
        <v>70</v>
      </c>
      <c r="F35" s="7" t="s">
        <v>1766</v>
      </c>
      <c r="G35" s="2" t="s">
        <v>71</v>
      </c>
      <c r="H35" s="2" t="s">
        <v>1759</v>
      </c>
      <c r="I35" s="2" t="s">
        <v>1767</v>
      </c>
      <c r="J35" s="2"/>
      <c r="K35" t="s">
        <v>1787</v>
      </c>
    </row>
    <row r="36" spans="1:12" ht="34" customHeight="1">
      <c r="A36" s="2" t="s">
        <v>81</v>
      </c>
      <c r="B36" s="2" t="s">
        <v>26</v>
      </c>
      <c r="C36" s="2" t="s">
        <v>75</v>
      </c>
      <c r="D36" s="2" t="s">
        <v>1757</v>
      </c>
      <c r="E36" s="5">
        <v>1.0900000000000001</v>
      </c>
      <c r="F36" s="7" t="s">
        <v>1758</v>
      </c>
      <c r="G36" s="2" t="s">
        <v>77</v>
      </c>
      <c r="H36" s="2" t="s">
        <v>1759</v>
      </c>
      <c r="I36" s="2" t="s">
        <v>1788</v>
      </c>
      <c r="J36" s="2" t="s">
        <v>1789</v>
      </c>
      <c r="K36" s="2" t="s">
        <v>1790</v>
      </c>
      <c r="L36" s="2" t="s">
        <v>45</v>
      </c>
    </row>
    <row r="37" spans="1:12" ht="34" customHeight="1">
      <c r="A37" s="2" t="s">
        <v>81</v>
      </c>
      <c r="B37" s="2" t="s">
        <v>26</v>
      </c>
      <c r="C37" s="2" t="s">
        <v>75</v>
      </c>
      <c r="D37" s="2" t="s">
        <v>254</v>
      </c>
      <c r="E37" s="4">
        <v>0.6</v>
      </c>
      <c r="F37" s="7" t="s">
        <v>1758</v>
      </c>
      <c r="G37" s="2" t="s">
        <v>77</v>
      </c>
      <c r="H37" s="2" t="s">
        <v>1759</v>
      </c>
      <c r="I37" s="2" t="s">
        <v>1788</v>
      </c>
      <c r="J37" s="2" t="s">
        <v>1789</v>
      </c>
      <c r="K37" s="2" t="s">
        <v>1790</v>
      </c>
      <c r="L37" s="2" t="s">
        <v>45</v>
      </c>
    </row>
    <row r="38" spans="1:12" ht="34" customHeight="1">
      <c r="A38" s="2" t="s">
        <v>81</v>
      </c>
      <c r="B38" s="2" t="s">
        <v>26</v>
      </c>
      <c r="C38" s="2" t="s">
        <v>75</v>
      </c>
      <c r="D38" s="2" t="s">
        <v>124</v>
      </c>
      <c r="E38" s="5">
        <v>2.2599999999999998</v>
      </c>
      <c r="F38" s="7" t="s">
        <v>1763</v>
      </c>
      <c r="G38" s="2" t="s">
        <v>77</v>
      </c>
      <c r="H38" s="2" t="s">
        <v>1759</v>
      </c>
      <c r="I38" s="2" t="s">
        <v>1788</v>
      </c>
      <c r="J38" s="2" t="s">
        <v>1789</v>
      </c>
      <c r="K38" s="2" t="s">
        <v>1790</v>
      </c>
      <c r="L38" s="2" t="s">
        <v>45</v>
      </c>
    </row>
    <row r="39" spans="1:12" ht="34" customHeight="1">
      <c r="A39" s="2" t="s">
        <v>81</v>
      </c>
      <c r="B39" s="2" t="s">
        <v>26</v>
      </c>
      <c r="C39" s="2" t="s">
        <v>75</v>
      </c>
      <c r="D39" s="2" t="s">
        <v>65</v>
      </c>
      <c r="E39" s="4">
        <v>0.4</v>
      </c>
      <c r="F39" s="7" t="s">
        <v>1763</v>
      </c>
      <c r="G39" s="2" t="s">
        <v>77</v>
      </c>
      <c r="H39" s="2" t="s">
        <v>1759</v>
      </c>
      <c r="I39" s="2" t="s">
        <v>1788</v>
      </c>
      <c r="J39" s="2" t="s">
        <v>1789</v>
      </c>
      <c r="K39" s="2" t="s">
        <v>1790</v>
      </c>
      <c r="L39" s="2" t="s">
        <v>45</v>
      </c>
    </row>
    <row r="40" spans="1:12" ht="34" customHeight="1">
      <c r="A40" s="2" t="s">
        <v>81</v>
      </c>
      <c r="B40" s="2" t="s">
        <v>26</v>
      </c>
      <c r="C40" s="2" t="s">
        <v>75</v>
      </c>
      <c r="D40" s="2" t="s">
        <v>222</v>
      </c>
      <c r="E40" s="6">
        <v>3</v>
      </c>
      <c r="F40" s="7" t="s">
        <v>1764</v>
      </c>
      <c r="G40" s="2" t="s">
        <v>77</v>
      </c>
      <c r="H40" s="2" t="s">
        <v>1759</v>
      </c>
      <c r="I40" s="2" t="s">
        <v>1788</v>
      </c>
      <c r="J40" s="2" t="s">
        <v>1789</v>
      </c>
      <c r="K40" s="2" t="s">
        <v>1790</v>
      </c>
      <c r="L40" s="2" t="s">
        <v>45</v>
      </c>
    </row>
    <row r="41" spans="1:12" ht="34" customHeight="1">
      <c r="A41" s="2" t="s">
        <v>81</v>
      </c>
      <c r="B41" s="2" t="s">
        <v>26</v>
      </c>
      <c r="C41" s="2" t="s">
        <v>75</v>
      </c>
      <c r="D41" s="2" t="s">
        <v>1765</v>
      </c>
      <c r="E41" s="6" t="s">
        <v>76</v>
      </c>
      <c r="F41" s="7" t="s">
        <v>1766</v>
      </c>
      <c r="G41" s="2" t="s">
        <v>77</v>
      </c>
      <c r="H41" s="2" t="s">
        <v>1759</v>
      </c>
      <c r="I41" s="2" t="s">
        <v>1767</v>
      </c>
      <c r="J41" s="2"/>
      <c r="K41" t="s">
        <v>1791</v>
      </c>
    </row>
    <row r="42" spans="1:12" ht="34" customHeight="1">
      <c r="A42" s="2" t="s">
        <v>88</v>
      </c>
      <c r="B42" s="2" t="s">
        <v>26</v>
      </c>
      <c r="C42" s="2" t="s">
        <v>83</v>
      </c>
      <c r="D42" s="2" t="s">
        <v>1757</v>
      </c>
      <c r="E42" s="4">
        <v>0.6</v>
      </c>
      <c r="F42" s="7" t="s">
        <v>1758</v>
      </c>
      <c r="G42" s="2" t="s">
        <v>29</v>
      </c>
      <c r="H42" s="2" t="s">
        <v>1759</v>
      </c>
      <c r="I42" s="2" t="s">
        <v>1792</v>
      </c>
      <c r="J42" s="2" t="s">
        <v>1793</v>
      </c>
      <c r="K42" s="2" t="s">
        <v>1794</v>
      </c>
      <c r="L42" s="2" t="s">
        <v>45</v>
      </c>
    </row>
    <row r="43" spans="1:12" ht="34" customHeight="1">
      <c r="A43" s="2" t="s">
        <v>88</v>
      </c>
      <c r="B43" s="2" t="s">
        <v>26</v>
      </c>
      <c r="C43" s="2" t="s">
        <v>83</v>
      </c>
      <c r="D43" s="2" t="s">
        <v>254</v>
      </c>
      <c r="E43" s="4">
        <v>0.4</v>
      </c>
      <c r="F43" s="7" t="s">
        <v>1758</v>
      </c>
      <c r="G43" s="2" t="s">
        <v>29</v>
      </c>
      <c r="H43" s="2" t="s">
        <v>1759</v>
      </c>
      <c r="I43" s="2" t="s">
        <v>1792</v>
      </c>
      <c r="J43" s="2" t="s">
        <v>1793</v>
      </c>
      <c r="K43" s="2" t="s">
        <v>1794</v>
      </c>
      <c r="L43" s="2" t="s">
        <v>45</v>
      </c>
    </row>
    <row r="44" spans="1:12" ht="34" customHeight="1">
      <c r="A44" s="2" t="s">
        <v>88</v>
      </c>
      <c r="B44" s="2" t="s">
        <v>26</v>
      </c>
      <c r="C44" s="2" t="s">
        <v>83</v>
      </c>
      <c r="D44" s="2" t="s">
        <v>124</v>
      </c>
      <c r="E44" s="7" t="s">
        <v>84</v>
      </c>
      <c r="F44" s="7" t="s">
        <v>1763</v>
      </c>
      <c r="G44" s="2" t="s">
        <v>29</v>
      </c>
      <c r="H44" s="2" t="s">
        <v>1759</v>
      </c>
      <c r="I44" s="2" t="s">
        <v>1792</v>
      </c>
      <c r="J44" s="2" t="s">
        <v>1793</v>
      </c>
      <c r="K44" s="2" t="s">
        <v>1794</v>
      </c>
      <c r="L44" s="2" t="s">
        <v>45</v>
      </c>
    </row>
    <row r="45" spans="1:12" ht="34" customHeight="1">
      <c r="A45" s="2" t="s">
        <v>88</v>
      </c>
      <c r="B45" s="2" t="s">
        <v>26</v>
      </c>
      <c r="C45" s="2" t="s">
        <v>83</v>
      </c>
      <c r="D45" s="2" t="s">
        <v>65</v>
      </c>
      <c r="E45" s="7" t="s">
        <v>85</v>
      </c>
      <c r="F45" s="7" t="s">
        <v>1763</v>
      </c>
      <c r="G45" s="2" t="s">
        <v>29</v>
      </c>
      <c r="H45" s="2" t="s">
        <v>1759</v>
      </c>
      <c r="I45" s="2" t="s">
        <v>1792</v>
      </c>
      <c r="J45" s="2" t="s">
        <v>1793</v>
      </c>
      <c r="K45" s="2" t="s">
        <v>1794</v>
      </c>
      <c r="L45" s="2" t="s">
        <v>45</v>
      </c>
    </row>
    <row r="46" spans="1:12" ht="37" customHeight="1">
      <c r="A46" s="2" t="s">
        <v>88</v>
      </c>
      <c r="B46" s="2" t="s">
        <v>26</v>
      </c>
      <c r="C46" s="2" t="s">
        <v>83</v>
      </c>
      <c r="D46" s="2" t="s">
        <v>222</v>
      </c>
      <c r="E46" s="4">
        <v>0.5</v>
      </c>
      <c r="F46" s="7" t="s">
        <v>1764</v>
      </c>
      <c r="G46" s="2" t="s">
        <v>29</v>
      </c>
      <c r="H46" s="2" t="s">
        <v>1759</v>
      </c>
      <c r="I46" s="2" t="s">
        <v>1792</v>
      </c>
      <c r="J46" s="2" t="s">
        <v>1793</v>
      </c>
      <c r="K46" s="2" t="s">
        <v>1794</v>
      </c>
      <c r="L46" s="2" t="s">
        <v>45</v>
      </c>
    </row>
    <row r="47" spans="1:12" ht="37" customHeight="1">
      <c r="A47" s="2" t="s">
        <v>88</v>
      </c>
      <c r="B47" s="2" t="s">
        <v>26</v>
      </c>
      <c r="C47" s="2" t="s">
        <v>83</v>
      </c>
      <c r="D47" s="2" t="s">
        <v>1765</v>
      </c>
      <c r="E47" s="4" t="s">
        <v>86</v>
      </c>
      <c r="F47" s="7" t="s">
        <v>1766</v>
      </c>
      <c r="G47" s="2" t="s">
        <v>29</v>
      </c>
      <c r="H47" s="2" t="s">
        <v>1759</v>
      </c>
      <c r="I47" s="2" t="s">
        <v>1767</v>
      </c>
      <c r="J47" s="2"/>
      <c r="K47" t="s">
        <v>1795</v>
      </c>
    </row>
    <row r="48" spans="1:12" ht="37" customHeight="1">
      <c r="A48" s="2" t="s">
        <v>97</v>
      </c>
      <c r="B48" s="2" t="s">
        <v>26</v>
      </c>
      <c r="C48" s="2" t="s">
        <v>90</v>
      </c>
      <c r="D48" s="2" t="s">
        <v>1757</v>
      </c>
      <c r="E48" s="7" t="s">
        <v>91</v>
      </c>
      <c r="F48" s="7" t="s">
        <v>1758</v>
      </c>
      <c r="G48" s="2" t="s">
        <v>29</v>
      </c>
      <c r="H48" s="2" t="s">
        <v>1759</v>
      </c>
      <c r="I48" s="2" t="s">
        <v>1796</v>
      </c>
      <c r="J48" s="2" t="s">
        <v>1797</v>
      </c>
      <c r="K48" s="2" t="s">
        <v>1798</v>
      </c>
      <c r="L48" s="2" t="s">
        <v>35</v>
      </c>
    </row>
    <row r="49" spans="1:12" ht="37" customHeight="1">
      <c r="A49" s="2" t="s">
        <v>97</v>
      </c>
      <c r="B49" s="2" t="s">
        <v>26</v>
      </c>
      <c r="C49" s="2" t="s">
        <v>90</v>
      </c>
      <c r="D49" s="2" t="s">
        <v>254</v>
      </c>
      <c r="E49" s="7"/>
      <c r="F49" s="7" t="s">
        <v>1758</v>
      </c>
      <c r="G49" s="2" t="s">
        <v>29</v>
      </c>
      <c r="H49" s="2" t="s">
        <v>1773</v>
      </c>
      <c r="I49" s="2"/>
      <c r="J49" s="2"/>
      <c r="K49" s="2" t="s">
        <v>1798</v>
      </c>
      <c r="L49" s="2" t="s">
        <v>35</v>
      </c>
    </row>
    <row r="50" spans="1:12" ht="37" customHeight="1">
      <c r="A50" s="2" t="s">
        <v>97</v>
      </c>
      <c r="B50" s="2" t="s">
        <v>26</v>
      </c>
      <c r="C50" s="2" t="s">
        <v>90</v>
      </c>
      <c r="D50" s="2" t="s">
        <v>124</v>
      </c>
      <c r="E50" s="6">
        <v>2</v>
      </c>
      <c r="F50" s="7" t="s">
        <v>1763</v>
      </c>
      <c r="G50" s="2" t="s">
        <v>29</v>
      </c>
      <c r="H50" s="2" t="s">
        <v>1759</v>
      </c>
      <c r="I50" s="2" t="s">
        <v>1796</v>
      </c>
      <c r="J50" s="2" t="s">
        <v>1797</v>
      </c>
      <c r="K50" s="2" t="s">
        <v>1798</v>
      </c>
      <c r="L50" s="2" t="s">
        <v>35</v>
      </c>
    </row>
    <row r="51" spans="1:12" ht="34" customHeight="1">
      <c r="A51" s="2" t="s">
        <v>97</v>
      </c>
      <c r="B51" s="2" t="s">
        <v>26</v>
      </c>
      <c r="C51" s="2" t="s">
        <v>90</v>
      </c>
      <c r="D51" s="2" t="s">
        <v>65</v>
      </c>
      <c r="E51" s="7"/>
      <c r="F51" s="7" t="s">
        <v>1763</v>
      </c>
      <c r="G51" s="2" t="s">
        <v>29</v>
      </c>
      <c r="H51" s="2" t="s">
        <v>1773</v>
      </c>
      <c r="I51" s="2"/>
      <c r="J51" s="2"/>
      <c r="K51" s="2" t="s">
        <v>1798</v>
      </c>
      <c r="L51" s="2" t="s">
        <v>35</v>
      </c>
    </row>
    <row r="52" spans="1:12" ht="34" customHeight="1">
      <c r="A52" s="2" t="s">
        <v>97</v>
      </c>
      <c r="B52" s="2" t="s">
        <v>26</v>
      </c>
      <c r="C52" s="2" t="s">
        <v>90</v>
      </c>
      <c r="D52" s="2" t="s">
        <v>222</v>
      </c>
      <c r="E52" s="7" t="s">
        <v>92</v>
      </c>
      <c r="F52" s="7" t="s">
        <v>1764</v>
      </c>
      <c r="G52" s="2" t="s">
        <v>29</v>
      </c>
      <c r="H52" s="2" t="s">
        <v>1759</v>
      </c>
      <c r="I52" s="2" t="s">
        <v>1796</v>
      </c>
      <c r="J52" s="2" t="s">
        <v>1797</v>
      </c>
      <c r="K52" s="2" t="s">
        <v>1798</v>
      </c>
      <c r="L52" s="2" t="s">
        <v>35</v>
      </c>
    </row>
    <row r="53" spans="1:12" ht="34" customHeight="1">
      <c r="A53" s="2" t="s">
        <v>97</v>
      </c>
      <c r="B53" s="2" t="s">
        <v>26</v>
      </c>
      <c r="C53" s="2" t="s">
        <v>90</v>
      </c>
      <c r="D53" s="2" t="s">
        <v>1765</v>
      </c>
      <c r="E53" s="7" t="s">
        <v>93</v>
      </c>
      <c r="F53" s="7" t="s">
        <v>1766</v>
      </c>
      <c r="G53" s="2" t="s">
        <v>29</v>
      </c>
      <c r="H53" s="2" t="s">
        <v>1759</v>
      </c>
      <c r="I53" s="2" t="s">
        <v>1767</v>
      </c>
      <c r="J53" s="2"/>
      <c r="K53" t="s">
        <v>1799</v>
      </c>
    </row>
    <row r="54" spans="1:12" ht="34" customHeight="1">
      <c r="A54" s="2" t="s">
        <v>103</v>
      </c>
      <c r="B54" s="2" t="s">
        <v>26</v>
      </c>
      <c r="C54" s="2" t="s">
        <v>100</v>
      </c>
      <c r="D54" s="2" t="s">
        <v>1757</v>
      </c>
      <c r="E54" s="4">
        <v>5.0999999999999996</v>
      </c>
      <c r="F54" s="7" t="s">
        <v>1758</v>
      </c>
      <c r="G54" s="2" t="s">
        <v>29</v>
      </c>
      <c r="H54" s="2" t="s">
        <v>1759</v>
      </c>
      <c r="I54" s="2" t="s">
        <v>1800</v>
      </c>
      <c r="J54" s="2" t="s">
        <v>1801</v>
      </c>
      <c r="K54" s="2" t="s">
        <v>1802</v>
      </c>
      <c r="L54" s="2" t="s">
        <v>45</v>
      </c>
    </row>
    <row r="55" spans="1:12" ht="34" customHeight="1">
      <c r="A55" s="2" t="s">
        <v>103</v>
      </c>
      <c r="B55" s="2" t="s">
        <v>26</v>
      </c>
      <c r="C55" s="2" t="s">
        <v>100</v>
      </c>
      <c r="D55" s="2" t="s">
        <v>254</v>
      </c>
      <c r="E55" s="4">
        <v>1.7</v>
      </c>
      <c r="F55" s="7" t="s">
        <v>1758</v>
      </c>
      <c r="G55" s="2" t="s">
        <v>29</v>
      </c>
      <c r="H55" s="2" t="s">
        <v>1759</v>
      </c>
      <c r="I55" s="2" t="s">
        <v>1800</v>
      </c>
      <c r="J55" s="2" t="s">
        <v>1801</v>
      </c>
      <c r="K55" s="2" t="s">
        <v>1802</v>
      </c>
      <c r="L55" s="2" t="s">
        <v>45</v>
      </c>
    </row>
    <row r="56" spans="1:12" ht="34" customHeight="1">
      <c r="A56" s="2" t="s">
        <v>103</v>
      </c>
      <c r="B56" s="2" t="s">
        <v>26</v>
      </c>
      <c r="C56" s="2" t="s">
        <v>100</v>
      </c>
      <c r="D56" s="2" t="s">
        <v>124</v>
      </c>
      <c r="E56" s="4">
        <v>1.9</v>
      </c>
      <c r="F56" s="7" t="s">
        <v>1763</v>
      </c>
      <c r="G56" s="2" t="s">
        <v>29</v>
      </c>
      <c r="H56" s="2" t="s">
        <v>1759</v>
      </c>
      <c r="I56" s="2" t="s">
        <v>1800</v>
      </c>
      <c r="J56" s="2" t="s">
        <v>1801</v>
      </c>
      <c r="K56" s="2" t="s">
        <v>1802</v>
      </c>
      <c r="L56" s="2" t="s">
        <v>45</v>
      </c>
    </row>
    <row r="57" spans="1:12" ht="34" customHeight="1">
      <c r="A57" s="2" t="s">
        <v>103</v>
      </c>
      <c r="B57" s="2" t="s">
        <v>26</v>
      </c>
      <c r="C57" s="2" t="s">
        <v>100</v>
      </c>
      <c r="D57" s="2" t="s">
        <v>65</v>
      </c>
      <c r="E57" s="5">
        <v>0.53</v>
      </c>
      <c r="F57" s="7" t="s">
        <v>1763</v>
      </c>
      <c r="G57" s="2" t="s">
        <v>29</v>
      </c>
      <c r="H57" s="2" t="s">
        <v>1759</v>
      </c>
      <c r="I57" s="2" t="s">
        <v>1800</v>
      </c>
      <c r="J57" s="2" t="s">
        <v>1801</v>
      </c>
      <c r="K57" s="2" t="s">
        <v>1802</v>
      </c>
      <c r="L57" s="2" t="s">
        <v>45</v>
      </c>
    </row>
    <row r="58" spans="1:12" ht="34" customHeight="1">
      <c r="A58" s="2" t="s">
        <v>103</v>
      </c>
      <c r="B58" s="2" t="s">
        <v>26</v>
      </c>
      <c r="C58" s="2" t="s">
        <v>100</v>
      </c>
      <c r="D58" s="2" t="s">
        <v>222</v>
      </c>
      <c r="E58" s="6">
        <v>16</v>
      </c>
      <c r="F58" s="7" t="s">
        <v>1764</v>
      </c>
      <c r="G58" s="2" t="s">
        <v>29</v>
      </c>
      <c r="H58" s="2" t="s">
        <v>1759</v>
      </c>
      <c r="I58" s="2" t="s">
        <v>1800</v>
      </c>
      <c r="J58" s="2" t="s">
        <v>1801</v>
      </c>
      <c r="K58" s="2" t="s">
        <v>1802</v>
      </c>
      <c r="L58" s="2" t="s">
        <v>45</v>
      </c>
    </row>
    <row r="59" spans="1:12" ht="34" customHeight="1">
      <c r="A59" s="2" t="s">
        <v>103</v>
      </c>
      <c r="B59" s="2" t="s">
        <v>26</v>
      </c>
      <c r="C59" s="2" t="s">
        <v>100</v>
      </c>
      <c r="D59" s="2" t="s">
        <v>1765</v>
      </c>
      <c r="E59" s="6"/>
      <c r="F59" s="7" t="s">
        <v>1766</v>
      </c>
      <c r="G59" s="2" t="s">
        <v>29</v>
      </c>
      <c r="H59" s="2" t="s">
        <v>1803</v>
      </c>
      <c r="I59" s="2"/>
      <c r="J59" s="2"/>
      <c r="K59" t="s">
        <v>1804</v>
      </c>
    </row>
    <row r="60" spans="1:12" ht="34" customHeight="1">
      <c r="A60" s="2" t="s">
        <v>109</v>
      </c>
      <c r="B60" s="2" t="s">
        <v>26</v>
      </c>
      <c r="C60" s="2" t="s">
        <v>106</v>
      </c>
      <c r="D60" s="2" t="s">
        <v>1757</v>
      </c>
      <c r="E60" s="6">
        <v>6</v>
      </c>
      <c r="F60" s="7" t="s">
        <v>1758</v>
      </c>
      <c r="G60" s="2" t="s">
        <v>29</v>
      </c>
      <c r="H60" s="2" t="s">
        <v>1759</v>
      </c>
      <c r="I60" s="2" t="s">
        <v>1805</v>
      </c>
      <c r="J60" s="2" t="s">
        <v>1806</v>
      </c>
      <c r="K60" s="2" t="s">
        <v>1807</v>
      </c>
      <c r="L60" s="2" t="s">
        <v>45</v>
      </c>
    </row>
    <row r="61" spans="1:12" ht="34" customHeight="1">
      <c r="A61" s="2" t="s">
        <v>109</v>
      </c>
      <c r="B61" s="2" t="s">
        <v>26</v>
      </c>
      <c r="C61" s="2" t="s">
        <v>106</v>
      </c>
      <c r="D61" s="2" t="s">
        <v>254</v>
      </c>
      <c r="E61" s="6">
        <v>2</v>
      </c>
      <c r="F61" s="7" t="s">
        <v>1758</v>
      </c>
      <c r="G61" s="2" t="s">
        <v>29</v>
      </c>
      <c r="H61" s="2" t="s">
        <v>1759</v>
      </c>
      <c r="I61" s="2" t="s">
        <v>1805</v>
      </c>
      <c r="J61" s="2" t="s">
        <v>1806</v>
      </c>
      <c r="K61" s="2" t="s">
        <v>1807</v>
      </c>
      <c r="L61" s="2" t="s">
        <v>45</v>
      </c>
    </row>
    <row r="62" spans="1:12" ht="34" customHeight="1">
      <c r="A62" s="2" t="s">
        <v>109</v>
      </c>
      <c r="B62" s="2" t="s">
        <v>26</v>
      </c>
      <c r="C62" s="2" t="s">
        <v>106</v>
      </c>
      <c r="D62" s="2" t="s">
        <v>124</v>
      </c>
      <c r="E62" s="4">
        <v>1.9</v>
      </c>
      <c r="F62" s="7" t="s">
        <v>1763</v>
      </c>
      <c r="G62" s="2" t="s">
        <v>29</v>
      </c>
      <c r="H62" s="2" t="s">
        <v>1759</v>
      </c>
      <c r="I62" s="2" t="s">
        <v>1805</v>
      </c>
      <c r="J62" s="2" t="s">
        <v>1806</v>
      </c>
      <c r="K62" s="2" t="s">
        <v>1807</v>
      </c>
      <c r="L62" s="2" t="s">
        <v>45</v>
      </c>
    </row>
    <row r="63" spans="1:12" ht="34" customHeight="1">
      <c r="A63" s="2" t="s">
        <v>109</v>
      </c>
      <c r="B63" s="2" t="s">
        <v>26</v>
      </c>
      <c r="C63" s="2" t="s">
        <v>106</v>
      </c>
      <c r="D63" s="2" t="s">
        <v>65</v>
      </c>
      <c r="E63" s="4">
        <v>0.6</v>
      </c>
      <c r="F63" s="7" t="s">
        <v>1763</v>
      </c>
      <c r="G63" s="2" t="s">
        <v>29</v>
      </c>
      <c r="H63" s="2" t="s">
        <v>1759</v>
      </c>
      <c r="I63" s="2" t="s">
        <v>1805</v>
      </c>
      <c r="J63" s="2" t="s">
        <v>1806</v>
      </c>
      <c r="K63" s="2" t="s">
        <v>1807</v>
      </c>
      <c r="L63" s="2" t="s">
        <v>45</v>
      </c>
    </row>
    <row r="64" spans="1:12" ht="34" customHeight="1">
      <c r="A64" s="2" t="s">
        <v>109</v>
      </c>
      <c r="B64" s="2" t="s">
        <v>26</v>
      </c>
      <c r="C64" s="2" t="s">
        <v>106</v>
      </c>
      <c r="D64" s="2" t="s">
        <v>222</v>
      </c>
      <c r="E64" s="6">
        <v>15</v>
      </c>
      <c r="F64" s="7" t="s">
        <v>1764</v>
      </c>
      <c r="G64" s="2" t="s">
        <v>29</v>
      </c>
      <c r="H64" s="2" t="s">
        <v>1759</v>
      </c>
      <c r="I64" s="2" t="s">
        <v>1805</v>
      </c>
      <c r="J64" s="2" t="s">
        <v>1806</v>
      </c>
      <c r="K64" s="2" t="s">
        <v>1807</v>
      </c>
      <c r="L64" s="2" t="s">
        <v>45</v>
      </c>
    </row>
    <row r="65" spans="1:12" ht="34" customHeight="1">
      <c r="A65" s="2" t="s">
        <v>109</v>
      </c>
      <c r="B65" s="2" t="s">
        <v>26</v>
      </c>
      <c r="C65" s="2" t="s">
        <v>106</v>
      </c>
      <c r="D65" s="2" t="s">
        <v>1765</v>
      </c>
      <c r="E65" s="6" t="s">
        <v>107</v>
      </c>
      <c r="F65" s="7" t="s">
        <v>1766</v>
      </c>
      <c r="G65" s="2" t="s">
        <v>29</v>
      </c>
      <c r="H65" s="2" t="s">
        <v>1759</v>
      </c>
      <c r="I65" s="2" t="s">
        <v>1767</v>
      </c>
      <c r="J65" s="2"/>
      <c r="K65" t="s">
        <v>1808</v>
      </c>
    </row>
    <row r="66" spans="1:12" ht="37" customHeight="1">
      <c r="A66" s="2" t="s">
        <v>112</v>
      </c>
      <c r="B66" s="2" t="s">
        <v>26</v>
      </c>
      <c r="C66" s="2" t="s">
        <v>110</v>
      </c>
      <c r="D66" s="2" t="s">
        <v>1757</v>
      </c>
      <c r="E66" s="6">
        <v>4</v>
      </c>
      <c r="F66" s="7" t="s">
        <v>1758</v>
      </c>
      <c r="G66" s="2" t="s">
        <v>29</v>
      </c>
      <c r="H66" s="2" t="s">
        <v>1759</v>
      </c>
      <c r="I66" s="2" t="s">
        <v>1805</v>
      </c>
      <c r="J66" s="2" t="s">
        <v>1806</v>
      </c>
      <c r="K66" s="2" t="s">
        <v>1809</v>
      </c>
      <c r="L66" s="2" t="s">
        <v>45</v>
      </c>
    </row>
    <row r="67" spans="1:12" ht="37" customHeight="1">
      <c r="A67" s="2" t="s">
        <v>112</v>
      </c>
      <c r="B67" s="2" t="s">
        <v>26</v>
      </c>
      <c r="C67" s="2" t="s">
        <v>110</v>
      </c>
      <c r="D67" s="2" t="s">
        <v>254</v>
      </c>
      <c r="E67" s="6">
        <v>1</v>
      </c>
      <c r="F67" s="7" t="s">
        <v>1758</v>
      </c>
      <c r="G67" s="2" t="s">
        <v>29</v>
      </c>
      <c r="H67" s="2" t="s">
        <v>1759</v>
      </c>
      <c r="I67" s="2" t="s">
        <v>1805</v>
      </c>
      <c r="J67" s="2" t="s">
        <v>1806</v>
      </c>
      <c r="K67" s="2" t="s">
        <v>1809</v>
      </c>
      <c r="L67" s="2" t="s">
        <v>45</v>
      </c>
    </row>
    <row r="68" spans="1:12" ht="50.5" customHeight="1">
      <c r="A68" s="2" t="s">
        <v>112</v>
      </c>
      <c r="B68" s="2" t="s">
        <v>26</v>
      </c>
      <c r="C68" s="2" t="s">
        <v>110</v>
      </c>
      <c r="D68" s="2" t="s">
        <v>124</v>
      </c>
      <c r="E68" s="5">
        <v>1.78</v>
      </c>
      <c r="F68" s="7" t="s">
        <v>1763</v>
      </c>
      <c r="G68" s="2" t="s">
        <v>29</v>
      </c>
      <c r="H68" s="2" t="s">
        <v>1759</v>
      </c>
      <c r="I68" s="2" t="s">
        <v>1805</v>
      </c>
      <c r="J68" s="2" t="s">
        <v>1806</v>
      </c>
      <c r="K68" s="2" t="s">
        <v>1809</v>
      </c>
      <c r="L68" s="2" t="s">
        <v>45</v>
      </c>
    </row>
    <row r="69" spans="1:12" ht="37" customHeight="1">
      <c r="A69" s="2" t="s">
        <v>112</v>
      </c>
      <c r="B69" s="2" t="s">
        <v>26</v>
      </c>
      <c r="C69" s="2" t="s">
        <v>110</v>
      </c>
      <c r="D69" s="2" t="s">
        <v>65</v>
      </c>
      <c r="E69" s="4">
        <v>0.4</v>
      </c>
      <c r="F69" s="7" t="s">
        <v>1763</v>
      </c>
      <c r="G69" s="2" t="s">
        <v>29</v>
      </c>
      <c r="H69" s="2" t="s">
        <v>1759</v>
      </c>
      <c r="I69" s="2" t="s">
        <v>1805</v>
      </c>
      <c r="J69" s="2" t="s">
        <v>1806</v>
      </c>
      <c r="K69" s="2" t="s">
        <v>1809</v>
      </c>
      <c r="L69" s="2" t="s">
        <v>45</v>
      </c>
    </row>
    <row r="70" spans="1:12" ht="37" customHeight="1">
      <c r="A70" s="2" t="s">
        <v>112</v>
      </c>
      <c r="B70" s="2" t="s">
        <v>26</v>
      </c>
      <c r="C70" s="2" t="s">
        <v>110</v>
      </c>
      <c r="D70" s="2" t="s">
        <v>222</v>
      </c>
      <c r="E70" s="4">
        <v>6.3</v>
      </c>
      <c r="F70" s="7" t="s">
        <v>1764</v>
      </c>
      <c r="G70" s="2" t="s">
        <v>29</v>
      </c>
      <c r="H70" s="2" t="s">
        <v>1759</v>
      </c>
      <c r="I70" s="2" t="s">
        <v>1805</v>
      </c>
      <c r="J70" s="2" t="s">
        <v>1806</v>
      </c>
      <c r="K70" s="2" t="s">
        <v>1809</v>
      </c>
      <c r="L70" s="2" t="s">
        <v>45</v>
      </c>
    </row>
    <row r="71" spans="1:12" ht="34" customHeight="1">
      <c r="A71" s="2" t="s">
        <v>112</v>
      </c>
      <c r="B71" s="2" t="s">
        <v>26</v>
      </c>
      <c r="C71" s="2" t="s">
        <v>110</v>
      </c>
      <c r="D71" s="2" t="s">
        <v>1765</v>
      </c>
      <c r="E71" s="4" t="s">
        <v>111</v>
      </c>
      <c r="F71" s="7" t="s">
        <v>1766</v>
      </c>
      <c r="G71" s="2" t="s">
        <v>29</v>
      </c>
      <c r="H71" s="2" t="s">
        <v>1759</v>
      </c>
      <c r="I71" s="2" t="s">
        <v>1767</v>
      </c>
      <c r="J71" s="2"/>
      <c r="K71" t="s">
        <v>1810</v>
      </c>
    </row>
    <row r="72" spans="1:12" ht="34" customHeight="1">
      <c r="A72" s="2" t="s">
        <v>115</v>
      </c>
      <c r="B72" s="2" t="s">
        <v>26</v>
      </c>
      <c r="C72" s="2" t="s">
        <v>113</v>
      </c>
      <c r="D72" s="2" t="s">
        <v>1757</v>
      </c>
      <c r="E72" s="4">
        <v>1.4</v>
      </c>
      <c r="F72" s="7" t="s">
        <v>1758</v>
      </c>
      <c r="G72" s="2" t="s">
        <v>29</v>
      </c>
      <c r="H72" s="2" t="s">
        <v>1759</v>
      </c>
      <c r="I72" s="2" t="s">
        <v>1805</v>
      </c>
      <c r="J72" s="2" t="s">
        <v>1806</v>
      </c>
      <c r="K72" s="2" t="s">
        <v>1811</v>
      </c>
      <c r="L72" s="2" t="s">
        <v>45</v>
      </c>
    </row>
    <row r="73" spans="1:12" ht="34" customHeight="1">
      <c r="A73" s="2" t="s">
        <v>115</v>
      </c>
      <c r="B73" s="2" t="s">
        <v>26</v>
      </c>
      <c r="C73" s="2" t="s">
        <v>113</v>
      </c>
      <c r="D73" s="2" t="s">
        <v>254</v>
      </c>
      <c r="E73" s="6">
        <v>1</v>
      </c>
      <c r="F73" s="7" t="s">
        <v>1758</v>
      </c>
      <c r="G73" s="2" t="s">
        <v>29</v>
      </c>
      <c r="H73" s="2" t="s">
        <v>1759</v>
      </c>
      <c r="I73" s="2" t="s">
        <v>1805</v>
      </c>
      <c r="J73" s="2" t="s">
        <v>1806</v>
      </c>
      <c r="K73" s="2" t="s">
        <v>1811</v>
      </c>
      <c r="L73" s="2" t="s">
        <v>45</v>
      </c>
    </row>
    <row r="74" spans="1:12" ht="34" customHeight="1">
      <c r="A74" s="2" t="s">
        <v>115</v>
      </c>
      <c r="B74" s="2" t="s">
        <v>26</v>
      </c>
      <c r="C74" s="2" t="s">
        <v>113</v>
      </c>
      <c r="D74" s="2" t="s">
        <v>124</v>
      </c>
      <c r="E74" s="4">
        <v>2.5</v>
      </c>
      <c r="F74" s="7" t="s">
        <v>1763</v>
      </c>
      <c r="G74" s="2" t="s">
        <v>29</v>
      </c>
      <c r="H74" s="2" t="s">
        <v>1759</v>
      </c>
      <c r="I74" s="2" t="s">
        <v>1805</v>
      </c>
      <c r="J74" s="2" t="s">
        <v>1806</v>
      </c>
      <c r="K74" s="2" t="s">
        <v>1811</v>
      </c>
      <c r="L74" s="2" t="s">
        <v>45</v>
      </c>
    </row>
    <row r="75" spans="1:12" ht="34" customHeight="1">
      <c r="A75" s="2" t="s">
        <v>115</v>
      </c>
      <c r="B75" s="2" t="s">
        <v>26</v>
      </c>
      <c r="C75" s="2" t="s">
        <v>113</v>
      </c>
      <c r="D75" s="2" t="s">
        <v>65</v>
      </c>
      <c r="E75" s="5">
        <v>0.45</v>
      </c>
      <c r="F75" s="7" t="s">
        <v>1763</v>
      </c>
      <c r="G75" s="2" t="s">
        <v>29</v>
      </c>
      <c r="H75" s="2" t="s">
        <v>1759</v>
      </c>
      <c r="I75" s="2" t="s">
        <v>1805</v>
      </c>
      <c r="J75" s="2" t="s">
        <v>1806</v>
      </c>
      <c r="K75" s="2" t="s">
        <v>1811</v>
      </c>
      <c r="L75" s="2" t="s">
        <v>45</v>
      </c>
    </row>
    <row r="76" spans="1:12" ht="34" customHeight="1">
      <c r="A76" s="2" t="s">
        <v>115</v>
      </c>
      <c r="B76" s="2" t="s">
        <v>26</v>
      </c>
      <c r="C76" s="2" t="s">
        <v>113</v>
      </c>
      <c r="D76" s="2" t="s">
        <v>222</v>
      </c>
      <c r="E76" s="4">
        <v>9.1999999999999993</v>
      </c>
      <c r="F76" s="7" t="s">
        <v>1764</v>
      </c>
      <c r="G76" s="2" t="s">
        <v>29</v>
      </c>
      <c r="H76" s="2" t="s">
        <v>1759</v>
      </c>
      <c r="I76" s="2" t="s">
        <v>1805</v>
      </c>
      <c r="J76" s="2" t="s">
        <v>1806</v>
      </c>
      <c r="K76" s="2" t="s">
        <v>1811</v>
      </c>
      <c r="L76" s="2" t="s">
        <v>45</v>
      </c>
    </row>
    <row r="77" spans="1:12" ht="34" customHeight="1">
      <c r="A77" s="2" t="s">
        <v>115</v>
      </c>
      <c r="B77" s="2" t="s">
        <v>26</v>
      </c>
      <c r="C77" s="2" t="s">
        <v>113</v>
      </c>
      <c r="D77" s="2" t="s">
        <v>1765</v>
      </c>
      <c r="E77" s="4" t="s">
        <v>114</v>
      </c>
      <c r="F77" s="7" t="s">
        <v>1766</v>
      </c>
      <c r="G77" s="2" t="s">
        <v>29</v>
      </c>
      <c r="H77" s="2" t="s">
        <v>1759</v>
      </c>
      <c r="I77" s="2" t="s">
        <v>1767</v>
      </c>
      <c r="J77" s="2"/>
      <c r="K77" t="s">
        <v>1812</v>
      </c>
    </row>
    <row r="78" spans="1:12" ht="34" customHeight="1">
      <c r="A78" s="2" t="s">
        <v>121</v>
      </c>
      <c r="B78" s="2" t="s">
        <v>26</v>
      </c>
      <c r="C78" s="2" t="s">
        <v>116</v>
      </c>
      <c r="D78" s="2" t="s">
        <v>1757</v>
      </c>
      <c r="E78" s="5">
        <v>0.48</v>
      </c>
      <c r="F78" s="7" t="s">
        <v>1758</v>
      </c>
      <c r="G78" s="2" t="s">
        <v>118</v>
      </c>
      <c r="H78" s="2" t="s">
        <v>1759</v>
      </c>
      <c r="I78" s="2" t="s">
        <v>1813</v>
      </c>
      <c r="J78" s="2" t="s">
        <v>1781</v>
      </c>
      <c r="K78" s="2" t="s">
        <v>1814</v>
      </c>
      <c r="L78" s="2" t="s">
        <v>122</v>
      </c>
    </row>
    <row r="79" spans="1:12" ht="34" customHeight="1">
      <c r="A79" s="2" t="s">
        <v>121</v>
      </c>
      <c r="B79" s="2" t="s">
        <v>26</v>
      </c>
      <c r="C79" s="2" t="s">
        <v>116</v>
      </c>
      <c r="D79" s="2" t="s">
        <v>254</v>
      </c>
      <c r="E79" s="4">
        <v>0.1</v>
      </c>
      <c r="F79" s="7" t="s">
        <v>1758</v>
      </c>
      <c r="G79" s="2" t="s">
        <v>118</v>
      </c>
      <c r="H79" s="2" t="s">
        <v>1759</v>
      </c>
      <c r="I79" s="2" t="s">
        <v>1813</v>
      </c>
      <c r="J79" s="2" t="s">
        <v>1781</v>
      </c>
      <c r="K79" s="2" t="s">
        <v>1814</v>
      </c>
      <c r="L79" s="2" t="s">
        <v>122</v>
      </c>
    </row>
    <row r="80" spans="1:12" ht="34" customHeight="1">
      <c r="A80" s="2" t="s">
        <v>121</v>
      </c>
      <c r="B80" s="2" t="s">
        <v>26</v>
      </c>
      <c r="C80" s="2" t="s">
        <v>116</v>
      </c>
      <c r="D80" s="2" t="s">
        <v>124</v>
      </c>
      <c r="E80" s="13">
        <v>2.5</v>
      </c>
      <c r="F80" s="20" t="s">
        <v>1763</v>
      </c>
      <c r="G80" s="21" t="s">
        <v>118</v>
      </c>
      <c r="H80" s="21" t="s">
        <v>1779</v>
      </c>
      <c r="I80" s="2" t="s">
        <v>1815</v>
      </c>
      <c r="J80" s="2" t="s">
        <v>1781</v>
      </c>
      <c r="K80" s="2" t="s">
        <v>1816</v>
      </c>
      <c r="L80" s="2" t="s">
        <v>122</v>
      </c>
    </row>
    <row r="81" spans="1:12" ht="50.5" customHeight="1">
      <c r="A81" s="2" t="s">
        <v>121</v>
      </c>
      <c r="B81" s="2" t="s">
        <v>26</v>
      </c>
      <c r="C81" s="2" t="s">
        <v>116</v>
      </c>
      <c r="D81" s="2" t="s">
        <v>65</v>
      </c>
      <c r="E81" s="7"/>
      <c r="F81" s="7" t="s">
        <v>1763</v>
      </c>
      <c r="G81" s="2" t="s">
        <v>118</v>
      </c>
      <c r="H81" s="2" t="s">
        <v>1773</v>
      </c>
      <c r="I81" s="2"/>
      <c r="J81" s="2"/>
      <c r="K81" s="2" t="s">
        <v>1814</v>
      </c>
      <c r="L81" s="2" t="s">
        <v>122</v>
      </c>
    </row>
    <row r="82" spans="1:12" ht="50.5" customHeight="1">
      <c r="A82" s="2" t="s">
        <v>121</v>
      </c>
      <c r="B82" s="2" t="s">
        <v>26</v>
      </c>
      <c r="C82" s="2" t="s">
        <v>116</v>
      </c>
      <c r="D82" s="2" t="s">
        <v>222</v>
      </c>
      <c r="E82" s="5">
        <v>0.18</v>
      </c>
      <c r="F82" s="7" t="s">
        <v>1764</v>
      </c>
      <c r="G82" s="2" t="s">
        <v>118</v>
      </c>
      <c r="H82" s="2" t="s">
        <v>1759</v>
      </c>
      <c r="I82" s="2" t="s">
        <v>1813</v>
      </c>
      <c r="J82" s="2" t="s">
        <v>1781</v>
      </c>
      <c r="K82" s="2" t="s">
        <v>1814</v>
      </c>
      <c r="L82" s="2" t="s">
        <v>122</v>
      </c>
    </row>
    <row r="83" spans="1:12" ht="77.5" customHeight="1">
      <c r="A83" s="2" t="s">
        <v>121</v>
      </c>
      <c r="B83" s="2" t="s">
        <v>26</v>
      </c>
      <c r="C83" s="2" t="s">
        <v>116</v>
      </c>
      <c r="D83" s="2" t="s">
        <v>1765</v>
      </c>
      <c r="E83" s="5" t="s">
        <v>117</v>
      </c>
      <c r="F83" s="7" t="s">
        <v>1766</v>
      </c>
      <c r="G83" s="2" t="s">
        <v>118</v>
      </c>
      <c r="H83" s="2" t="s">
        <v>1759</v>
      </c>
      <c r="I83" s="2" t="s">
        <v>1767</v>
      </c>
      <c r="J83" s="2"/>
      <c r="K83" t="s">
        <v>1817</v>
      </c>
    </row>
    <row r="84" spans="1:12" ht="77.5" customHeight="1">
      <c r="A84" s="2" t="s">
        <v>129</v>
      </c>
      <c r="B84" s="2" t="s">
        <v>26</v>
      </c>
      <c r="C84" s="2" t="s">
        <v>126</v>
      </c>
      <c r="D84" s="2" t="s">
        <v>1757</v>
      </c>
      <c r="E84" s="4">
        <v>1.5</v>
      </c>
      <c r="F84" s="7" t="s">
        <v>1758</v>
      </c>
      <c r="G84" s="2" t="s">
        <v>29</v>
      </c>
      <c r="H84" s="2" t="s">
        <v>1759</v>
      </c>
      <c r="I84" s="2" t="s">
        <v>1818</v>
      </c>
      <c r="J84" s="2" t="s">
        <v>1819</v>
      </c>
      <c r="K84" s="2" t="s">
        <v>1820</v>
      </c>
      <c r="L84" s="2" t="s">
        <v>130</v>
      </c>
    </row>
    <row r="85" spans="1:12" ht="50.5" customHeight="1">
      <c r="A85" s="2" t="s">
        <v>129</v>
      </c>
      <c r="B85" s="2" t="s">
        <v>26</v>
      </c>
      <c r="C85" s="2" t="s">
        <v>126</v>
      </c>
      <c r="D85" s="2" t="s">
        <v>254</v>
      </c>
      <c r="E85" s="7"/>
      <c r="F85" s="7" t="s">
        <v>1758</v>
      </c>
      <c r="G85" s="2" t="s">
        <v>29</v>
      </c>
      <c r="H85" s="2" t="s">
        <v>1773</v>
      </c>
      <c r="I85" s="2"/>
      <c r="J85" s="2"/>
      <c r="K85" s="2" t="s">
        <v>1820</v>
      </c>
      <c r="L85" s="2" t="s">
        <v>130</v>
      </c>
    </row>
    <row r="86" spans="1:12" ht="37" customHeight="1">
      <c r="A86" s="2" t="s">
        <v>129</v>
      </c>
      <c r="B86" s="2" t="s">
        <v>26</v>
      </c>
      <c r="C86" s="2" t="s">
        <v>126</v>
      </c>
      <c r="D86" s="2" t="s">
        <v>124</v>
      </c>
      <c r="E86" s="7"/>
      <c r="F86" s="7" t="s">
        <v>1763</v>
      </c>
      <c r="G86" s="2" t="s">
        <v>29</v>
      </c>
      <c r="H86" s="2" t="s">
        <v>1773</v>
      </c>
      <c r="I86" s="2"/>
      <c r="J86" s="2"/>
      <c r="K86" s="2" t="s">
        <v>1820</v>
      </c>
      <c r="L86" s="2" t="s">
        <v>130</v>
      </c>
    </row>
    <row r="87" spans="1:12" ht="37" customHeight="1">
      <c r="A87" s="2" t="s">
        <v>129</v>
      </c>
      <c r="B87" s="2" t="s">
        <v>26</v>
      </c>
      <c r="C87" s="2" t="s">
        <v>126</v>
      </c>
      <c r="D87" s="2" t="s">
        <v>65</v>
      </c>
      <c r="E87" s="7"/>
      <c r="F87" s="7" t="s">
        <v>1763</v>
      </c>
      <c r="G87" s="2" t="s">
        <v>29</v>
      </c>
      <c r="H87" s="2" t="s">
        <v>1773</v>
      </c>
      <c r="I87" s="2"/>
      <c r="J87" s="2"/>
      <c r="K87" s="2" t="s">
        <v>1820</v>
      </c>
      <c r="L87" s="2" t="s">
        <v>130</v>
      </c>
    </row>
    <row r="88" spans="1:12" ht="37" customHeight="1">
      <c r="A88" s="2" t="s">
        <v>129</v>
      </c>
      <c r="B88" s="2" t="s">
        <v>26</v>
      </c>
      <c r="C88" s="2" t="s">
        <v>126</v>
      </c>
      <c r="D88" s="2" t="s">
        <v>222</v>
      </c>
      <c r="E88" s="7"/>
      <c r="F88" s="7" t="s">
        <v>1764</v>
      </c>
      <c r="G88" s="2" t="s">
        <v>29</v>
      </c>
      <c r="H88" s="2" t="s">
        <v>1773</v>
      </c>
      <c r="I88" s="2"/>
      <c r="J88" s="2"/>
      <c r="K88" s="2" t="s">
        <v>1820</v>
      </c>
      <c r="L88" s="2" t="s">
        <v>130</v>
      </c>
    </row>
    <row r="89" spans="1:12" ht="50.5" customHeight="1">
      <c r="A89" s="2" t="s">
        <v>129</v>
      </c>
      <c r="B89" s="2" t="s">
        <v>26</v>
      </c>
      <c r="C89" s="2" t="s">
        <v>126</v>
      </c>
      <c r="D89" s="2" t="s">
        <v>1765</v>
      </c>
      <c r="E89" s="7" t="s">
        <v>127</v>
      </c>
      <c r="F89" s="7" t="s">
        <v>1766</v>
      </c>
      <c r="G89" s="2" t="s">
        <v>29</v>
      </c>
      <c r="H89" s="2" t="s">
        <v>1759</v>
      </c>
      <c r="I89" s="2" t="s">
        <v>1767</v>
      </c>
      <c r="J89" s="2"/>
      <c r="K89" t="s">
        <v>1821</v>
      </c>
    </row>
    <row r="90" spans="1:12" ht="37" customHeight="1">
      <c r="A90" s="2" t="s">
        <v>140</v>
      </c>
      <c r="B90" s="2" t="s">
        <v>26</v>
      </c>
      <c r="C90" s="2" t="s">
        <v>134</v>
      </c>
      <c r="D90" s="2" t="s">
        <v>1757</v>
      </c>
      <c r="E90" s="7" t="s">
        <v>135</v>
      </c>
      <c r="F90" s="7" t="s">
        <v>1758</v>
      </c>
      <c r="G90" s="2" t="s">
        <v>29</v>
      </c>
      <c r="H90" s="2" t="s">
        <v>1759</v>
      </c>
      <c r="I90" s="2" t="s">
        <v>1822</v>
      </c>
      <c r="J90" s="2" t="s">
        <v>1823</v>
      </c>
      <c r="K90" s="2" t="s">
        <v>1824</v>
      </c>
      <c r="L90" s="2" t="s">
        <v>35</v>
      </c>
    </row>
    <row r="91" spans="1:12" ht="37" customHeight="1">
      <c r="A91" s="2" t="s">
        <v>140</v>
      </c>
      <c r="B91" s="2" t="s">
        <v>26</v>
      </c>
      <c r="C91" s="2" t="s">
        <v>134</v>
      </c>
      <c r="D91" s="2" t="s">
        <v>254</v>
      </c>
      <c r="E91" s="7" t="s">
        <v>136</v>
      </c>
      <c r="F91" s="7" t="s">
        <v>1758</v>
      </c>
      <c r="G91" s="2" t="s">
        <v>29</v>
      </c>
      <c r="H91" s="2" t="s">
        <v>1759</v>
      </c>
      <c r="I91" s="2" t="s">
        <v>1822</v>
      </c>
      <c r="J91" s="2" t="s">
        <v>1823</v>
      </c>
      <c r="K91" s="2" t="s">
        <v>1824</v>
      </c>
      <c r="L91" s="2" t="s">
        <v>35</v>
      </c>
    </row>
    <row r="92" spans="1:12" ht="37" customHeight="1">
      <c r="A92" s="2" t="s">
        <v>140</v>
      </c>
      <c r="B92" s="2" t="s">
        <v>26</v>
      </c>
      <c r="C92" s="2" t="s">
        <v>134</v>
      </c>
      <c r="D92" s="2" t="s">
        <v>124</v>
      </c>
      <c r="E92" s="7"/>
      <c r="F92" s="7" t="s">
        <v>1763</v>
      </c>
      <c r="G92" s="2" t="s">
        <v>29</v>
      </c>
      <c r="H92" s="2" t="s">
        <v>1773</v>
      </c>
      <c r="I92" s="2"/>
      <c r="J92" s="2"/>
      <c r="K92" s="2" t="s">
        <v>1824</v>
      </c>
      <c r="L92" s="2" t="s">
        <v>35</v>
      </c>
    </row>
    <row r="93" spans="1:12" ht="37" customHeight="1">
      <c r="A93" s="2" t="s">
        <v>140</v>
      </c>
      <c r="B93" s="2" t="s">
        <v>26</v>
      </c>
      <c r="C93" s="2" t="s">
        <v>134</v>
      </c>
      <c r="D93" s="2" t="s">
        <v>65</v>
      </c>
      <c r="E93" s="7"/>
      <c r="F93" s="7" t="s">
        <v>1763</v>
      </c>
      <c r="G93" s="2" t="s">
        <v>29</v>
      </c>
      <c r="H93" s="2" t="s">
        <v>1773</v>
      </c>
      <c r="I93" s="2"/>
      <c r="J93" s="2"/>
      <c r="K93" s="2" t="s">
        <v>1824</v>
      </c>
      <c r="L93" s="2" t="s">
        <v>35</v>
      </c>
    </row>
    <row r="94" spans="1:12" ht="37" customHeight="1">
      <c r="A94" s="2" t="s">
        <v>140</v>
      </c>
      <c r="B94" s="2" t="s">
        <v>26</v>
      </c>
      <c r="C94" s="2" t="s">
        <v>134</v>
      </c>
      <c r="D94" s="2" t="s">
        <v>222</v>
      </c>
      <c r="E94" s="7"/>
      <c r="F94" s="7" t="s">
        <v>1764</v>
      </c>
      <c r="G94" s="2" t="s">
        <v>29</v>
      </c>
      <c r="H94" s="2" t="s">
        <v>1773</v>
      </c>
      <c r="I94" s="2"/>
      <c r="J94" s="2"/>
      <c r="K94" s="2" t="s">
        <v>1824</v>
      </c>
      <c r="L94" s="2" t="s">
        <v>35</v>
      </c>
    </row>
    <row r="95" spans="1:12" ht="37" customHeight="1">
      <c r="A95" s="2" t="s">
        <v>140</v>
      </c>
      <c r="B95" s="2" t="s">
        <v>26</v>
      </c>
      <c r="C95" s="2" t="s">
        <v>134</v>
      </c>
      <c r="D95" s="2" t="s">
        <v>1765</v>
      </c>
      <c r="E95" s="7" t="s">
        <v>137</v>
      </c>
      <c r="F95" s="7" t="s">
        <v>1766</v>
      </c>
      <c r="G95" s="2" t="s">
        <v>29</v>
      </c>
      <c r="H95" s="2" t="s">
        <v>1759</v>
      </c>
      <c r="I95" s="2" t="s">
        <v>1767</v>
      </c>
      <c r="J95" s="2"/>
      <c r="K95" t="s">
        <v>1825</v>
      </c>
    </row>
    <row r="96" spans="1:12" ht="37" customHeight="1">
      <c r="A96" s="2" t="s">
        <v>144</v>
      </c>
      <c r="B96" s="2" t="s">
        <v>26</v>
      </c>
      <c r="C96" s="2" t="s">
        <v>143</v>
      </c>
      <c r="D96" s="2" t="s">
        <v>1757</v>
      </c>
      <c r="E96" s="5">
        <v>1.02</v>
      </c>
      <c r="F96" s="7" t="s">
        <v>1758</v>
      </c>
      <c r="G96" s="2" t="s">
        <v>60</v>
      </c>
      <c r="H96" s="2" t="s">
        <v>1759</v>
      </c>
      <c r="I96" s="2" t="s">
        <v>1826</v>
      </c>
      <c r="J96" s="2" t="s">
        <v>1781</v>
      </c>
      <c r="K96" s="2" t="s">
        <v>1827</v>
      </c>
      <c r="L96" s="2" t="s">
        <v>122</v>
      </c>
    </row>
    <row r="97" spans="1:12" ht="37" customHeight="1">
      <c r="A97" s="2" t="s">
        <v>144</v>
      </c>
      <c r="B97" s="2" t="s">
        <v>26</v>
      </c>
      <c r="C97" s="2" t="s">
        <v>143</v>
      </c>
      <c r="D97" s="2" t="s">
        <v>254</v>
      </c>
      <c r="E97" s="4">
        <v>0.2</v>
      </c>
      <c r="F97" s="7" t="s">
        <v>1758</v>
      </c>
      <c r="G97" s="2" t="s">
        <v>60</v>
      </c>
      <c r="H97" s="2" t="s">
        <v>1759</v>
      </c>
      <c r="I97" s="2" t="s">
        <v>1826</v>
      </c>
      <c r="J97" s="2" t="s">
        <v>1781</v>
      </c>
      <c r="K97" s="2" t="s">
        <v>1827</v>
      </c>
      <c r="L97" s="2" t="s">
        <v>122</v>
      </c>
    </row>
    <row r="98" spans="1:12" ht="37" customHeight="1">
      <c r="A98" s="2" t="s">
        <v>144</v>
      </c>
      <c r="B98" s="2" t="s">
        <v>26</v>
      </c>
      <c r="C98" s="2" t="s">
        <v>143</v>
      </c>
      <c r="D98" s="2" t="s">
        <v>124</v>
      </c>
      <c r="E98" s="11">
        <v>1</v>
      </c>
      <c r="F98" s="20" t="s">
        <v>1763</v>
      </c>
      <c r="G98" s="21" t="s">
        <v>60</v>
      </c>
      <c r="H98" s="21" t="s">
        <v>1779</v>
      </c>
      <c r="I98" s="2" t="s">
        <v>1828</v>
      </c>
      <c r="J98" s="2" t="s">
        <v>1781</v>
      </c>
      <c r="K98" s="2" t="s">
        <v>1829</v>
      </c>
      <c r="L98" s="2" t="s">
        <v>122</v>
      </c>
    </row>
    <row r="99" spans="1:12" ht="37" customHeight="1">
      <c r="A99" s="2" t="s">
        <v>144</v>
      </c>
      <c r="B99" s="2" t="s">
        <v>26</v>
      </c>
      <c r="C99" s="2" t="s">
        <v>143</v>
      </c>
      <c r="D99" s="2" t="s">
        <v>65</v>
      </c>
      <c r="E99" s="11">
        <v>0</v>
      </c>
      <c r="F99" s="20" t="s">
        <v>1763</v>
      </c>
      <c r="G99" s="21" t="s">
        <v>60</v>
      </c>
      <c r="H99" s="21" t="s">
        <v>1779</v>
      </c>
      <c r="I99" s="2" t="s">
        <v>1828</v>
      </c>
      <c r="J99" s="2" t="s">
        <v>1781</v>
      </c>
      <c r="K99" s="2" t="s">
        <v>1830</v>
      </c>
      <c r="L99" s="2" t="s">
        <v>122</v>
      </c>
    </row>
    <row r="100" spans="1:12" ht="37" customHeight="1">
      <c r="A100" s="2" t="s">
        <v>144</v>
      </c>
      <c r="B100" s="2" t="s">
        <v>26</v>
      </c>
      <c r="C100" s="2" t="s">
        <v>143</v>
      </c>
      <c r="D100" s="2" t="s">
        <v>222</v>
      </c>
      <c r="E100" s="8">
        <v>0.22500000000000001</v>
      </c>
      <c r="F100" s="7" t="s">
        <v>1764</v>
      </c>
      <c r="G100" s="2" t="s">
        <v>60</v>
      </c>
      <c r="H100" s="2" t="s">
        <v>1759</v>
      </c>
      <c r="I100" s="2" t="s">
        <v>1826</v>
      </c>
      <c r="J100" s="2" t="s">
        <v>1781</v>
      </c>
      <c r="K100" s="2" t="s">
        <v>1827</v>
      </c>
      <c r="L100" s="2" t="s">
        <v>122</v>
      </c>
    </row>
    <row r="101" spans="1:12" ht="50.5" customHeight="1">
      <c r="A101" s="2" t="s">
        <v>144</v>
      </c>
      <c r="B101" s="2" t="s">
        <v>26</v>
      </c>
      <c r="C101" s="2" t="s">
        <v>143</v>
      </c>
      <c r="D101" s="2" t="s">
        <v>1765</v>
      </c>
      <c r="E101" s="8" t="s">
        <v>76</v>
      </c>
      <c r="F101" s="7" t="s">
        <v>1766</v>
      </c>
      <c r="G101" s="2" t="s">
        <v>60</v>
      </c>
      <c r="H101" s="2" t="s">
        <v>1759</v>
      </c>
      <c r="I101" s="2" t="s">
        <v>1767</v>
      </c>
      <c r="J101" s="2"/>
      <c r="K101" t="s">
        <v>1817</v>
      </c>
    </row>
    <row r="102" spans="1:12" ht="50.5" customHeight="1">
      <c r="A102" s="2" t="s">
        <v>153</v>
      </c>
      <c r="B102" s="2" t="s">
        <v>26</v>
      </c>
      <c r="C102" s="2" t="s">
        <v>149</v>
      </c>
      <c r="D102" s="2" t="s">
        <v>1757</v>
      </c>
      <c r="E102" s="5">
        <v>1.02</v>
      </c>
      <c r="F102" s="7" t="s">
        <v>1758</v>
      </c>
      <c r="G102" s="2" t="s">
        <v>150</v>
      </c>
      <c r="H102" s="2" t="s">
        <v>1759</v>
      </c>
      <c r="I102" s="2" t="s">
        <v>1776</v>
      </c>
      <c r="J102" s="2" t="s">
        <v>1777</v>
      </c>
      <c r="K102" s="2" t="s">
        <v>1831</v>
      </c>
      <c r="L102" s="2" t="s">
        <v>45</v>
      </c>
    </row>
    <row r="103" spans="1:12" ht="77.5" customHeight="1">
      <c r="A103" s="2" t="s">
        <v>153</v>
      </c>
      <c r="B103" s="2" t="s">
        <v>26</v>
      </c>
      <c r="C103" s="2" t="s">
        <v>149</v>
      </c>
      <c r="D103" s="2" t="s">
        <v>254</v>
      </c>
      <c r="E103" s="5">
        <v>0.26</v>
      </c>
      <c r="F103" s="7" t="s">
        <v>1758</v>
      </c>
      <c r="G103" s="2" t="s">
        <v>150</v>
      </c>
      <c r="H103" s="2" t="s">
        <v>1759</v>
      </c>
      <c r="I103" s="2" t="s">
        <v>1776</v>
      </c>
      <c r="J103" s="2" t="s">
        <v>1777</v>
      </c>
      <c r="K103" s="2" t="s">
        <v>1831</v>
      </c>
      <c r="L103" s="2" t="s">
        <v>45</v>
      </c>
    </row>
    <row r="104" spans="1:12" ht="77.5" customHeight="1">
      <c r="A104" s="2" t="s">
        <v>153</v>
      </c>
      <c r="B104" s="2" t="s">
        <v>26</v>
      </c>
      <c r="C104" s="2" t="s">
        <v>149</v>
      </c>
      <c r="D104" s="2" t="s">
        <v>124</v>
      </c>
      <c r="E104" s="6">
        <v>1</v>
      </c>
      <c r="F104" s="7" t="s">
        <v>1763</v>
      </c>
      <c r="G104" s="2" t="s">
        <v>150</v>
      </c>
      <c r="H104" s="2" t="s">
        <v>1759</v>
      </c>
      <c r="I104" s="2" t="s">
        <v>1776</v>
      </c>
      <c r="J104" s="2" t="s">
        <v>1777</v>
      </c>
      <c r="K104" s="2" t="s">
        <v>1831</v>
      </c>
      <c r="L104" s="2" t="s">
        <v>45</v>
      </c>
    </row>
    <row r="105" spans="1:12" ht="50.5" customHeight="1">
      <c r="A105" s="2" t="s">
        <v>153</v>
      </c>
      <c r="B105" s="2" t="s">
        <v>26</v>
      </c>
      <c r="C105" s="2" t="s">
        <v>149</v>
      </c>
      <c r="D105" s="2" t="s">
        <v>65</v>
      </c>
      <c r="E105" s="11">
        <v>0</v>
      </c>
      <c r="F105" s="20" t="s">
        <v>1763</v>
      </c>
      <c r="G105" s="21" t="s">
        <v>150</v>
      </c>
      <c r="H105" s="21" t="s">
        <v>1779</v>
      </c>
      <c r="I105" s="2" t="s">
        <v>1832</v>
      </c>
      <c r="J105" s="2" t="s">
        <v>1833</v>
      </c>
      <c r="K105" s="2" t="s">
        <v>1834</v>
      </c>
      <c r="L105" s="2" t="s">
        <v>45</v>
      </c>
    </row>
    <row r="106" spans="1:12" ht="37" customHeight="1">
      <c r="A106" s="2" t="s">
        <v>153</v>
      </c>
      <c r="B106" s="2" t="s">
        <v>26</v>
      </c>
      <c r="C106" s="2" t="s">
        <v>149</v>
      </c>
      <c r="D106" s="2" t="s">
        <v>222</v>
      </c>
      <c r="E106" s="5">
        <v>0.35</v>
      </c>
      <c r="F106" s="7" t="s">
        <v>1764</v>
      </c>
      <c r="G106" s="2" t="s">
        <v>150</v>
      </c>
      <c r="H106" s="2" t="s">
        <v>1759</v>
      </c>
      <c r="I106" s="2" t="s">
        <v>1776</v>
      </c>
      <c r="J106" s="2" t="s">
        <v>1777</v>
      </c>
      <c r="K106" s="2" t="s">
        <v>1831</v>
      </c>
      <c r="L106" s="2" t="s">
        <v>45</v>
      </c>
    </row>
    <row r="107" spans="1:12" ht="37" customHeight="1">
      <c r="A107" s="2" t="s">
        <v>153</v>
      </c>
      <c r="B107" s="2" t="s">
        <v>26</v>
      </c>
      <c r="C107" s="2" t="s">
        <v>149</v>
      </c>
      <c r="D107" s="2" t="s">
        <v>1765</v>
      </c>
      <c r="E107" s="5" t="s">
        <v>76</v>
      </c>
      <c r="F107" s="7" t="s">
        <v>1766</v>
      </c>
      <c r="G107" s="2" t="s">
        <v>150</v>
      </c>
      <c r="H107" s="2" t="s">
        <v>1759</v>
      </c>
      <c r="I107" s="2" t="s">
        <v>1767</v>
      </c>
      <c r="J107" s="2"/>
      <c r="K107" t="s">
        <v>1817</v>
      </c>
    </row>
    <row r="108" spans="1:12" ht="37" customHeight="1">
      <c r="A108" s="2" t="s">
        <v>160</v>
      </c>
      <c r="B108" s="2" t="s">
        <v>26</v>
      </c>
      <c r="C108" s="2" t="s">
        <v>156</v>
      </c>
      <c r="D108" s="2" t="s">
        <v>1757</v>
      </c>
      <c r="E108" s="5">
        <v>1.64</v>
      </c>
      <c r="F108" s="7" t="s">
        <v>1758</v>
      </c>
      <c r="G108" s="2" t="s">
        <v>158</v>
      </c>
      <c r="H108" s="2" t="s">
        <v>1759</v>
      </c>
      <c r="I108" s="2" t="s">
        <v>1835</v>
      </c>
      <c r="J108" s="2" t="s">
        <v>1836</v>
      </c>
      <c r="K108" s="2" t="s">
        <v>1837</v>
      </c>
      <c r="L108" s="2" t="s">
        <v>45</v>
      </c>
    </row>
    <row r="109" spans="1:12" ht="64" customHeight="1">
      <c r="A109" s="2" t="s">
        <v>160</v>
      </c>
      <c r="B109" s="2" t="s">
        <v>26</v>
      </c>
      <c r="C109" s="2" t="s">
        <v>156</v>
      </c>
      <c r="D109" s="2" t="s">
        <v>254</v>
      </c>
      <c r="E109" s="4">
        <v>0.4</v>
      </c>
      <c r="F109" s="7" t="s">
        <v>1758</v>
      </c>
      <c r="G109" s="2" t="s">
        <v>158</v>
      </c>
      <c r="H109" s="2" t="s">
        <v>1759</v>
      </c>
      <c r="I109" s="2" t="s">
        <v>1835</v>
      </c>
      <c r="J109" s="2" t="s">
        <v>1836</v>
      </c>
      <c r="K109" s="2" t="s">
        <v>1837</v>
      </c>
      <c r="L109" s="2" t="s">
        <v>45</v>
      </c>
    </row>
    <row r="110" spans="1:12" ht="37" customHeight="1">
      <c r="A110" s="2" t="s">
        <v>160</v>
      </c>
      <c r="B110" s="2" t="s">
        <v>26</v>
      </c>
      <c r="C110" s="2" t="s">
        <v>156</v>
      </c>
      <c r="D110" s="2" t="s">
        <v>124</v>
      </c>
      <c r="E110" s="6">
        <v>1</v>
      </c>
      <c r="F110" s="7" t="s">
        <v>1763</v>
      </c>
      <c r="G110" s="2" t="s">
        <v>158</v>
      </c>
      <c r="H110" s="2" t="s">
        <v>1759</v>
      </c>
      <c r="I110" s="2" t="s">
        <v>1835</v>
      </c>
      <c r="J110" s="2" t="s">
        <v>1836</v>
      </c>
      <c r="K110" s="2" t="s">
        <v>1837</v>
      </c>
      <c r="L110" s="2" t="s">
        <v>45</v>
      </c>
    </row>
    <row r="111" spans="1:12" ht="50.5" customHeight="1">
      <c r="A111" s="2" t="s">
        <v>160</v>
      </c>
      <c r="B111" s="2" t="s">
        <v>26</v>
      </c>
      <c r="C111" s="2" t="s">
        <v>156</v>
      </c>
      <c r="D111" s="2" t="s">
        <v>65</v>
      </c>
      <c r="E111" s="6">
        <v>0</v>
      </c>
      <c r="F111" s="7" t="s">
        <v>1763</v>
      </c>
      <c r="G111" s="2" t="s">
        <v>158</v>
      </c>
      <c r="H111" s="2" t="s">
        <v>1759</v>
      </c>
      <c r="I111" s="2" t="s">
        <v>1835</v>
      </c>
      <c r="J111" s="2" t="s">
        <v>1836</v>
      </c>
      <c r="K111" s="2" t="s">
        <v>1837</v>
      </c>
      <c r="L111" s="2" t="s">
        <v>45</v>
      </c>
    </row>
    <row r="112" spans="1:12" ht="50.5" customHeight="1">
      <c r="A112" s="2" t="s">
        <v>160</v>
      </c>
      <c r="B112" s="2" t="s">
        <v>26</v>
      </c>
      <c r="C112" s="2" t="s">
        <v>156</v>
      </c>
      <c r="D112" s="2" t="s">
        <v>222</v>
      </c>
      <c r="E112" s="5">
        <v>0.48</v>
      </c>
      <c r="F112" s="7" t="s">
        <v>1764</v>
      </c>
      <c r="G112" s="2" t="s">
        <v>158</v>
      </c>
      <c r="H112" s="2" t="s">
        <v>1759</v>
      </c>
      <c r="I112" s="2" t="s">
        <v>1835</v>
      </c>
      <c r="J112" s="2" t="s">
        <v>1836</v>
      </c>
      <c r="K112" s="2" t="s">
        <v>1837</v>
      </c>
      <c r="L112" s="2" t="s">
        <v>45</v>
      </c>
    </row>
    <row r="113" spans="1:12" ht="50.5" customHeight="1">
      <c r="A113" s="2" t="s">
        <v>160</v>
      </c>
      <c r="B113" s="2" t="s">
        <v>26</v>
      </c>
      <c r="C113" s="2" t="s">
        <v>156</v>
      </c>
      <c r="D113" s="2" t="s">
        <v>1765</v>
      </c>
      <c r="E113" s="5" t="s">
        <v>157</v>
      </c>
      <c r="F113" s="7" t="s">
        <v>1766</v>
      </c>
      <c r="G113" s="2" t="s">
        <v>158</v>
      </c>
      <c r="H113" s="2" t="s">
        <v>1759</v>
      </c>
      <c r="I113" s="2" t="s">
        <v>1767</v>
      </c>
      <c r="J113" s="2"/>
      <c r="K113" t="s">
        <v>1838</v>
      </c>
    </row>
    <row r="114" spans="1:12" ht="77.5" customHeight="1">
      <c r="A114" s="2" t="s">
        <v>166</v>
      </c>
      <c r="B114" s="2" t="s">
        <v>26</v>
      </c>
      <c r="C114" s="2" t="s">
        <v>162</v>
      </c>
      <c r="D114" s="2" t="s">
        <v>1757</v>
      </c>
      <c r="E114" s="5">
        <v>1.78</v>
      </c>
      <c r="F114" s="7" t="s">
        <v>1758</v>
      </c>
      <c r="G114" s="2" t="s">
        <v>29</v>
      </c>
      <c r="H114" s="2" t="s">
        <v>1759</v>
      </c>
      <c r="I114" s="2" t="s">
        <v>1839</v>
      </c>
      <c r="J114" s="2" t="s">
        <v>1840</v>
      </c>
      <c r="K114" s="2" t="s">
        <v>1841</v>
      </c>
      <c r="L114" s="2" t="s">
        <v>45</v>
      </c>
    </row>
    <row r="115" spans="1:12" ht="50.5" customHeight="1">
      <c r="A115" s="2" t="s">
        <v>166</v>
      </c>
      <c r="B115" s="2" t="s">
        <v>26</v>
      </c>
      <c r="C115" s="2" t="s">
        <v>162</v>
      </c>
      <c r="D115" s="2" t="s">
        <v>254</v>
      </c>
      <c r="E115" s="5">
        <v>0.65</v>
      </c>
      <c r="F115" s="7" t="s">
        <v>1758</v>
      </c>
      <c r="G115" s="2" t="s">
        <v>29</v>
      </c>
      <c r="H115" s="2" t="s">
        <v>1759</v>
      </c>
      <c r="I115" s="2" t="s">
        <v>1839</v>
      </c>
      <c r="J115" s="2" t="s">
        <v>1840</v>
      </c>
      <c r="K115" s="2" t="s">
        <v>1841</v>
      </c>
      <c r="L115" s="2" t="s">
        <v>45</v>
      </c>
    </row>
    <row r="116" spans="1:12" ht="34" customHeight="1">
      <c r="A116" s="2" t="s">
        <v>166</v>
      </c>
      <c r="B116" s="2" t="s">
        <v>26</v>
      </c>
      <c r="C116" s="2" t="s">
        <v>162</v>
      </c>
      <c r="D116" s="2" t="s">
        <v>124</v>
      </c>
      <c r="E116" s="6">
        <v>2</v>
      </c>
      <c r="F116" s="7" t="s">
        <v>1763</v>
      </c>
      <c r="G116" s="2" t="s">
        <v>29</v>
      </c>
      <c r="H116" s="2" t="s">
        <v>1759</v>
      </c>
      <c r="I116" s="2" t="s">
        <v>1839</v>
      </c>
      <c r="J116" s="2" t="s">
        <v>1840</v>
      </c>
      <c r="K116" s="2" t="s">
        <v>1841</v>
      </c>
      <c r="L116" s="2" t="s">
        <v>45</v>
      </c>
    </row>
    <row r="117" spans="1:12" ht="34" customHeight="1">
      <c r="A117" s="2" t="s">
        <v>166</v>
      </c>
      <c r="B117" s="2" t="s">
        <v>26</v>
      </c>
      <c r="C117" s="2" t="s">
        <v>162</v>
      </c>
      <c r="D117" s="2" t="s">
        <v>65</v>
      </c>
      <c r="E117" s="7" t="s">
        <v>163</v>
      </c>
      <c r="F117" s="7" t="s">
        <v>1763</v>
      </c>
      <c r="G117" s="2" t="s">
        <v>29</v>
      </c>
      <c r="H117" s="2" t="s">
        <v>1759</v>
      </c>
      <c r="I117" s="2" t="s">
        <v>1839</v>
      </c>
      <c r="J117" s="2" t="s">
        <v>1840</v>
      </c>
      <c r="K117" s="2" t="s">
        <v>1841</v>
      </c>
      <c r="L117" s="2" t="s">
        <v>45</v>
      </c>
    </row>
    <row r="118" spans="1:12" ht="34" customHeight="1">
      <c r="A118" s="2" t="s">
        <v>166</v>
      </c>
      <c r="B118" s="2" t="s">
        <v>26</v>
      </c>
      <c r="C118" s="2" t="s">
        <v>162</v>
      </c>
      <c r="D118" s="2" t="s">
        <v>222</v>
      </c>
      <c r="E118" s="4">
        <v>2.5</v>
      </c>
      <c r="F118" s="7" t="s">
        <v>1764</v>
      </c>
      <c r="G118" s="2" t="s">
        <v>29</v>
      </c>
      <c r="H118" s="2" t="s">
        <v>1759</v>
      </c>
      <c r="I118" s="2" t="s">
        <v>1839</v>
      </c>
      <c r="J118" s="2" t="s">
        <v>1840</v>
      </c>
      <c r="K118" s="2" t="s">
        <v>1841</v>
      </c>
      <c r="L118" s="2" t="s">
        <v>45</v>
      </c>
    </row>
    <row r="119" spans="1:12" ht="34" customHeight="1">
      <c r="A119" s="2" t="s">
        <v>166</v>
      </c>
      <c r="B119" s="2" t="s">
        <v>26</v>
      </c>
      <c r="C119" s="2" t="s">
        <v>162</v>
      </c>
      <c r="D119" s="2" t="s">
        <v>1765</v>
      </c>
      <c r="E119" s="4" t="s">
        <v>76</v>
      </c>
      <c r="F119" s="7" t="s">
        <v>1766</v>
      </c>
      <c r="G119" s="2" t="s">
        <v>29</v>
      </c>
      <c r="H119" s="2" t="s">
        <v>1759</v>
      </c>
      <c r="I119" s="2" t="s">
        <v>1767</v>
      </c>
      <c r="J119" s="2"/>
      <c r="K119" t="s">
        <v>1795</v>
      </c>
    </row>
    <row r="120" spans="1:12" ht="34" customHeight="1">
      <c r="A120" s="2" t="s">
        <v>169</v>
      </c>
      <c r="B120" s="2" t="s">
        <v>26</v>
      </c>
      <c r="C120" s="2" t="s">
        <v>168</v>
      </c>
      <c r="D120" s="2" t="s">
        <v>1757</v>
      </c>
      <c r="E120" s="5">
        <v>0.45</v>
      </c>
      <c r="F120" s="7" t="s">
        <v>1758</v>
      </c>
      <c r="G120" s="2" t="s">
        <v>60</v>
      </c>
      <c r="H120" s="2" t="s">
        <v>1759</v>
      </c>
      <c r="I120" s="2" t="s">
        <v>1842</v>
      </c>
      <c r="J120" s="2" t="s">
        <v>1781</v>
      </c>
      <c r="K120" s="2" t="s">
        <v>1843</v>
      </c>
      <c r="L120" s="2" t="s">
        <v>122</v>
      </c>
    </row>
    <row r="121" spans="1:12" ht="37" customHeight="1">
      <c r="A121" s="2" t="s">
        <v>169</v>
      </c>
      <c r="B121" s="2" t="s">
        <v>26</v>
      </c>
      <c r="C121" s="2" t="s">
        <v>168</v>
      </c>
      <c r="D121" s="2" t="s">
        <v>254</v>
      </c>
      <c r="E121" s="5">
        <v>0.12</v>
      </c>
      <c r="F121" s="7" t="s">
        <v>1758</v>
      </c>
      <c r="G121" s="2" t="s">
        <v>60</v>
      </c>
      <c r="H121" s="2" t="s">
        <v>1759</v>
      </c>
      <c r="I121" s="2" t="s">
        <v>1842</v>
      </c>
      <c r="J121" s="2" t="s">
        <v>1781</v>
      </c>
      <c r="K121" s="2" t="s">
        <v>1843</v>
      </c>
      <c r="L121" s="2" t="s">
        <v>122</v>
      </c>
    </row>
    <row r="122" spans="1:12" ht="37" customHeight="1">
      <c r="A122" s="2" t="s">
        <v>169</v>
      </c>
      <c r="B122" s="2" t="s">
        <v>26</v>
      </c>
      <c r="C122" s="2" t="s">
        <v>168</v>
      </c>
      <c r="D122" s="2" t="s">
        <v>124</v>
      </c>
      <c r="E122" s="11">
        <v>1</v>
      </c>
      <c r="F122" s="20" t="s">
        <v>1763</v>
      </c>
      <c r="G122" s="21" t="s">
        <v>60</v>
      </c>
      <c r="H122" s="21" t="s">
        <v>1779</v>
      </c>
      <c r="I122" s="2" t="s">
        <v>1844</v>
      </c>
      <c r="J122" s="2" t="s">
        <v>1781</v>
      </c>
      <c r="K122" s="2" t="s">
        <v>1845</v>
      </c>
      <c r="L122" s="2" t="s">
        <v>122</v>
      </c>
    </row>
    <row r="123" spans="1:12" ht="37" customHeight="1">
      <c r="A123" s="2" t="s">
        <v>169</v>
      </c>
      <c r="B123" s="2" t="s">
        <v>26</v>
      </c>
      <c r="C123" s="2" t="s">
        <v>168</v>
      </c>
      <c r="D123" s="2" t="s">
        <v>65</v>
      </c>
      <c r="E123" s="11">
        <v>0</v>
      </c>
      <c r="F123" s="20" t="s">
        <v>1763</v>
      </c>
      <c r="G123" s="21" t="s">
        <v>60</v>
      </c>
      <c r="H123" s="21" t="s">
        <v>1779</v>
      </c>
      <c r="I123" s="2" t="s">
        <v>1844</v>
      </c>
      <c r="J123" s="2" t="s">
        <v>1781</v>
      </c>
      <c r="K123" s="2" t="s">
        <v>1846</v>
      </c>
      <c r="L123" s="2" t="s">
        <v>122</v>
      </c>
    </row>
    <row r="124" spans="1:12" ht="37" customHeight="1">
      <c r="A124" s="2" t="s">
        <v>169</v>
      </c>
      <c r="B124" s="2" t="s">
        <v>26</v>
      </c>
      <c r="C124" s="2" t="s">
        <v>168</v>
      </c>
      <c r="D124" s="2" t="s">
        <v>222</v>
      </c>
      <c r="E124" s="5">
        <v>0.04</v>
      </c>
      <c r="F124" s="7" t="s">
        <v>1764</v>
      </c>
      <c r="G124" s="2" t="s">
        <v>60</v>
      </c>
      <c r="H124" s="2" t="s">
        <v>1759</v>
      </c>
      <c r="I124" s="2" t="s">
        <v>1842</v>
      </c>
      <c r="J124" s="2" t="s">
        <v>1781</v>
      </c>
      <c r="K124" s="2" t="s">
        <v>1843</v>
      </c>
      <c r="L124" s="2" t="s">
        <v>122</v>
      </c>
    </row>
    <row r="125" spans="1:12" ht="37" customHeight="1">
      <c r="A125" s="2" t="s">
        <v>169</v>
      </c>
      <c r="B125" s="2" t="s">
        <v>26</v>
      </c>
      <c r="C125" s="2" t="s">
        <v>168</v>
      </c>
      <c r="D125" s="2" t="s">
        <v>1765</v>
      </c>
      <c r="E125" s="5" t="s">
        <v>59</v>
      </c>
      <c r="F125" s="7" t="s">
        <v>1766</v>
      </c>
      <c r="G125" s="2" t="s">
        <v>60</v>
      </c>
      <c r="H125" s="2" t="s">
        <v>1759</v>
      </c>
      <c r="I125" s="2" t="s">
        <v>1767</v>
      </c>
      <c r="J125" s="2"/>
      <c r="K125" t="s">
        <v>1847</v>
      </c>
    </row>
    <row r="126" spans="1:12" ht="37" customHeight="1">
      <c r="A126" s="2" t="s">
        <v>174</v>
      </c>
      <c r="B126" s="2" t="s">
        <v>26</v>
      </c>
      <c r="C126" s="2" t="s">
        <v>171</v>
      </c>
      <c r="D126" s="2" t="s">
        <v>1757</v>
      </c>
      <c r="E126" s="5">
        <v>0.65</v>
      </c>
      <c r="F126" s="7" t="s">
        <v>1758</v>
      </c>
      <c r="G126" s="2" t="s">
        <v>60</v>
      </c>
      <c r="H126" s="2" t="s">
        <v>1759</v>
      </c>
      <c r="I126" s="2" t="s">
        <v>1776</v>
      </c>
      <c r="J126" s="2" t="s">
        <v>1777</v>
      </c>
      <c r="K126" s="2" t="s">
        <v>1778</v>
      </c>
      <c r="L126" s="2" t="s">
        <v>45</v>
      </c>
    </row>
    <row r="127" spans="1:12" ht="37" customHeight="1">
      <c r="A127" s="2" t="s">
        <v>174</v>
      </c>
      <c r="B127" s="2" t="s">
        <v>26</v>
      </c>
      <c r="C127" s="2" t="s">
        <v>171</v>
      </c>
      <c r="D127" s="2" t="s">
        <v>254</v>
      </c>
      <c r="E127" s="4">
        <v>0.2</v>
      </c>
      <c r="F127" s="7" t="s">
        <v>1758</v>
      </c>
      <c r="G127" s="2" t="s">
        <v>60</v>
      </c>
      <c r="H127" s="2" t="s">
        <v>1759</v>
      </c>
      <c r="I127" s="2" t="s">
        <v>1776</v>
      </c>
      <c r="J127" s="2" t="s">
        <v>1777</v>
      </c>
      <c r="K127" s="2" t="s">
        <v>1778</v>
      </c>
      <c r="L127" s="2" t="s">
        <v>45</v>
      </c>
    </row>
    <row r="128" spans="1:12" ht="37" customHeight="1">
      <c r="A128" s="2" t="s">
        <v>174</v>
      </c>
      <c r="B128" s="2" t="s">
        <v>26</v>
      </c>
      <c r="C128" s="2" t="s">
        <v>171</v>
      </c>
      <c r="D128" s="2" t="s">
        <v>124</v>
      </c>
      <c r="E128" s="6">
        <v>1</v>
      </c>
      <c r="F128" s="7" t="s">
        <v>1763</v>
      </c>
      <c r="G128" s="2" t="s">
        <v>60</v>
      </c>
      <c r="H128" s="2" t="s">
        <v>1759</v>
      </c>
      <c r="I128" s="2" t="s">
        <v>1776</v>
      </c>
      <c r="J128" s="2" t="s">
        <v>1777</v>
      </c>
      <c r="K128" s="2" t="s">
        <v>1778</v>
      </c>
      <c r="L128" s="2" t="s">
        <v>45</v>
      </c>
    </row>
    <row r="129" spans="1:12" ht="64" customHeight="1">
      <c r="A129" s="2" t="s">
        <v>174</v>
      </c>
      <c r="B129" s="2" t="s">
        <v>26</v>
      </c>
      <c r="C129" s="2" t="s">
        <v>171</v>
      </c>
      <c r="D129" s="2" t="s">
        <v>65</v>
      </c>
      <c r="E129" s="11">
        <v>0</v>
      </c>
      <c r="F129" s="20" t="s">
        <v>1763</v>
      </c>
      <c r="G129" s="21" t="s">
        <v>60</v>
      </c>
      <c r="H129" s="21" t="s">
        <v>1779</v>
      </c>
      <c r="I129" s="2" t="s">
        <v>1848</v>
      </c>
      <c r="J129" s="2" t="s">
        <v>1781</v>
      </c>
      <c r="K129" s="2" t="s">
        <v>1782</v>
      </c>
      <c r="L129" s="2" t="s">
        <v>45</v>
      </c>
    </row>
    <row r="130" spans="1:12" ht="37" customHeight="1">
      <c r="A130" s="2" t="s">
        <v>174</v>
      </c>
      <c r="B130" s="2" t="s">
        <v>26</v>
      </c>
      <c r="C130" s="2" t="s">
        <v>171</v>
      </c>
      <c r="D130" s="2" t="s">
        <v>222</v>
      </c>
      <c r="E130" s="5">
        <v>0.15</v>
      </c>
      <c r="F130" s="7" t="s">
        <v>1764</v>
      </c>
      <c r="G130" s="2" t="s">
        <v>60</v>
      </c>
      <c r="H130" s="2" t="s">
        <v>1759</v>
      </c>
      <c r="I130" s="2" t="s">
        <v>1776</v>
      </c>
      <c r="J130" s="2" t="s">
        <v>1777</v>
      </c>
      <c r="K130" s="2" t="s">
        <v>1778</v>
      </c>
      <c r="L130" s="2" t="s">
        <v>45</v>
      </c>
    </row>
    <row r="131" spans="1:12" ht="37" customHeight="1">
      <c r="A131" s="2" t="s">
        <v>174</v>
      </c>
      <c r="B131" s="2" t="s">
        <v>26</v>
      </c>
      <c r="C131" s="2" t="s">
        <v>171</v>
      </c>
      <c r="D131" s="2" t="s">
        <v>1765</v>
      </c>
      <c r="E131" s="5" t="s">
        <v>172</v>
      </c>
      <c r="F131" s="7" t="s">
        <v>1766</v>
      </c>
      <c r="G131" s="2" t="s">
        <v>60</v>
      </c>
      <c r="H131" s="2" t="s">
        <v>1759</v>
      </c>
      <c r="I131" s="2" t="s">
        <v>1767</v>
      </c>
      <c r="J131" s="2"/>
      <c r="K131" t="s">
        <v>1849</v>
      </c>
    </row>
    <row r="132" spans="1:12" ht="37" customHeight="1">
      <c r="A132" s="2" t="s">
        <v>177</v>
      </c>
      <c r="B132" s="2" t="s">
        <v>26</v>
      </c>
      <c r="C132" s="2" t="s">
        <v>176</v>
      </c>
      <c r="D132" s="2" t="s">
        <v>1757</v>
      </c>
      <c r="E132" s="5">
        <v>1.22</v>
      </c>
      <c r="F132" s="7" t="s">
        <v>1758</v>
      </c>
      <c r="G132" s="2" t="s">
        <v>60</v>
      </c>
      <c r="H132" s="2" t="s">
        <v>1759</v>
      </c>
      <c r="I132" s="2" t="s">
        <v>1776</v>
      </c>
      <c r="J132" s="2" t="s">
        <v>1777</v>
      </c>
      <c r="K132" s="2" t="s">
        <v>1850</v>
      </c>
      <c r="L132" s="2" t="s">
        <v>45</v>
      </c>
    </row>
    <row r="133" spans="1:12" ht="37" customHeight="1">
      <c r="A133" s="2" t="s">
        <v>177</v>
      </c>
      <c r="B133" s="2" t="s">
        <v>26</v>
      </c>
      <c r="C133" s="2" t="s">
        <v>176</v>
      </c>
      <c r="D133" s="2" t="s">
        <v>254</v>
      </c>
      <c r="E133" s="5">
        <v>0.35</v>
      </c>
      <c r="F133" s="7" t="s">
        <v>1758</v>
      </c>
      <c r="G133" s="2" t="s">
        <v>60</v>
      </c>
      <c r="H133" s="2" t="s">
        <v>1759</v>
      </c>
      <c r="I133" s="2" t="s">
        <v>1776</v>
      </c>
      <c r="J133" s="2" t="s">
        <v>1777</v>
      </c>
      <c r="K133" s="2" t="s">
        <v>1850</v>
      </c>
      <c r="L133" s="2" t="s">
        <v>45</v>
      </c>
    </row>
    <row r="134" spans="1:12" ht="37" customHeight="1">
      <c r="A134" s="2" t="s">
        <v>177</v>
      </c>
      <c r="B134" s="2" t="s">
        <v>26</v>
      </c>
      <c r="C134" s="2" t="s">
        <v>176</v>
      </c>
      <c r="D134" s="2" t="s">
        <v>124</v>
      </c>
      <c r="E134" s="6">
        <v>1</v>
      </c>
      <c r="F134" s="7" t="s">
        <v>1763</v>
      </c>
      <c r="G134" s="2" t="s">
        <v>60</v>
      </c>
      <c r="H134" s="2" t="s">
        <v>1759</v>
      </c>
      <c r="I134" s="2" t="s">
        <v>1776</v>
      </c>
      <c r="J134" s="2" t="s">
        <v>1777</v>
      </c>
      <c r="K134" s="2" t="s">
        <v>1850</v>
      </c>
      <c r="L134" s="2" t="s">
        <v>45</v>
      </c>
    </row>
    <row r="135" spans="1:12" ht="37" customHeight="1">
      <c r="A135" s="2" t="s">
        <v>177</v>
      </c>
      <c r="B135" s="2" t="s">
        <v>26</v>
      </c>
      <c r="C135" s="2" t="s">
        <v>176</v>
      </c>
      <c r="D135" s="2" t="s">
        <v>65</v>
      </c>
      <c r="E135" s="11">
        <v>0</v>
      </c>
      <c r="F135" s="20" t="s">
        <v>1763</v>
      </c>
      <c r="G135" s="21" t="s">
        <v>60</v>
      </c>
      <c r="H135" s="21" t="s">
        <v>1779</v>
      </c>
      <c r="I135" s="2" t="s">
        <v>1851</v>
      </c>
      <c r="J135" s="2" t="s">
        <v>1781</v>
      </c>
      <c r="K135" s="2" t="s">
        <v>1852</v>
      </c>
      <c r="L135" s="2" t="s">
        <v>45</v>
      </c>
    </row>
    <row r="136" spans="1:12" ht="34" customHeight="1">
      <c r="A136" s="2" t="s">
        <v>177</v>
      </c>
      <c r="B136" s="2" t="s">
        <v>26</v>
      </c>
      <c r="C136" s="2" t="s">
        <v>176</v>
      </c>
      <c r="D136" s="2" t="s">
        <v>222</v>
      </c>
      <c r="E136" s="4">
        <v>0.4</v>
      </c>
      <c r="F136" s="7" t="s">
        <v>1764</v>
      </c>
      <c r="G136" s="2" t="s">
        <v>60</v>
      </c>
      <c r="H136" s="2" t="s">
        <v>1759</v>
      </c>
      <c r="I136" s="2" t="s">
        <v>1776</v>
      </c>
      <c r="J136" s="2" t="s">
        <v>1777</v>
      </c>
      <c r="K136" s="2" t="s">
        <v>1850</v>
      </c>
      <c r="L136" s="2" t="s">
        <v>45</v>
      </c>
    </row>
    <row r="137" spans="1:12" ht="34" customHeight="1">
      <c r="A137" s="2" t="s">
        <v>177</v>
      </c>
      <c r="B137" s="2" t="s">
        <v>26</v>
      </c>
      <c r="C137" s="2" t="s">
        <v>176</v>
      </c>
      <c r="D137" s="2" t="s">
        <v>1765</v>
      </c>
      <c r="E137" s="4" t="s">
        <v>76</v>
      </c>
      <c r="F137" s="7" t="s">
        <v>1766</v>
      </c>
      <c r="G137" s="2" t="s">
        <v>60</v>
      </c>
      <c r="H137" s="2" t="s">
        <v>1759</v>
      </c>
      <c r="I137" s="2" t="s">
        <v>1767</v>
      </c>
      <c r="J137" s="2"/>
      <c r="K137" t="s">
        <v>1853</v>
      </c>
    </row>
    <row r="138" spans="1:12" ht="34" customHeight="1">
      <c r="A138" s="2" t="s">
        <v>182</v>
      </c>
      <c r="B138" s="2" t="s">
        <v>26</v>
      </c>
      <c r="C138" s="2" t="s">
        <v>178</v>
      </c>
      <c r="D138" s="2" t="s">
        <v>1757</v>
      </c>
      <c r="E138" s="5">
        <v>1.05</v>
      </c>
      <c r="F138" s="7" t="s">
        <v>1758</v>
      </c>
      <c r="G138" s="2" t="s">
        <v>180</v>
      </c>
      <c r="H138" s="2" t="s">
        <v>1759</v>
      </c>
      <c r="I138" s="2" t="s">
        <v>1854</v>
      </c>
      <c r="J138" s="2" t="s">
        <v>1855</v>
      </c>
      <c r="K138" s="2" t="s">
        <v>1856</v>
      </c>
      <c r="L138" s="2" t="s">
        <v>45</v>
      </c>
    </row>
    <row r="139" spans="1:12" ht="34" customHeight="1">
      <c r="A139" s="2" t="s">
        <v>182</v>
      </c>
      <c r="B139" s="2" t="s">
        <v>26</v>
      </c>
      <c r="C139" s="2" t="s">
        <v>178</v>
      </c>
      <c r="D139" s="2" t="s">
        <v>254</v>
      </c>
      <c r="E139" s="7" t="s">
        <v>179</v>
      </c>
      <c r="F139" s="7" t="s">
        <v>1758</v>
      </c>
      <c r="G139" s="2" t="s">
        <v>180</v>
      </c>
      <c r="H139" s="2" t="s">
        <v>1759</v>
      </c>
      <c r="I139" s="2" t="s">
        <v>1854</v>
      </c>
      <c r="J139" s="2" t="s">
        <v>1855</v>
      </c>
      <c r="K139" s="2" t="s">
        <v>1856</v>
      </c>
      <c r="L139" s="2" t="s">
        <v>45</v>
      </c>
    </row>
    <row r="140" spans="1:12" ht="34" customHeight="1">
      <c r="A140" s="2" t="s">
        <v>182</v>
      </c>
      <c r="B140" s="2" t="s">
        <v>26</v>
      </c>
      <c r="C140" s="2" t="s">
        <v>178</v>
      </c>
      <c r="D140" s="2" t="s">
        <v>124</v>
      </c>
      <c r="E140" s="7"/>
      <c r="F140" s="7" t="s">
        <v>1763</v>
      </c>
      <c r="G140" s="2" t="s">
        <v>180</v>
      </c>
      <c r="H140" s="2" t="s">
        <v>1773</v>
      </c>
      <c r="I140" s="2"/>
      <c r="J140" s="2"/>
      <c r="K140" s="2" t="s">
        <v>1856</v>
      </c>
      <c r="L140" s="2" t="s">
        <v>45</v>
      </c>
    </row>
    <row r="141" spans="1:12" ht="50.5" customHeight="1">
      <c r="A141" s="2" t="s">
        <v>182</v>
      </c>
      <c r="B141" s="2" t="s">
        <v>26</v>
      </c>
      <c r="C141" s="2" t="s">
        <v>178</v>
      </c>
      <c r="D141" s="2" t="s">
        <v>65</v>
      </c>
      <c r="E141" s="7"/>
      <c r="F141" s="7" t="s">
        <v>1763</v>
      </c>
      <c r="G141" s="2" t="s">
        <v>180</v>
      </c>
      <c r="H141" s="2" t="s">
        <v>1773</v>
      </c>
      <c r="I141" s="2"/>
      <c r="J141" s="2"/>
      <c r="K141" s="2" t="s">
        <v>1856</v>
      </c>
      <c r="L141" s="2" t="s">
        <v>45</v>
      </c>
    </row>
    <row r="142" spans="1:12" ht="50.5" customHeight="1">
      <c r="A142" s="2" t="s">
        <v>182</v>
      </c>
      <c r="B142" s="2" t="s">
        <v>26</v>
      </c>
      <c r="C142" s="2" t="s">
        <v>178</v>
      </c>
      <c r="D142" s="2" t="s">
        <v>222</v>
      </c>
      <c r="E142" s="4">
        <v>0.2</v>
      </c>
      <c r="F142" s="7" t="s">
        <v>1764</v>
      </c>
      <c r="G142" s="2" t="s">
        <v>180</v>
      </c>
      <c r="H142" s="2" t="s">
        <v>1759</v>
      </c>
      <c r="I142" s="2" t="s">
        <v>1854</v>
      </c>
      <c r="J142" s="2" t="s">
        <v>1855</v>
      </c>
      <c r="K142" s="2" t="s">
        <v>1856</v>
      </c>
      <c r="L142" s="2" t="s">
        <v>45</v>
      </c>
    </row>
    <row r="143" spans="1:12" ht="50.5" customHeight="1">
      <c r="A143" s="2" t="s">
        <v>182</v>
      </c>
      <c r="B143" s="2" t="s">
        <v>26</v>
      </c>
      <c r="C143" s="2" t="s">
        <v>178</v>
      </c>
      <c r="D143" s="2" t="s">
        <v>1765</v>
      </c>
      <c r="E143" s="4" t="s">
        <v>48</v>
      </c>
      <c r="F143" s="7" t="s">
        <v>1766</v>
      </c>
      <c r="G143" s="2" t="s">
        <v>180</v>
      </c>
      <c r="H143" s="2" t="s">
        <v>1759</v>
      </c>
      <c r="I143" s="2" t="s">
        <v>1767</v>
      </c>
      <c r="J143" s="2"/>
      <c r="K143" t="s">
        <v>1857</v>
      </c>
    </row>
    <row r="144" spans="1:12" ht="50.5" customHeight="1">
      <c r="A144" s="2" t="s">
        <v>189</v>
      </c>
      <c r="B144" s="2" t="s">
        <v>26</v>
      </c>
      <c r="C144" s="2" t="s">
        <v>185</v>
      </c>
      <c r="D144" s="2" t="s">
        <v>1757</v>
      </c>
      <c r="E144" s="4">
        <v>0.3</v>
      </c>
      <c r="F144" s="7" t="s">
        <v>1758</v>
      </c>
      <c r="G144" s="2" t="s">
        <v>187</v>
      </c>
      <c r="H144" s="2" t="s">
        <v>1759</v>
      </c>
      <c r="I144" s="2" t="s">
        <v>1858</v>
      </c>
      <c r="J144" s="2" t="s">
        <v>1859</v>
      </c>
      <c r="K144" s="2" t="s">
        <v>1860</v>
      </c>
      <c r="L144" s="2" t="s">
        <v>190</v>
      </c>
    </row>
    <row r="145" spans="1:12" ht="50.5" customHeight="1">
      <c r="A145" s="2" t="s">
        <v>189</v>
      </c>
      <c r="B145" s="2" t="s">
        <v>26</v>
      </c>
      <c r="C145" s="2" t="s">
        <v>185</v>
      </c>
      <c r="D145" s="2" t="s">
        <v>254</v>
      </c>
      <c r="E145" s="8">
        <v>4.4999999999999998E-2</v>
      </c>
      <c r="F145" s="7" t="s">
        <v>1758</v>
      </c>
      <c r="G145" s="2" t="s">
        <v>187</v>
      </c>
      <c r="H145" s="2" t="s">
        <v>1759</v>
      </c>
      <c r="I145" s="2" t="s">
        <v>1858</v>
      </c>
      <c r="J145" s="2" t="s">
        <v>1859</v>
      </c>
      <c r="K145" s="2" t="s">
        <v>1860</v>
      </c>
      <c r="L145" s="2" t="s">
        <v>190</v>
      </c>
    </row>
    <row r="146" spans="1:12" ht="34" customHeight="1">
      <c r="A146" s="2" t="s">
        <v>189</v>
      </c>
      <c r="B146" s="2" t="s">
        <v>26</v>
      </c>
      <c r="C146" s="2" t="s">
        <v>185</v>
      </c>
      <c r="D146" s="2" t="s">
        <v>124</v>
      </c>
      <c r="E146" s="7"/>
      <c r="F146" s="7" t="s">
        <v>1763</v>
      </c>
      <c r="G146" s="2" t="s">
        <v>187</v>
      </c>
      <c r="H146" s="2" t="s">
        <v>1773</v>
      </c>
      <c r="I146" s="2"/>
      <c r="J146" s="2"/>
      <c r="K146" s="2" t="s">
        <v>1860</v>
      </c>
      <c r="L146" s="2" t="s">
        <v>190</v>
      </c>
    </row>
    <row r="147" spans="1:12" ht="34" customHeight="1">
      <c r="A147" s="2" t="s">
        <v>189</v>
      </c>
      <c r="B147" s="2" t="s">
        <v>26</v>
      </c>
      <c r="C147" s="2" t="s">
        <v>185</v>
      </c>
      <c r="D147" s="2" t="s">
        <v>65</v>
      </c>
      <c r="E147" s="7"/>
      <c r="F147" s="7" t="s">
        <v>1763</v>
      </c>
      <c r="G147" s="2" t="s">
        <v>187</v>
      </c>
      <c r="H147" s="2" t="s">
        <v>1773</v>
      </c>
      <c r="I147" s="2"/>
      <c r="J147" s="2"/>
      <c r="K147" s="2" t="s">
        <v>1860</v>
      </c>
      <c r="L147" s="2" t="s">
        <v>190</v>
      </c>
    </row>
    <row r="148" spans="1:12" ht="34" customHeight="1">
      <c r="A148" s="2" t="s">
        <v>189</v>
      </c>
      <c r="B148" s="2" t="s">
        <v>26</v>
      </c>
      <c r="C148" s="2" t="s">
        <v>185</v>
      </c>
      <c r="D148" s="2" t="s">
        <v>222</v>
      </c>
      <c r="E148" s="7" t="s">
        <v>186</v>
      </c>
      <c r="F148" s="7" t="s">
        <v>1764</v>
      </c>
      <c r="G148" s="2" t="s">
        <v>187</v>
      </c>
      <c r="H148" s="2" t="s">
        <v>1759</v>
      </c>
      <c r="I148" s="2" t="s">
        <v>1858</v>
      </c>
      <c r="J148" s="2" t="s">
        <v>1859</v>
      </c>
      <c r="K148" s="2" t="s">
        <v>1860</v>
      </c>
      <c r="L148" s="2" t="s">
        <v>190</v>
      </c>
    </row>
    <row r="149" spans="1:12" ht="34" customHeight="1">
      <c r="A149" s="2" t="s">
        <v>189</v>
      </c>
      <c r="B149" s="2" t="s">
        <v>26</v>
      </c>
      <c r="C149" s="2" t="s">
        <v>185</v>
      </c>
      <c r="D149" s="2" t="s">
        <v>1765</v>
      </c>
      <c r="E149" s="7" t="s">
        <v>86</v>
      </c>
      <c r="F149" s="7" t="s">
        <v>1766</v>
      </c>
      <c r="G149" s="2" t="s">
        <v>187</v>
      </c>
      <c r="H149" s="2" t="s">
        <v>1759</v>
      </c>
      <c r="I149" s="2" t="s">
        <v>1767</v>
      </c>
      <c r="J149" s="2"/>
      <c r="K149" t="s">
        <v>1861</v>
      </c>
    </row>
    <row r="150" spans="1:12" ht="34" customHeight="1">
      <c r="A150" s="2" t="s">
        <v>195</v>
      </c>
      <c r="B150" s="2" t="s">
        <v>26</v>
      </c>
      <c r="C150" s="2" t="s">
        <v>193</v>
      </c>
      <c r="D150" s="2" t="s">
        <v>1757</v>
      </c>
      <c r="E150" s="8">
        <v>0.32500000000000001</v>
      </c>
      <c r="F150" s="7" t="s">
        <v>1758</v>
      </c>
      <c r="G150" s="2" t="s">
        <v>60</v>
      </c>
      <c r="H150" s="2" t="s">
        <v>1759</v>
      </c>
      <c r="I150" s="2" t="s">
        <v>1776</v>
      </c>
      <c r="J150" s="2" t="s">
        <v>1777</v>
      </c>
      <c r="K150" s="2" t="s">
        <v>1778</v>
      </c>
      <c r="L150" s="2" t="s">
        <v>45</v>
      </c>
    </row>
    <row r="151" spans="1:12" ht="34" customHeight="1">
      <c r="A151" s="2" t="s">
        <v>195</v>
      </c>
      <c r="B151" s="2" t="s">
        <v>26</v>
      </c>
      <c r="C151" s="2" t="s">
        <v>193</v>
      </c>
      <c r="D151" s="2" t="s">
        <v>254</v>
      </c>
      <c r="E151" s="8">
        <v>9.5000000000000001E-2</v>
      </c>
      <c r="F151" s="7" t="s">
        <v>1758</v>
      </c>
      <c r="G151" s="2" t="s">
        <v>60</v>
      </c>
      <c r="H151" s="2" t="s">
        <v>1759</v>
      </c>
      <c r="I151" s="2" t="s">
        <v>1776</v>
      </c>
      <c r="J151" s="2" t="s">
        <v>1777</v>
      </c>
      <c r="K151" s="2" t="s">
        <v>1778</v>
      </c>
      <c r="L151" s="2" t="s">
        <v>45</v>
      </c>
    </row>
    <row r="152" spans="1:12" ht="34" customHeight="1">
      <c r="A152" s="2" t="s">
        <v>195</v>
      </c>
      <c r="B152" s="2" t="s">
        <v>26</v>
      </c>
      <c r="C152" s="2" t="s">
        <v>193</v>
      </c>
      <c r="D152" s="2" t="s">
        <v>124</v>
      </c>
      <c r="E152" s="6">
        <v>1</v>
      </c>
      <c r="F152" s="7" t="s">
        <v>1763</v>
      </c>
      <c r="G152" s="2" t="s">
        <v>60</v>
      </c>
      <c r="H152" s="2" t="s">
        <v>1759</v>
      </c>
      <c r="I152" s="2" t="s">
        <v>1776</v>
      </c>
      <c r="J152" s="2" t="s">
        <v>1777</v>
      </c>
      <c r="K152" s="2" t="s">
        <v>1778</v>
      </c>
      <c r="L152" s="2" t="s">
        <v>45</v>
      </c>
    </row>
    <row r="153" spans="1:12" ht="34" customHeight="1">
      <c r="A153" s="2" t="s">
        <v>195</v>
      </c>
      <c r="B153" s="2" t="s">
        <v>26</v>
      </c>
      <c r="C153" s="2" t="s">
        <v>193</v>
      </c>
      <c r="D153" s="2" t="s">
        <v>65</v>
      </c>
      <c r="E153" s="11">
        <v>0</v>
      </c>
      <c r="F153" s="20" t="s">
        <v>1763</v>
      </c>
      <c r="G153" s="21" t="s">
        <v>60</v>
      </c>
      <c r="H153" s="21" t="s">
        <v>1779</v>
      </c>
      <c r="I153" s="2" t="s">
        <v>1862</v>
      </c>
      <c r="J153" s="2" t="s">
        <v>1781</v>
      </c>
      <c r="K153" s="2" t="s">
        <v>1782</v>
      </c>
      <c r="L153" s="2" t="s">
        <v>45</v>
      </c>
    </row>
    <row r="154" spans="1:12" ht="34" customHeight="1">
      <c r="A154" s="2" t="s">
        <v>195</v>
      </c>
      <c r="B154" s="2" t="s">
        <v>26</v>
      </c>
      <c r="C154" s="2" t="s">
        <v>193</v>
      </c>
      <c r="D154" s="2" t="s">
        <v>222</v>
      </c>
      <c r="E154" s="5">
        <v>0.02</v>
      </c>
      <c r="F154" s="7" t="s">
        <v>1764</v>
      </c>
      <c r="G154" s="2" t="s">
        <v>60</v>
      </c>
      <c r="H154" s="2" t="s">
        <v>1759</v>
      </c>
      <c r="I154" s="2" t="s">
        <v>1776</v>
      </c>
      <c r="J154" s="2" t="s">
        <v>1777</v>
      </c>
      <c r="K154" s="2" t="s">
        <v>1778</v>
      </c>
      <c r="L154" s="2" t="s">
        <v>45</v>
      </c>
    </row>
    <row r="155" spans="1:12" ht="34" customHeight="1">
      <c r="A155" s="2" t="s">
        <v>195</v>
      </c>
      <c r="B155" s="2" t="s">
        <v>26</v>
      </c>
      <c r="C155" s="2" t="s">
        <v>193</v>
      </c>
      <c r="D155" s="2" t="s">
        <v>1765</v>
      </c>
      <c r="E155" s="5" t="s">
        <v>194</v>
      </c>
      <c r="F155" s="7" t="s">
        <v>1766</v>
      </c>
      <c r="G155" s="2" t="s">
        <v>60</v>
      </c>
      <c r="H155" s="2" t="s">
        <v>1759</v>
      </c>
      <c r="I155" s="2" t="s">
        <v>1767</v>
      </c>
      <c r="J155" s="2"/>
      <c r="K155" t="s">
        <v>1817</v>
      </c>
    </row>
    <row r="156" spans="1:12" ht="34" customHeight="1">
      <c r="A156" s="2" t="s">
        <v>201</v>
      </c>
      <c r="B156" s="2" t="s">
        <v>26</v>
      </c>
      <c r="C156" s="2" t="s">
        <v>196</v>
      </c>
      <c r="D156" s="2" t="s">
        <v>1757</v>
      </c>
      <c r="E156" s="5">
        <v>0.87</v>
      </c>
      <c r="F156" s="7" t="s">
        <v>1758</v>
      </c>
      <c r="G156" s="2" t="s">
        <v>29</v>
      </c>
      <c r="H156" s="2" t="s">
        <v>1759</v>
      </c>
      <c r="I156" s="2" t="s">
        <v>1863</v>
      </c>
      <c r="J156" s="2" t="s">
        <v>1864</v>
      </c>
      <c r="K156" s="2" t="s">
        <v>1865</v>
      </c>
      <c r="L156" s="2" t="s">
        <v>45</v>
      </c>
    </row>
    <row r="157" spans="1:12" ht="34" customHeight="1">
      <c r="A157" s="2" t="s">
        <v>201</v>
      </c>
      <c r="B157" s="2" t="s">
        <v>26</v>
      </c>
      <c r="C157" s="2" t="s">
        <v>196</v>
      </c>
      <c r="D157" s="2" t="s">
        <v>254</v>
      </c>
      <c r="E157" s="5">
        <v>0.56000000000000005</v>
      </c>
      <c r="F157" s="7" t="s">
        <v>1758</v>
      </c>
      <c r="G157" s="2" t="s">
        <v>29</v>
      </c>
      <c r="H157" s="2" t="s">
        <v>1759</v>
      </c>
      <c r="I157" s="2" t="s">
        <v>1863</v>
      </c>
      <c r="J157" s="2" t="s">
        <v>1864</v>
      </c>
      <c r="K157" s="2" t="s">
        <v>1865</v>
      </c>
      <c r="L157" s="2" t="s">
        <v>45</v>
      </c>
    </row>
    <row r="158" spans="1:12" ht="34" customHeight="1">
      <c r="A158" s="2" t="s">
        <v>201</v>
      </c>
      <c r="B158" s="2" t="s">
        <v>26</v>
      </c>
      <c r="C158" s="2" t="s">
        <v>196</v>
      </c>
      <c r="D158" s="2" t="s">
        <v>124</v>
      </c>
      <c r="E158" s="6">
        <v>2</v>
      </c>
      <c r="F158" s="7" t="s">
        <v>1763</v>
      </c>
      <c r="G158" s="2" t="s">
        <v>29</v>
      </c>
      <c r="H158" s="2" t="s">
        <v>1759</v>
      </c>
      <c r="I158" s="2" t="s">
        <v>1863</v>
      </c>
      <c r="J158" s="2" t="s">
        <v>1864</v>
      </c>
      <c r="K158" s="2" t="s">
        <v>1865</v>
      </c>
      <c r="L158" s="2" t="s">
        <v>45</v>
      </c>
    </row>
    <row r="159" spans="1:12" ht="34" customHeight="1">
      <c r="A159" s="2" t="s">
        <v>201</v>
      </c>
      <c r="B159" s="2" t="s">
        <v>26</v>
      </c>
      <c r="C159" s="2" t="s">
        <v>196</v>
      </c>
      <c r="D159" s="2" t="s">
        <v>65</v>
      </c>
      <c r="E159" s="7" t="s">
        <v>197</v>
      </c>
      <c r="F159" s="7" t="s">
        <v>1763</v>
      </c>
      <c r="G159" s="2" t="s">
        <v>29</v>
      </c>
      <c r="H159" s="2" t="s">
        <v>1759</v>
      </c>
      <c r="I159" s="2" t="s">
        <v>1863</v>
      </c>
      <c r="J159" s="2" t="s">
        <v>1864</v>
      </c>
      <c r="K159" s="2" t="s">
        <v>1865</v>
      </c>
      <c r="L159" s="2" t="s">
        <v>45</v>
      </c>
    </row>
    <row r="160" spans="1:12" ht="34" customHeight="1">
      <c r="A160" s="2" t="s">
        <v>201</v>
      </c>
      <c r="B160" s="2" t="s">
        <v>26</v>
      </c>
      <c r="C160" s="2" t="s">
        <v>196</v>
      </c>
      <c r="D160" s="2" t="s">
        <v>222</v>
      </c>
      <c r="E160" s="4">
        <v>1.3</v>
      </c>
      <c r="F160" s="7" t="s">
        <v>1764</v>
      </c>
      <c r="G160" s="2" t="s">
        <v>29</v>
      </c>
      <c r="H160" s="2" t="s">
        <v>1759</v>
      </c>
      <c r="I160" s="2" t="s">
        <v>1863</v>
      </c>
      <c r="J160" s="2" t="s">
        <v>1864</v>
      </c>
      <c r="K160" s="2" t="s">
        <v>1865</v>
      </c>
      <c r="L160" s="2" t="s">
        <v>45</v>
      </c>
    </row>
    <row r="161" spans="1:12" ht="34" customHeight="1">
      <c r="A161" s="2" t="s">
        <v>201</v>
      </c>
      <c r="B161" s="2" t="s">
        <v>26</v>
      </c>
      <c r="C161" s="2" t="s">
        <v>196</v>
      </c>
      <c r="D161" s="2" t="s">
        <v>1765</v>
      </c>
      <c r="E161" s="4" t="s">
        <v>198</v>
      </c>
      <c r="F161" s="7" t="s">
        <v>1766</v>
      </c>
      <c r="G161" s="2" t="s">
        <v>29</v>
      </c>
      <c r="H161" s="2" t="s">
        <v>1759</v>
      </c>
      <c r="I161" s="2" t="s">
        <v>1767</v>
      </c>
      <c r="J161" s="2"/>
      <c r="K161" t="s">
        <v>1866</v>
      </c>
    </row>
    <row r="162" spans="1:12" ht="34" customHeight="1">
      <c r="A162" s="2" t="s">
        <v>207</v>
      </c>
      <c r="B162" s="2" t="s">
        <v>26</v>
      </c>
      <c r="C162" s="2" t="s">
        <v>204</v>
      </c>
      <c r="D162" s="2" t="s">
        <v>1757</v>
      </c>
      <c r="E162" s="4">
        <v>0.3</v>
      </c>
      <c r="F162" s="7" t="s">
        <v>1758</v>
      </c>
      <c r="G162" s="2" t="s">
        <v>180</v>
      </c>
      <c r="H162" s="2" t="s">
        <v>1759</v>
      </c>
      <c r="I162" s="2" t="s">
        <v>1867</v>
      </c>
      <c r="J162" s="2" t="s">
        <v>1777</v>
      </c>
      <c r="K162" s="2" t="s">
        <v>1868</v>
      </c>
      <c r="L162" s="2" t="s">
        <v>45</v>
      </c>
    </row>
    <row r="163" spans="1:12" ht="34" customHeight="1">
      <c r="A163" s="2" t="s">
        <v>207</v>
      </c>
      <c r="B163" s="2" t="s">
        <v>26</v>
      </c>
      <c r="C163" s="2" t="s">
        <v>204</v>
      </c>
      <c r="D163" s="2" t="s">
        <v>254</v>
      </c>
      <c r="E163" s="5">
        <v>0.22</v>
      </c>
      <c r="F163" s="7" t="s">
        <v>1758</v>
      </c>
      <c r="G163" s="2" t="s">
        <v>180</v>
      </c>
      <c r="H163" s="2" t="s">
        <v>1759</v>
      </c>
      <c r="I163" s="2" t="s">
        <v>1867</v>
      </c>
      <c r="J163" s="2" t="s">
        <v>1777</v>
      </c>
      <c r="K163" s="2" t="s">
        <v>1868</v>
      </c>
      <c r="L163" s="2" t="s">
        <v>45</v>
      </c>
    </row>
    <row r="164" spans="1:12" ht="34" customHeight="1">
      <c r="A164" s="2" t="s">
        <v>207</v>
      </c>
      <c r="B164" s="2" t="s">
        <v>26</v>
      </c>
      <c r="C164" s="2" t="s">
        <v>204</v>
      </c>
      <c r="D164" s="2" t="s">
        <v>124</v>
      </c>
      <c r="E164" s="4">
        <v>1.6</v>
      </c>
      <c r="F164" s="7" t="s">
        <v>1763</v>
      </c>
      <c r="G164" s="2" t="s">
        <v>180</v>
      </c>
      <c r="H164" s="2" t="s">
        <v>1759</v>
      </c>
      <c r="I164" s="2" t="s">
        <v>1867</v>
      </c>
      <c r="J164" s="2" t="s">
        <v>1777</v>
      </c>
      <c r="K164" s="2" t="s">
        <v>1868</v>
      </c>
      <c r="L164" s="2" t="s">
        <v>45</v>
      </c>
    </row>
    <row r="165" spans="1:12" ht="34" customHeight="1">
      <c r="A165" s="2" t="s">
        <v>207</v>
      </c>
      <c r="B165" s="2" t="s">
        <v>26</v>
      </c>
      <c r="C165" s="2" t="s">
        <v>204</v>
      </c>
      <c r="D165" s="2" t="s">
        <v>65</v>
      </c>
      <c r="E165" s="7"/>
      <c r="F165" s="7" t="s">
        <v>1763</v>
      </c>
      <c r="G165" s="2" t="s">
        <v>180</v>
      </c>
      <c r="H165" s="2" t="s">
        <v>1773</v>
      </c>
      <c r="I165" s="2"/>
      <c r="J165" s="2"/>
      <c r="K165" s="2" t="s">
        <v>1868</v>
      </c>
      <c r="L165" s="2" t="s">
        <v>45</v>
      </c>
    </row>
    <row r="166" spans="1:12" ht="37" customHeight="1">
      <c r="A166" s="2" t="s">
        <v>207</v>
      </c>
      <c r="B166" s="2" t="s">
        <v>26</v>
      </c>
      <c r="C166" s="2" t="s">
        <v>204</v>
      </c>
      <c r="D166" s="2" t="s">
        <v>222</v>
      </c>
      <c r="E166" s="5">
        <v>0.05</v>
      </c>
      <c r="F166" s="7" t="s">
        <v>1764</v>
      </c>
      <c r="G166" s="2" t="s">
        <v>180</v>
      </c>
      <c r="H166" s="2" t="s">
        <v>1759</v>
      </c>
      <c r="I166" s="2" t="s">
        <v>1867</v>
      </c>
      <c r="J166" s="2" t="s">
        <v>1777</v>
      </c>
      <c r="K166" s="2" t="s">
        <v>1868</v>
      </c>
      <c r="L166" s="2" t="s">
        <v>45</v>
      </c>
    </row>
    <row r="167" spans="1:12" ht="50.5" customHeight="1">
      <c r="A167" s="2" t="s">
        <v>207</v>
      </c>
      <c r="B167" s="2" t="s">
        <v>26</v>
      </c>
      <c r="C167" s="2" t="s">
        <v>204</v>
      </c>
      <c r="D167" s="2" t="s">
        <v>1765</v>
      </c>
      <c r="E167" s="5" t="s">
        <v>205</v>
      </c>
      <c r="F167" s="7" t="s">
        <v>1766</v>
      </c>
      <c r="G167" s="2" t="s">
        <v>180</v>
      </c>
      <c r="H167" s="2" t="s">
        <v>1759</v>
      </c>
      <c r="I167" s="2" t="s">
        <v>1767</v>
      </c>
      <c r="J167" s="2"/>
      <c r="K167" t="s">
        <v>1869</v>
      </c>
    </row>
    <row r="168" spans="1:12" ht="37" customHeight="1">
      <c r="A168" s="2" t="s">
        <v>214</v>
      </c>
      <c r="B168" s="2" t="s">
        <v>26</v>
      </c>
      <c r="C168" s="2" t="s">
        <v>209</v>
      </c>
      <c r="D168" s="2" t="s">
        <v>1757</v>
      </c>
      <c r="E168" s="5">
        <v>0.53</v>
      </c>
      <c r="F168" s="7" t="s">
        <v>1758</v>
      </c>
      <c r="G168" s="2" t="s">
        <v>71</v>
      </c>
      <c r="H168" s="2" t="s">
        <v>1759</v>
      </c>
      <c r="I168" s="2" t="s">
        <v>1870</v>
      </c>
      <c r="J168" s="2" t="s">
        <v>1871</v>
      </c>
      <c r="K168" s="2" t="s">
        <v>1872</v>
      </c>
      <c r="L168" s="2" t="s">
        <v>45</v>
      </c>
    </row>
    <row r="169" spans="1:12" ht="37" customHeight="1">
      <c r="A169" s="2" t="s">
        <v>214</v>
      </c>
      <c r="B169" s="2" t="s">
        <v>26</v>
      </c>
      <c r="C169" s="2" t="s">
        <v>209</v>
      </c>
      <c r="D169" s="2" t="s">
        <v>254</v>
      </c>
      <c r="E169" s="5">
        <v>0.33</v>
      </c>
      <c r="F169" s="7" t="s">
        <v>1758</v>
      </c>
      <c r="G169" s="2" t="s">
        <v>71</v>
      </c>
      <c r="H169" s="2" t="s">
        <v>1759</v>
      </c>
      <c r="I169" s="2" t="s">
        <v>1870</v>
      </c>
      <c r="J169" s="2" t="s">
        <v>1871</v>
      </c>
      <c r="K169" s="2" t="s">
        <v>1872</v>
      </c>
      <c r="L169" s="2" t="s">
        <v>45</v>
      </c>
    </row>
    <row r="170" spans="1:12" ht="37" customHeight="1">
      <c r="A170" s="2" t="s">
        <v>214</v>
      </c>
      <c r="B170" s="2" t="s">
        <v>26</v>
      </c>
      <c r="C170" s="2" t="s">
        <v>209</v>
      </c>
      <c r="D170" s="2" t="s">
        <v>124</v>
      </c>
      <c r="E170" s="6">
        <v>2</v>
      </c>
      <c r="F170" s="7" t="s">
        <v>1763</v>
      </c>
      <c r="G170" s="2" t="s">
        <v>71</v>
      </c>
      <c r="H170" s="2" t="s">
        <v>1759</v>
      </c>
      <c r="I170" s="2" t="s">
        <v>1870</v>
      </c>
      <c r="J170" s="2" t="s">
        <v>1871</v>
      </c>
      <c r="K170" s="2" t="s">
        <v>1872</v>
      </c>
      <c r="L170" s="2" t="s">
        <v>45</v>
      </c>
    </row>
    <row r="171" spans="1:12" ht="50.5" customHeight="1">
      <c r="A171" s="2" t="s">
        <v>214</v>
      </c>
      <c r="B171" s="2" t="s">
        <v>26</v>
      </c>
      <c r="C171" s="2" t="s">
        <v>209</v>
      </c>
      <c r="D171" s="2" t="s">
        <v>65</v>
      </c>
      <c r="E171" s="7" t="s">
        <v>210</v>
      </c>
      <c r="F171" s="7" t="s">
        <v>1763</v>
      </c>
      <c r="G171" s="2" t="s">
        <v>71</v>
      </c>
      <c r="H171" s="2" t="s">
        <v>1759</v>
      </c>
      <c r="I171" s="2" t="s">
        <v>1870</v>
      </c>
      <c r="J171" s="2" t="s">
        <v>1871</v>
      </c>
      <c r="K171" s="2" t="s">
        <v>1872</v>
      </c>
      <c r="L171" s="2" t="s">
        <v>45</v>
      </c>
    </row>
    <row r="172" spans="1:12" ht="50.5" customHeight="1">
      <c r="A172" s="2" t="s">
        <v>214</v>
      </c>
      <c r="B172" s="2" t="s">
        <v>26</v>
      </c>
      <c r="C172" s="2" t="s">
        <v>209</v>
      </c>
      <c r="D172" s="2" t="s">
        <v>222</v>
      </c>
      <c r="E172" s="4">
        <v>0.5</v>
      </c>
      <c r="F172" s="7" t="s">
        <v>1764</v>
      </c>
      <c r="G172" s="2" t="s">
        <v>71</v>
      </c>
      <c r="H172" s="2" t="s">
        <v>1759</v>
      </c>
      <c r="I172" s="2" t="s">
        <v>1870</v>
      </c>
      <c r="J172" s="2" t="s">
        <v>1871</v>
      </c>
      <c r="K172" s="2" t="s">
        <v>1872</v>
      </c>
      <c r="L172" s="2" t="s">
        <v>45</v>
      </c>
    </row>
    <row r="173" spans="1:12" ht="77.5" customHeight="1">
      <c r="A173" s="2" t="s">
        <v>214</v>
      </c>
      <c r="B173" s="2" t="s">
        <v>26</v>
      </c>
      <c r="C173" s="2" t="s">
        <v>209</v>
      </c>
      <c r="D173" s="2" t="s">
        <v>1765</v>
      </c>
      <c r="E173" s="4" t="s">
        <v>211</v>
      </c>
      <c r="F173" s="7" t="s">
        <v>1766</v>
      </c>
      <c r="G173" s="2" t="s">
        <v>71</v>
      </c>
      <c r="H173" s="2" t="s">
        <v>1759</v>
      </c>
      <c r="I173" s="2" t="s">
        <v>1767</v>
      </c>
      <c r="J173" s="2"/>
      <c r="K173" t="s">
        <v>1873</v>
      </c>
    </row>
    <row r="174" spans="1:12" ht="77.5" customHeight="1">
      <c r="A174" s="2" t="s">
        <v>221</v>
      </c>
      <c r="B174" s="2" t="s">
        <v>217</v>
      </c>
      <c r="C174" s="2" t="s">
        <v>218</v>
      </c>
      <c r="D174" s="2" t="s">
        <v>1757</v>
      </c>
      <c r="E174" s="5">
        <v>0.45</v>
      </c>
      <c r="F174" s="7" t="s">
        <v>1758</v>
      </c>
      <c r="G174" s="2" t="s">
        <v>29</v>
      </c>
      <c r="H174" s="2" t="s">
        <v>1759</v>
      </c>
      <c r="I174" s="2" t="s">
        <v>1874</v>
      </c>
      <c r="J174" s="2" t="s">
        <v>1875</v>
      </c>
      <c r="K174" s="2" t="s">
        <v>1876</v>
      </c>
      <c r="L174" s="2" t="s">
        <v>190</v>
      </c>
    </row>
    <row r="175" spans="1:12" ht="50.5" customHeight="1">
      <c r="A175" s="2" t="s">
        <v>221</v>
      </c>
      <c r="B175" s="2" t="s">
        <v>217</v>
      </c>
      <c r="C175" s="2" t="s">
        <v>218</v>
      </c>
      <c r="D175" s="2" t="s">
        <v>254</v>
      </c>
      <c r="E175" s="5">
        <v>0.32</v>
      </c>
      <c r="F175" s="7" t="s">
        <v>1758</v>
      </c>
      <c r="G175" s="2" t="s">
        <v>29</v>
      </c>
      <c r="H175" s="2" t="s">
        <v>1759</v>
      </c>
      <c r="I175" s="2" t="s">
        <v>1874</v>
      </c>
      <c r="J175" s="2" t="s">
        <v>1875</v>
      </c>
      <c r="K175" s="2" t="s">
        <v>1876</v>
      </c>
      <c r="L175" s="2" t="s">
        <v>190</v>
      </c>
    </row>
    <row r="176" spans="1:12" ht="50.5" customHeight="1">
      <c r="A176" s="2" t="s">
        <v>221</v>
      </c>
      <c r="B176" s="2" t="s">
        <v>217</v>
      </c>
      <c r="C176" s="2" t="s">
        <v>218</v>
      </c>
      <c r="D176" s="2" t="s">
        <v>124</v>
      </c>
      <c r="E176" s="4">
        <v>2.4</v>
      </c>
      <c r="F176" s="7" t="s">
        <v>1763</v>
      </c>
      <c r="G176" s="2" t="s">
        <v>29</v>
      </c>
      <c r="H176" s="2" t="s">
        <v>1759</v>
      </c>
      <c r="I176" s="2" t="s">
        <v>1874</v>
      </c>
      <c r="J176" s="2" t="s">
        <v>1875</v>
      </c>
      <c r="K176" s="2" t="s">
        <v>1876</v>
      </c>
      <c r="L176" s="2" t="s">
        <v>190</v>
      </c>
    </row>
    <row r="177" spans="1:12" ht="50.5" customHeight="1">
      <c r="A177" s="2" t="s">
        <v>221</v>
      </c>
      <c r="B177" s="2" t="s">
        <v>217</v>
      </c>
      <c r="C177" s="2" t="s">
        <v>218</v>
      </c>
      <c r="D177" s="2" t="s">
        <v>65</v>
      </c>
      <c r="E177" s="4">
        <v>0.5</v>
      </c>
      <c r="F177" s="7" t="s">
        <v>1763</v>
      </c>
      <c r="G177" s="2" t="s">
        <v>29</v>
      </c>
      <c r="H177" s="2" t="s">
        <v>1759</v>
      </c>
      <c r="I177" s="2" t="s">
        <v>1874</v>
      </c>
      <c r="J177" s="2" t="s">
        <v>1875</v>
      </c>
      <c r="K177" s="2" t="s">
        <v>1876</v>
      </c>
      <c r="L177" s="2" t="s">
        <v>190</v>
      </c>
    </row>
    <row r="178" spans="1:12" ht="77.5" customHeight="1">
      <c r="A178" s="2" t="s">
        <v>221</v>
      </c>
      <c r="B178" s="2" t="s">
        <v>217</v>
      </c>
      <c r="C178" s="2" t="s">
        <v>218</v>
      </c>
      <c r="D178" s="2" t="s">
        <v>222</v>
      </c>
      <c r="E178" s="7"/>
      <c r="F178" s="7" t="s">
        <v>1764</v>
      </c>
      <c r="G178" s="2" t="s">
        <v>29</v>
      </c>
      <c r="H178" s="2" t="s">
        <v>1773</v>
      </c>
      <c r="I178" s="2"/>
      <c r="J178" s="2"/>
      <c r="K178" s="2" t="s">
        <v>1876</v>
      </c>
      <c r="L178" s="2" t="s">
        <v>190</v>
      </c>
    </row>
    <row r="179" spans="1:12" ht="77.5" customHeight="1">
      <c r="A179" s="2" t="s">
        <v>221</v>
      </c>
      <c r="B179" s="2" t="s">
        <v>217</v>
      </c>
      <c r="C179" s="2" t="s">
        <v>218</v>
      </c>
      <c r="D179" s="2" t="s">
        <v>1765</v>
      </c>
      <c r="E179" s="7" t="s">
        <v>219</v>
      </c>
      <c r="F179" s="7" t="s">
        <v>1766</v>
      </c>
      <c r="G179" s="2" t="s">
        <v>29</v>
      </c>
      <c r="H179" s="2" t="s">
        <v>1759</v>
      </c>
      <c r="I179" s="2" t="s">
        <v>1767</v>
      </c>
      <c r="J179" s="2"/>
      <c r="K179" t="s">
        <v>1877</v>
      </c>
    </row>
    <row r="180" spans="1:12" ht="50.5" customHeight="1">
      <c r="A180" s="2" t="s">
        <v>229</v>
      </c>
      <c r="B180" s="2" t="s">
        <v>224</v>
      </c>
      <c r="C180" s="2" t="s">
        <v>225</v>
      </c>
      <c r="D180" s="2" t="s">
        <v>1757</v>
      </c>
      <c r="E180" s="4">
        <v>6.2</v>
      </c>
      <c r="F180" s="7" t="s">
        <v>1758</v>
      </c>
      <c r="G180" s="2" t="s">
        <v>180</v>
      </c>
      <c r="H180" s="2" t="s">
        <v>1759</v>
      </c>
      <c r="I180" s="2" t="s">
        <v>1878</v>
      </c>
      <c r="J180" s="2" t="s">
        <v>1879</v>
      </c>
      <c r="K180" s="2" t="s">
        <v>1880</v>
      </c>
      <c r="L180" s="2" t="s">
        <v>35</v>
      </c>
    </row>
    <row r="181" spans="1:12" ht="50.5" customHeight="1">
      <c r="A181" s="2" t="s">
        <v>229</v>
      </c>
      <c r="B181" s="2" t="s">
        <v>224</v>
      </c>
      <c r="C181" s="2" t="s">
        <v>225</v>
      </c>
      <c r="D181" s="2" t="s">
        <v>254</v>
      </c>
      <c r="E181" s="4">
        <v>1.5</v>
      </c>
      <c r="F181" s="7" t="s">
        <v>1758</v>
      </c>
      <c r="G181" s="2" t="s">
        <v>180</v>
      </c>
      <c r="H181" s="2" t="s">
        <v>1759</v>
      </c>
      <c r="I181" s="2" t="s">
        <v>1878</v>
      </c>
      <c r="J181" s="2" t="s">
        <v>1879</v>
      </c>
      <c r="K181" s="2" t="s">
        <v>1880</v>
      </c>
      <c r="L181" s="2" t="s">
        <v>35</v>
      </c>
    </row>
    <row r="182" spans="1:12" ht="50.5" customHeight="1">
      <c r="A182" s="2" t="s">
        <v>229</v>
      </c>
      <c r="B182" s="2" t="s">
        <v>224</v>
      </c>
      <c r="C182" s="2" t="s">
        <v>225</v>
      </c>
      <c r="D182" s="2" t="s">
        <v>124</v>
      </c>
      <c r="E182" s="7"/>
      <c r="F182" s="7" t="s">
        <v>1763</v>
      </c>
      <c r="G182" s="2" t="s">
        <v>180</v>
      </c>
      <c r="H182" s="2" t="s">
        <v>1773</v>
      </c>
      <c r="I182" s="2"/>
      <c r="J182" s="2"/>
      <c r="K182" s="2" t="s">
        <v>1880</v>
      </c>
      <c r="L182" s="2" t="s">
        <v>35</v>
      </c>
    </row>
    <row r="183" spans="1:12" ht="77.5" customHeight="1">
      <c r="A183" s="2" t="s">
        <v>229</v>
      </c>
      <c r="B183" s="2" t="s">
        <v>224</v>
      </c>
      <c r="C183" s="2" t="s">
        <v>225</v>
      </c>
      <c r="D183" s="2" t="s">
        <v>65</v>
      </c>
      <c r="E183" s="7"/>
      <c r="F183" s="7" t="s">
        <v>1763</v>
      </c>
      <c r="G183" s="2" t="s">
        <v>180</v>
      </c>
      <c r="H183" s="2" t="s">
        <v>1773</v>
      </c>
      <c r="I183" s="2"/>
      <c r="J183" s="2"/>
      <c r="K183" s="2" t="s">
        <v>1880</v>
      </c>
      <c r="L183" s="2" t="s">
        <v>35</v>
      </c>
    </row>
    <row r="184" spans="1:12" ht="77.5" customHeight="1">
      <c r="A184" s="2" t="s">
        <v>229</v>
      </c>
      <c r="B184" s="2" t="s">
        <v>224</v>
      </c>
      <c r="C184" s="2" t="s">
        <v>225</v>
      </c>
      <c r="D184" s="2" t="s">
        <v>222</v>
      </c>
      <c r="E184" s="6">
        <v>12</v>
      </c>
      <c r="F184" s="7" t="s">
        <v>1764</v>
      </c>
      <c r="G184" s="2" t="s">
        <v>180</v>
      </c>
      <c r="H184" s="2" t="s">
        <v>1759</v>
      </c>
      <c r="I184" s="2" t="s">
        <v>1878</v>
      </c>
      <c r="J184" s="2" t="s">
        <v>1879</v>
      </c>
      <c r="K184" s="2" t="s">
        <v>1880</v>
      </c>
      <c r="L184" s="2" t="s">
        <v>35</v>
      </c>
    </row>
    <row r="185" spans="1:12" ht="50.5" customHeight="1">
      <c r="A185" s="2" t="s">
        <v>229</v>
      </c>
      <c r="B185" s="2" t="s">
        <v>224</v>
      </c>
      <c r="C185" s="2" t="s">
        <v>225</v>
      </c>
      <c r="D185" s="2" t="s">
        <v>1765</v>
      </c>
      <c r="E185" s="6" t="s">
        <v>226</v>
      </c>
      <c r="F185" s="7" t="s">
        <v>1766</v>
      </c>
      <c r="G185" s="2" t="s">
        <v>180</v>
      </c>
      <c r="H185" s="2" t="s">
        <v>1759</v>
      </c>
      <c r="I185" s="2" t="s">
        <v>1767</v>
      </c>
      <c r="J185" s="2"/>
      <c r="K185" t="s">
        <v>1881</v>
      </c>
    </row>
    <row r="186" spans="1:12" ht="50.5" customHeight="1">
      <c r="A186" s="2" t="s">
        <v>238</v>
      </c>
      <c r="B186" s="2" t="s">
        <v>224</v>
      </c>
      <c r="C186" s="2" t="s">
        <v>232</v>
      </c>
      <c r="D186" s="2" t="s">
        <v>1757</v>
      </c>
      <c r="E186" s="7" t="s">
        <v>233</v>
      </c>
      <c r="F186" s="7" t="s">
        <v>1758</v>
      </c>
      <c r="G186" s="2" t="s">
        <v>235</v>
      </c>
      <c r="H186" s="2" t="s">
        <v>1759</v>
      </c>
      <c r="I186" s="2" t="s">
        <v>1882</v>
      </c>
      <c r="J186" s="2" t="s">
        <v>1883</v>
      </c>
      <c r="K186" s="2" t="s">
        <v>1884</v>
      </c>
      <c r="L186" s="2" t="s">
        <v>45</v>
      </c>
    </row>
    <row r="187" spans="1:12" ht="50.5" customHeight="1">
      <c r="A187" s="2" t="s">
        <v>238</v>
      </c>
      <c r="B187" s="2" t="s">
        <v>224</v>
      </c>
      <c r="C187" s="2" t="s">
        <v>232</v>
      </c>
      <c r="D187" s="2" t="s">
        <v>254</v>
      </c>
      <c r="E187" s="7"/>
      <c r="F187" s="7" t="s">
        <v>1758</v>
      </c>
      <c r="G187" s="2" t="s">
        <v>235</v>
      </c>
      <c r="H187" s="2" t="s">
        <v>1773</v>
      </c>
      <c r="I187" s="2"/>
      <c r="J187" s="2"/>
      <c r="K187" s="2" t="s">
        <v>1884</v>
      </c>
      <c r="L187" s="2" t="s">
        <v>45</v>
      </c>
    </row>
    <row r="188" spans="1:12" ht="77.5" customHeight="1">
      <c r="A188" s="2" t="s">
        <v>238</v>
      </c>
      <c r="B188" s="2" t="s">
        <v>224</v>
      </c>
      <c r="C188" s="2" t="s">
        <v>232</v>
      </c>
      <c r="D188" s="2" t="s">
        <v>124</v>
      </c>
      <c r="E188" s="7"/>
      <c r="F188" s="7" t="s">
        <v>1763</v>
      </c>
      <c r="G188" s="2" t="s">
        <v>235</v>
      </c>
      <c r="H188" s="2" t="s">
        <v>1773</v>
      </c>
      <c r="I188" s="2"/>
      <c r="J188" s="2"/>
      <c r="K188" s="2" t="s">
        <v>1884</v>
      </c>
      <c r="L188" s="2" t="s">
        <v>45</v>
      </c>
    </row>
    <row r="189" spans="1:12" ht="77.5" customHeight="1">
      <c r="A189" s="2" t="s">
        <v>238</v>
      </c>
      <c r="B189" s="2" t="s">
        <v>224</v>
      </c>
      <c r="C189" s="2" t="s">
        <v>232</v>
      </c>
      <c r="D189" s="2" t="s">
        <v>65</v>
      </c>
      <c r="E189" s="7"/>
      <c r="F189" s="7" t="s">
        <v>1763</v>
      </c>
      <c r="G189" s="2" t="s">
        <v>235</v>
      </c>
      <c r="H189" s="2" t="s">
        <v>1773</v>
      </c>
      <c r="I189" s="2"/>
      <c r="J189" s="2"/>
      <c r="K189" s="2" t="s">
        <v>1884</v>
      </c>
      <c r="L189" s="2" t="s">
        <v>45</v>
      </c>
    </row>
    <row r="190" spans="1:12" ht="50.5" customHeight="1">
      <c r="A190" s="2" t="s">
        <v>238</v>
      </c>
      <c r="B190" s="2" t="s">
        <v>224</v>
      </c>
      <c r="C190" s="2" t="s">
        <v>232</v>
      </c>
      <c r="D190" s="2" t="s">
        <v>222</v>
      </c>
      <c r="E190" s="7"/>
      <c r="F190" s="7" t="s">
        <v>1764</v>
      </c>
      <c r="G190" s="2" t="s">
        <v>235</v>
      </c>
      <c r="H190" s="2" t="s">
        <v>1773</v>
      </c>
      <c r="I190" s="2"/>
      <c r="J190" s="2"/>
      <c r="K190" s="2" t="s">
        <v>1884</v>
      </c>
      <c r="L190" s="2" t="s">
        <v>45</v>
      </c>
    </row>
    <row r="191" spans="1:12" ht="37" customHeight="1">
      <c r="A191" s="2" t="s">
        <v>238</v>
      </c>
      <c r="B191" s="2" t="s">
        <v>224</v>
      </c>
      <c r="C191" s="2" t="s">
        <v>232</v>
      </c>
      <c r="D191" s="2" t="s">
        <v>1765</v>
      </c>
      <c r="E191" s="7" t="s">
        <v>234</v>
      </c>
      <c r="F191" s="7" t="s">
        <v>1766</v>
      </c>
      <c r="G191" s="2" t="s">
        <v>235</v>
      </c>
      <c r="H191" s="2" t="s">
        <v>1759</v>
      </c>
      <c r="I191" s="2" t="s">
        <v>1767</v>
      </c>
      <c r="J191" s="2"/>
      <c r="K191" t="s">
        <v>1885</v>
      </c>
    </row>
    <row r="192" spans="1:12" ht="37" customHeight="1">
      <c r="A192" s="2" t="s">
        <v>246</v>
      </c>
      <c r="B192" s="2" t="s">
        <v>224</v>
      </c>
      <c r="C192" s="2" t="s">
        <v>242</v>
      </c>
      <c r="D192" s="2" t="s">
        <v>1757</v>
      </c>
      <c r="E192" s="4">
        <v>0.3</v>
      </c>
      <c r="F192" s="7" t="s">
        <v>1758</v>
      </c>
      <c r="G192" s="2" t="s">
        <v>71</v>
      </c>
      <c r="H192" s="2" t="s">
        <v>1759</v>
      </c>
      <c r="I192" s="2" t="s">
        <v>1886</v>
      </c>
      <c r="J192" s="2" t="s">
        <v>1887</v>
      </c>
      <c r="K192" s="2" t="s">
        <v>1888</v>
      </c>
      <c r="L192" s="2" t="s">
        <v>45</v>
      </c>
    </row>
    <row r="193" spans="1:12" ht="37" customHeight="1">
      <c r="A193" s="2" t="s">
        <v>246</v>
      </c>
      <c r="B193" s="2" t="s">
        <v>224</v>
      </c>
      <c r="C193" s="2" t="s">
        <v>242</v>
      </c>
      <c r="D193" s="2" t="s">
        <v>254</v>
      </c>
      <c r="E193" s="4">
        <v>0.2</v>
      </c>
      <c r="F193" s="7" t="s">
        <v>1758</v>
      </c>
      <c r="G193" s="2" t="s">
        <v>71</v>
      </c>
      <c r="H193" s="2" t="s">
        <v>1759</v>
      </c>
      <c r="I193" s="2" t="s">
        <v>1886</v>
      </c>
      <c r="J193" s="2" t="s">
        <v>1887</v>
      </c>
      <c r="K193" s="2" t="s">
        <v>1888</v>
      </c>
      <c r="L193" s="2" t="s">
        <v>45</v>
      </c>
    </row>
    <row r="194" spans="1:12" ht="37" customHeight="1">
      <c r="A194" s="2" t="s">
        <v>246</v>
      </c>
      <c r="B194" s="2" t="s">
        <v>224</v>
      </c>
      <c r="C194" s="2" t="s">
        <v>242</v>
      </c>
      <c r="D194" s="2" t="s">
        <v>124</v>
      </c>
      <c r="E194" s="7"/>
      <c r="F194" s="7" t="s">
        <v>1763</v>
      </c>
      <c r="G194" s="2" t="s">
        <v>71</v>
      </c>
      <c r="H194" s="2" t="s">
        <v>1773</v>
      </c>
      <c r="I194" s="2"/>
      <c r="J194" s="2"/>
      <c r="K194" s="2" t="s">
        <v>1888</v>
      </c>
      <c r="L194" s="2" t="s">
        <v>45</v>
      </c>
    </row>
    <row r="195" spans="1:12" ht="37" customHeight="1">
      <c r="A195" s="2" t="s">
        <v>246</v>
      </c>
      <c r="B195" s="2" t="s">
        <v>224</v>
      </c>
      <c r="C195" s="2" t="s">
        <v>242</v>
      </c>
      <c r="D195" s="2" t="s">
        <v>65</v>
      </c>
      <c r="E195" s="7"/>
      <c r="F195" s="7" t="s">
        <v>1763</v>
      </c>
      <c r="G195" s="2" t="s">
        <v>71</v>
      </c>
      <c r="H195" s="2" t="s">
        <v>1773</v>
      </c>
      <c r="I195" s="2"/>
      <c r="J195" s="2"/>
      <c r="K195" s="2" t="s">
        <v>1888</v>
      </c>
      <c r="L195" s="2" t="s">
        <v>45</v>
      </c>
    </row>
    <row r="196" spans="1:12" ht="34" customHeight="1">
      <c r="A196" s="2" t="s">
        <v>246</v>
      </c>
      <c r="B196" s="2" t="s">
        <v>224</v>
      </c>
      <c r="C196" s="2" t="s">
        <v>242</v>
      </c>
      <c r="D196" s="2" t="s">
        <v>222</v>
      </c>
      <c r="E196" s="5">
        <v>0.15</v>
      </c>
      <c r="F196" s="7" t="s">
        <v>1764</v>
      </c>
      <c r="G196" s="2" t="s">
        <v>71</v>
      </c>
      <c r="H196" s="2" t="s">
        <v>1759</v>
      </c>
      <c r="I196" s="2" t="s">
        <v>1886</v>
      </c>
      <c r="J196" s="2" t="s">
        <v>1887</v>
      </c>
      <c r="K196" s="2" t="s">
        <v>1888</v>
      </c>
      <c r="L196" s="2" t="s">
        <v>45</v>
      </c>
    </row>
    <row r="197" spans="1:12" ht="34" customHeight="1">
      <c r="A197" s="2" t="s">
        <v>246</v>
      </c>
      <c r="B197" s="2" t="s">
        <v>224</v>
      </c>
      <c r="C197" s="2" t="s">
        <v>242</v>
      </c>
      <c r="D197" s="2" t="s">
        <v>1765</v>
      </c>
      <c r="E197" s="5" t="s">
        <v>243</v>
      </c>
      <c r="F197" s="7" t="s">
        <v>1766</v>
      </c>
      <c r="G197" s="2" t="s">
        <v>71</v>
      </c>
      <c r="H197" s="2" t="s">
        <v>1759</v>
      </c>
      <c r="I197" s="2" t="s">
        <v>1767</v>
      </c>
      <c r="J197" s="2"/>
      <c r="K197" t="s">
        <v>1889</v>
      </c>
    </row>
    <row r="198" spans="1:12" ht="34" customHeight="1">
      <c r="A198" s="2" t="s">
        <v>252</v>
      </c>
      <c r="B198" s="2" t="s">
        <v>224</v>
      </c>
      <c r="C198" s="2" t="s">
        <v>248</v>
      </c>
      <c r="D198" s="2" t="s">
        <v>1757</v>
      </c>
      <c r="E198" s="4">
        <v>5.4</v>
      </c>
      <c r="F198" s="7" t="s">
        <v>1758</v>
      </c>
      <c r="G198" s="2" t="s">
        <v>250</v>
      </c>
      <c r="H198" s="2" t="s">
        <v>1759</v>
      </c>
      <c r="I198" s="2" t="s">
        <v>1890</v>
      </c>
      <c r="J198" s="2" t="s">
        <v>1891</v>
      </c>
      <c r="K198" s="2" t="s">
        <v>1892</v>
      </c>
      <c r="L198" s="2" t="s">
        <v>45</v>
      </c>
    </row>
    <row r="199" spans="1:12" ht="34" customHeight="1">
      <c r="A199" s="2" t="s">
        <v>252</v>
      </c>
      <c r="B199" s="2" t="s">
        <v>224</v>
      </c>
      <c r="C199" s="2" t="s">
        <v>248</v>
      </c>
      <c r="D199" s="2" t="s">
        <v>254</v>
      </c>
      <c r="E199" s="15">
        <v>1.588235294117647</v>
      </c>
      <c r="F199" s="20" t="s">
        <v>1758</v>
      </c>
      <c r="G199" s="21" t="s">
        <v>250</v>
      </c>
      <c r="H199" s="21" t="s">
        <v>1779</v>
      </c>
      <c r="I199" s="2" t="s">
        <v>1893</v>
      </c>
      <c r="J199" s="2" t="s">
        <v>1891</v>
      </c>
      <c r="K199" s="2" t="s">
        <v>1894</v>
      </c>
      <c r="L199" s="2" t="s">
        <v>45</v>
      </c>
    </row>
    <row r="200" spans="1:12" ht="34" customHeight="1">
      <c r="A200" s="2" t="s">
        <v>252</v>
      </c>
      <c r="B200" s="2" t="s">
        <v>224</v>
      </c>
      <c r="C200" s="2" t="s">
        <v>248</v>
      </c>
      <c r="D200" s="2" t="s">
        <v>124</v>
      </c>
      <c r="E200" s="6">
        <v>2</v>
      </c>
      <c r="F200" s="7" t="s">
        <v>1763</v>
      </c>
      <c r="G200" s="2" t="s">
        <v>250</v>
      </c>
      <c r="H200" s="2" t="s">
        <v>1759</v>
      </c>
      <c r="I200" s="2" t="s">
        <v>1890</v>
      </c>
      <c r="J200" s="2" t="s">
        <v>1891</v>
      </c>
      <c r="K200" s="2" t="s">
        <v>1892</v>
      </c>
      <c r="L200" s="2" t="s">
        <v>45</v>
      </c>
    </row>
    <row r="201" spans="1:12" ht="34" customHeight="1">
      <c r="A201" s="2" t="s">
        <v>252</v>
      </c>
      <c r="B201" s="2" t="s">
        <v>224</v>
      </c>
      <c r="C201" s="2" t="s">
        <v>248</v>
      </c>
      <c r="D201" s="2" t="s">
        <v>65</v>
      </c>
      <c r="E201" s="4">
        <v>0.5</v>
      </c>
      <c r="F201" s="7" t="s">
        <v>1763</v>
      </c>
      <c r="G201" s="2" t="s">
        <v>250</v>
      </c>
      <c r="H201" s="2" t="s">
        <v>1759</v>
      </c>
      <c r="I201" s="2" t="s">
        <v>1890</v>
      </c>
      <c r="J201" s="2" t="s">
        <v>1891</v>
      </c>
      <c r="K201" s="2" t="s">
        <v>1892</v>
      </c>
      <c r="L201" s="2" t="s">
        <v>45</v>
      </c>
    </row>
    <row r="202" spans="1:12" ht="34" customHeight="1">
      <c r="A202" s="2" t="s">
        <v>252</v>
      </c>
      <c r="B202" s="2" t="s">
        <v>224</v>
      </c>
      <c r="C202" s="2" t="s">
        <v>248</v>
      </c>
      <c r="D202" s="2" t="s">
        <v>222</v>
      </c>
      <c r="E202" s="6">
        <v>12</v>
      </c>
      <c r="F202" s="7" t="s">
        <v>1764</v>
      </c>
      <c r="G202" s="2" t="s">
        <v>250</v>
      </c>
      <c r="H202" s="2" t="s">
        <v>1759</v>
      </c>
      <c r="I202" s="2" t="s">
        <v>1890</v>
      </c>
      <c r="J202" s="2" t="s">
        <v>1891</v>
      </c>
      <c r="K202" s="2" t="s">
        <v>1892</v>
      </c>
      <c r="L202" s="2" t="s">
        <v>45</v>
      </c>
    </row>
    <row r="203" spans="1:12" ht="34" customHeight="1">
      <c r="A203" s="2" t="s">
        <v>252</v>
      </c>
      <c r="B203" s="2" t="s">
        <v>224</v>
      </c>
      <c r="C203" s="2" t="s">
        <v>248</v>
      </c>
      <c r="D203" s="2" t="s">
        <v>1765</v>
      </c>
      <c r="E203" s="6" t="s">
        <v>249</v>
      </c>
      <c r="F203" s="7" t="s">
        <v>1766</v>
      </c>
      <c r="G203" s="2" t="s">
        <v>250</v>
      </c>
      <c r="H203" s="2" t="s">
        <v>1759</v>
      </c>
      <c r="I203" s="2" t="s">
        <v>1767</v>
      </c>
      <c r="J203" s="2"/>
      <c r="K203" t="s">
        <v>1895</v>
      </c>
    </row>
    <row r="204" spans="1:12" ht="34" customHeight="1">
      <c r="A204" s="2" t="s">
        <v>258</v>
      </c>
      <c r="B204" s="2" t="s">
        <v>224</v>
      </c>
      <c r="C204" s="2" t="s">
        <v>256</v>
      </c>
      <c r="D204" s="2" t="s">
        <v>1757</v>
      </c>
      <c r="E204" s="4">
        <v>0.4</v>
      </c>
      <c r="F204" s="7" t="s">
        <v>1758</v>
      </c>
      <c r="G204" s="2" t="s">
        <v>60</v>
      </c>
      <c r="H204" s="2" t="s">
        <v>1759</v>
      </c>
      <c r="I204" s="2" t="s">
        <v>1896</v>
      </c>
      <c r="J204" s="2" t="s">
        <v>1781</v>
      </c>
      <c r="K204" s="2" t="s">
        <v>1897</v>
      </c>
      <c r="L204" s="2" t="s">
        <v>122</v>
      </c>
    </row>
    <row r="205" spans="1:12" ht="34" customHeight="1">
      <c r="A205" s="2" t="s">
        <v>258</v>
      </c>
      <c r="B205" s="2" t="s">
        <v>224</v>
      </c>
      <c r="C205" s="2" t="s">
        <v>256</v>
      </c>
      <c r="D205" s="2" t="s">
        <v>254</v>
      </c>
      <c r="E205" s="4">
        <v>0.1</v>
      </c>
      <c r="F205" s="7" t="s">
        <v>1758</v>
      </c>
      <c r="G205" s="2" t="s">
        <v>60</v>
      </c>
      <c r="H205" s="2" t="s">
        <v>1759</v>
      </c>
      <c r="I205" s="2" t="s">
        <v>1896</v>
      </c>
      <c r="J205" s="2" t="s">
        <v>1781</v>
      </c>
      <c r="K205" s="2" t="s">
        <v>1897</v>
      </c>
      <c r="L205" s="2" t="s">
        <v>122</v>
      </c>
    </row>
    <row r="206" spans="1:12" ht="34" customHeight="1">
      <c r="A206" s="2" t="s">
        <v>258</v>
      </c>
      <c r="B206" s="2" t="s">
        <v>224</v>
      </c>
      <c r="C206" s="2" t="s">
        <v>256</v>
      </c>
      <c r="D206" s="2" t="s">
        <v>124</v>
      </c>
      <c r="E206" s="11">
        <v>1</v>
      </c>
      <c r="F206" s="20" t="s">
        <v>1763</v>
      </c>
      <c r="G206" s="21" t="s">
        <v>60</v>
      </c>
      <c r="H206" s="21" t="s">
        <v>1779</v>
      </c>
      <c r="I206" s="2" t="s">
        <v>1898</v>
      </c>
      <c r="J206" s="2" t="s">
        <v>1781</v>
      </c>
      <c r="K206" s="2" t="s">
        <v>1899</v>
      </c>
      <c r="L206" s="2" t="s">
        <v>122</v>
      </c>
    </row>
    <row r="207" spans="1:12" ht="34" customHeight="1">
      <c r="A207" s="2" t="s">
        <v>258</v>
      </c>
      <c r="B207" s="2" t="s">
        <v>224</v>
      </c>
      <c r="C207" s="2" t="s">
        <v>256</v>
      </c>
      <c r="D207" s="2" t="s">
        <v>65</v>
      </c>
      <c r="E207" s="11">
        <v>0</v>
      </c>
      <c r="F207" s="20" t="s">
        <v>1763</v>
      </c>
      <c r="G207" s="21" t="s">
        <v>60</v>
      </c>
      <c r="H207" s="21" t="s">
        <v>1779</v>
      </c>
      <c r="I207" s="2" t="s">
        <v>1898</v>
      </c>
      <c r="J207" s="2" t="s">
        <v>1781</v>
      </c>
      <c r="K207" s="2" t="s">
        <v>1900</v>
      </c>
      <c r="L207" s="2" t="s">
        <v>122</v>
      </c>
    </row>
    <row r="208" spans="1:12" ht="34" customHeight="1">
      <c r="A208" s="2" t="s">
        <v>258</v>
      </c>
      <c r="B208" s="2" t="s">
        <v>224</v>
      </c>
      <c r="C208" s="2" t="s">
        <v>256</v>
      </c>
      <c r="D208" s="2" t="s">
        <v>222</v>
      </c>
      <c r="E208" s="8">
        <v>1E-3</v>
      </c>
      <c r="F208" s="7" t="s">
        <v>1764</v>
      </c>
      <c r="G208" s="2" t="s">
        <v>60</v>
      </c>
      <c r="H208" s="2" t="s">
        <v>1759</v>
      </c>
      <c r="I208" s="2" t="s">
        <v>1896</v>
      </c>
      <c r="J208" s="2" t="s">
        <v>1781</v>
      </c>
      <c r="K208" s="2" t="s">
        <v>1897</v>
      </c>
      <c r="L208" s="2" t="s">
        <v>122</v>
      </c>
    </row>
    <row r="209" spans="1:12" ht="34" customHeight="1">
      <c r="A209" s="2" t="s">
        <v>258</v>
      </c>
      <c r="B209" s="2" t="s">
        <v>224</v>
      </c>
      <c r="C209" s="2" t="s">
        <v>256</v>
      </c>
      <c r="D209" s="2" t="s">
        <v>1765</v>
      </c>
      <c r="E209" s="8" t="s">
        <v>257</v>
      </c>
      <c r="F209" s="7" t="s">
        <v>1766</v>
      </c>
      <c r="G209" s="2" t="s">
        <v>60</v>
      </c>
      <c r="H209" s="2" t="s">
        <v>1759</v>
      </c>
      <c r="I209" s="2" t="s">
        <v>1767</v>
      </c>
      <c r="J209" s="2"/>
      <c r="K209" t="s">
        <v>1901</v>
      </c>
    </row>
    <row r="210" spans="1:12" ht="34" customHeight="1">
      <c r="A210" s="2" t="s">
        <v>262</v>
      </c>
      <c r="B210" s="2" t="s">
        <v>224</v>
      </c>
      <c r="C210" s="2" t="s">
        <v>260</v>
      </c>
      <c r="D210" s="2" t="s">
        <v>1757</v>
      </c>
      <c r="E210" s="4">
        <v>0.3</v>
      </c>
      <c r="F210" s="7" t="s">
        <v>1758</v>
      </c>
      <c r="G210" s="2" t="s">
        <v>60</v>
      </c>
      <c r="H210" s="2" t="s">
        <v>1759</v>
      </c>
      <c r="I210" s="2" t="s">
        <v>1902</v>
      </c>
      <c r="J210" s="2" t="s">
        <v>1781</v>
      </c>
      <c r="K210" s="2" t="s">
        <v>1903</v>
      </c>
      <c r="L210" s="2" t="s">
        <v>122</v>
      </c>
    </row>
    <row r="211" spans="1:12" ht="34" customHeight="1">
      <c r="A211" s="2" t="s">
        <v>262</v>
      </c>
      <c r="B211" s="2" t="s">
        <v>224</v>
      </c>
      <c r="C211" s="2" t="s">
        <v>260</v>
      </c>
      <c r="D211" s="2" t="s">
        <v>254</v>
      </c>
      <c r="E211" s="5">
        <v>0.04</v>
      </c>
      <c r="F211" s="7" t="s">
        <v>1758</v>
      </c>
      <c r="G211" s="2" t="s">
        <v>60</v>
      </c>
      <c r="H211" s="2" t="s">
        <v>1759</v>
      </c>
      <c r="I211" s="2" t="s">
        <v>1902</v>
      </c>
      <c r="J211" s="2" t="s">
        <v>1781</v>
      </c>
      <c r="K211" s="2" t="s">
        <v>1903</v>
      </c>
      <c r="L211" s="2" t="s">
        <v>122</v>
      </c>
    </row>
    <row r="212" spans="1:12" ht="34" customHeight="1">
      <c r="A212" s="2" t="s">
        <v>262</v>
      </c>
      <c r="B212" s="2" t="s">
        <v>224</v>
      </c>
      <c r="C212" s="2" t="s">
        <v>260</v>
      </c>
      <c r="D212" s="2" t="s">
        <v>124</v>
      </c>
      <c r="E212" s="11">
        <v>1</v>
      </c>
      <c r="F212" s="20" t="s">
        <v>1763</v>
      </c>
      <c r="G212" s="21" t="s">
        <v>60</v>
      </c>
      <c r="H212" s="21" t="s">
        <v>1779</v>
      </c>
      <c r="I212" s="2" t="s">
        <v>1904</v>
      </c>
      <c r="J212" s="2" t="s">
        <v>1781</v>
      </c>
      <c r="K212" s="2" t="s">
        <v>1905</v>
      </c>
      <c r="L212" s="2" t="s">
        <v>122</v>
      </c>
    </row>
    <row r="213" spans="1:12" ht="34" customHeight="1">
      <c r="A213" s="2" t="s">
        <v>262</v>
      </c>
      <c r="B213" s="2" t="s">
        <v>224</v>
      </c>
      <c r="C213" s="2" t="s">
        <v>260</v>
      </c>
      <c r="D213" s="2" t="s">
        <v>65</v>
      </c>
      <c r="E213" s="11">
        <v>0</v>
      </c>
      <c r="F213" s="20" t="s">
        <v>1763</v>
      </c>
      <c r="G213" s="21" t="s">
        <v>60</v>
      </c>
      <c r="H213" s="21" t="s">
        <v>1779</v>
      </c>
      <c r="I213" s="2" t="s">
        <v>1904</v>
      </c>
      <c r="J213" s="2" t="s">
        <v>1781</v>
      </c>
      <c r="K213" s="2" t="s">
        <v>1906</v>
      </c>
      <c r="L213" s="2" t="s">
        <v>122</v>
      </c>
    </row>
    <row r="214" spans="1:12" ht="34" customHeight="1">
      <c r="A214" s="2" t="s">
        <v>262</v>
      </c>
      <c r="B214" s="2" t="s">
        <v>224</v>
      </c>
      <c r="C214" s="2" t="s">
        <v>260</v>
      </c>
      <c r="D214" s="2" t="s">
        <v>222</v>
      </c>
      <c r="E214" s="7"/>
      <c r="F214" s="7" t="s">
        <v>1764</v>
      </c>
      <c r="G214" s="2" t="s">
        <v>60</v>
      </c>
      <c r="H214" s="2" t="s">
        <v>1773</v>
      </c>
      <c r="I214" s="2"/>
      <c r="J214" s="2"/>
      <c r="K214" s="2" t="s">
        <v>1903</v>
      </c>
      <c r="L214" s="2" t="s">
        <v>122</v>
      </c>
    </row>
    <row r="215" spans="1:12" ht="34" customHeight="1">
      <c r="A215" s="2" t="s">
        <v>262</v>
      </c>
      <c r="B215" s="2" t="s">
        <v>224</v>
      </c>
      <c r="C215" s="2" t="s">
        <v>260</v>
      </c>
      <c r="D215" s="2" t="s">
        <v>1765</v>
      </c>
      <c r="E215" s="7" t="s">
        <v>261</v>
      </c>
      <c r="F215" s="7" t="s">
        <v>1766</v>
      </c>
      <c r="G215" s="2" t="s">
        <v>60</v>
      </c>
      <c r="H215" s="2" t="s">
        <v>1759</v>
      </c>
      <c r="I215" s="2" t="s">
        <v>1767</v>
      </c>
      <c r="J215" s="2"/>
      <c r="K215" t="s">
        <v>1907</v>
      </c>
    </row>
    <row r="216" spans="1:12" ht="37" customHeight="1">
      <c r="A216" s="2" t="s">
        <v>265</v>
      </c>
      <c r="B216" s="2" t="s">
        <v>224</v>
      </c>
      <c r="C216" s="2" t="s">
        <v>263</v>
      </c>
      <c r="D216" s="2" t="s">
        <v>1757</v>
      </c>
      <c r="E216" s="4">
        <v>0.4</v>
      </c>
      <c r="F216" s="7" t="s">
        <v>1758</v>
      </c>
      <c r="G216" s="2" t="s">
        <v>60</v>
      </c>
      <c r="H216" s="2" t="s">
        <v>1759</v>
      </c>
      <c r="I216" s="2" t="s">
        <v>1908</v>
      </c>
      <c r="J216" s="2" t="s">
        <v>1781</v>
      </c>
      <c r="K216" s="2" t="s">
        <v>1909</v>
      </c>
      <c r="L216" s="2" t="s">
        <v>122</v>
      </c>
    </row>
    <row r="217" spans="1:12" ht="37" customHeight="1">
      <c r="A217" s="2" t="s">
        <v>265</v>
      </c>
      <c r="B217" s="2" t="s">
        <v>224</v>
      </c>
      <c r="C217" s="2" t="s">
        <v>263</v>
      </c>
      <c r="D217" s="2" t="s">
        <v>254</v>
      </c>
      <c r="E217" s="5">
        <v>0.09</v>
      </c>
      <c r="F217" s="7" t="s">
        <v>1758</v>
      </c>
      <c r="G217" s="2" t="s">
        <v>60</v>
      </c>
      <c r="H217" s="2" t="s">
        <v>1759</v>
      </c>
      <c r="I217" s="2" t="s">
        <v>1908</v>
      </c>
      <c r="J217" s="2" t="s">
        <v>1781</v>
      </c>
      <c r="K217" s="2" t="s">
        <v>1909</v>
      </c>
      <c r="L217" s="2" t="s">
        <v>122</v>
      </c>
    </row>
    <row r="218" spans="1:12" ht="37" customHeight="1">
      <c r="A218" s="2" t="s">
        <v>265</v>
      </c>
      <c r="B218" s="2" t="s">
        <v>224</v>
      </c>
      <c r="C218" s="2" t="s">
        <v>263</v>
      </c>
      <c r="D218" s="2" t="s">
        <v>124</v>
      </c>
      <c r="E218" s="11">
        <v>1</v>
      </c>
      <c r="F218" s="20" t="s">
        <v>1763</v>
      </c>
      <c r="G218" s="21" t="s">
        <v>60</v>
      </c>
      <c r="H218" s="21" t="s">
        <v>1779</v>
      </c>
      <c r="I218" s="2" t="s">
        <v>1910</v>
      </c>
      <c r="J218" s="2" t="s">
        <v>1781</v>
      </c>
      <c r="K218" s="2" t="s">
        <v>1911</v>
      </c>
      <c r="L218" s="2" t="s">
        <v>122</v>
      </c>
    </row>
    <row r="219" spans="1:12" ht="64" customHeight="1">
      <c r="A219" s="2" t="s">
        <v>265</v>
      </c>
      <c r="B219" s="2" t="s">
        <v>224</v>
      </c>
      <c r="C219" s="2" t="s">
        <v>263</v>
      </c>
      <c r="D219" s="2" t="s">
        <v>65</v>
      </c>
      <c r="E219" s="11">
        <v>0</v>
      </c>
      <c r="F219" s="20" t="s">
        <v>1763</v>
      </c>
      <c r="G219" s="21" t="s">
        <v>60</v>
      </c>
      <c r="H219" s="21" t="s">
        <v>1779</v>
      </c>
      <c r="I219" s="2" t="s">
        <v>1910</v>
      </c>
      <c r="J219" s="2" t="s">
        <v>1781</v>
      </c>
      <c r="K219" s="2" t="s">
        <v>1912</v>
      </c>
      <c r="L219" s="2" t="s">
        <v>122</v>
      </c>
    </row>
    <row r="220" spans="1:12" ht="37" customHeight="1">
      <c r="A220" s="2" t="s">
        <v>265</v>
      </c>
      <c r="B220" s="2" t="s">
        <v>224</v>
      </c>
      <c r="C220" s="2" t="s">
        <v>263</v>
      </c>
      <c r="D220" s="2" t="s">
        <v>222</v>
      </c>
      <c r="E220" s="8">
        <v>3.0000000000000001E-3</v>
      </c>
      <c r="F220" s="7" t="s">
        <v>1764</v>
      </c>
      <c r="G220" s="2" t="s">
        <v>60</v>
      </c>
      <c r="H220" s="2" t="s">
        <v>1759</v>
      </c>
      <c r="I220" s="2" t="s">
        <v>1908</v>
      </c>
      <c r="J220" s="2" t="s">
        <v>1781</v>
      </c>
      <c r="K220" s="2" t="s">
        <v>1909</v>
      </c>
      <c r="L220" s="2" t="s">
        <v>122</v>
      </c>
    </row>
    <row r="221" spans="1:12" ht="34" customHeight="1">
      <c r="A221" s="2" t="s">
        <v>265</v>
      </c>
      <c r="B221" s="2" t="s">
        <v>224</v>
      </c>
      <c r="C221" s="2" t="s">
        <v>263</v>
      </c>
      <c r="D221" s="2" t="s">
        <v>1765</v>
      </c>
      <c r="E221" s="8" t="s">
        <v>264</v>
      </c>
      <c r="F221" s="7" t="s">
        <v>1766</v>
      </c>
      <c r="G221" s="2" t="s">
        <v>60</v>
      </c>
      <c r="H221" s="2" t="s">
        <v>1759</v>
      </c>
      <c r="I221" s="2" t="s">
        <v>1767</v>
      </c>
      <c r="J221" s="2"/>
      <c r="K221" t="s">
        <v>1817</v>
      </c>
    </row>
    <row r="222" spans="1:12" ht="34" customHeight="1">
      <c r="A222" s="2" t="s">
        <v>268</v>
      </c>
      <c r="B222" s="2" t="s">
        <v>224</v>
      </c>
      <c r="C222" s="2" t="s">
        <v>267</v>
      </c>
      <c r="D222" s="2" t="s">
        <v>1757</v>
      </c>
      <c r="E222" s="4">
        <v>0.4</v>
      </c>
      <c r="F222" s="7" t="s">
        <v>1758</v>
      </c>
      <c r="G222" s="2" t="s">
        <v>60</v>
      </c>
      <c r="H222" s="2" t="s">
        <v>1759</v>
      </c>
      <c r="I222" s="2" t="s">
        <v>1913</v>
      </c>
      <c r="J222" s="2" t="s">
        <v>1781</v>
      </c>
      <c r="K222" s="2" t="s">
        <v>1914</v>
      </c>
      <c r="L222" s="2" t="s">
        <v>122</v>
      </c>
    </row>
    <row r="223" spans="1:12" ht="37" customHeight="1">
      <c r="A223" s="2" t="s">
        <v>268</v>
      </c>
      <c r="B223" s="2" t="s">
        <v>224</v>
      </c>
      <c r="C223" s="2" t="s">
        <v>267</v>
      </c>
      <c r="D223" s="2" t="s">
        <v>254</v>
      </c>
      <c r="E223" s="4">
        <v>0.1</v>
      </c>
      <c r="F223" s="7" t="s">
        <v>1758</v>
      </c>
      <c r="G223" s="2" t="s">
        <v>60</v>
      </c>
      <c r="H223" s="2" t="s">
        <v>1759</v>
      </c>
      <c r="I223" s="2" t="s">
        <v>1913</v>
      </c>
      <c r="J223" s="2" t="s">
        <v>1781</v>
      </c>
      <c r="K223" s="2" t="s">
        <v>1914</v>
      </c>
      <c r="L223" s="2" t="s">
        <v>122</v>
      </c>
    </row>
    <row r="224" spans="1:12" ht="37" customHeight="1">
      <c r="A224" s="2" t="s">
        <v>268</v>
      </c>
      <c r="B224" s="2" t="s">
        <v>224</v>
      </c>
      <c r="C224" s="2" t="s">
        <v>267</v>
      </c>
      <c r="D224" s="2" t="s">
        <v>124</v>
      </c>
      <c r="E224" s="11">
        <v>1</v>
      </c>
      <c r="F224" s="20" t="s">
        <v>1763</v>
      </c>
      <c r="G224" s="21" t="s">
        <v>60</v>
      </c>
      <c r="H224" s="21" t="s">
        <v>1779</v>
      </c>
      <c r="I224" s="2" t="s">
        <v>1915</v>
      </c>
      <c r="J224" s="2" t="s">
        <v>1781</v>
      </c>
      <c r="K224" s="2" t="s">
        <v>1916</v>
      </c>
      <c r="L224" s="2" t="s">
        <v>122</v>
      </c>
    </row>
    <row r="225" spans="1:12" ht="34" customHeight="1">
      <c r="A225" s="2" t="s">
        <v>268</v>
      </c>
      <c r="B225" s="2" t="s">
        <v>224</v>
      </c>
      <c r="C225" s="2" t="s">
        <v>267</v>
      </c>
      <c r="D225" s="2" t="s">
        <v>65</v>
      </c>
      <c r="E225" s="11">
        <v>0</v>
      </c>
      <c r="F225" s="20" t="s">
        <v>1763</v>
      </c>
      <c r="G225" s="21" t="s">
        <v>60</v>
      </c>
      <c r="H225" s="21" t="s">
        <v>1779</v>
      </c>
      <c r="I225" s="2" t="s">
        <v>1915</v>
      </c>
      <c r="J225" s="2" t="s">
        <v>1781</v>
      </c>
      <c r="K225" s="2" t="s">
        <v>1917</v>
      </c>
      <c r="L225" s="2" t="s">
        <v>122</v>
      </c>
    </row>
    <row r="226" spans="1:12" ht="37" customHeight="1">
      <c r="A226" s="2" t="s">
        <v>268</v>
      </c>
      <c r="B226" s="2" t="s">
        <v>224</v>
      </c>
      <c r="C226" s="2" t="s">
        <v>267</v>
      </c>
      <c r="D226" s="2" t="s">
        <v>222</v>
      </c>
      <c r="E226" s="8">
        <v>1E-3</v>
      </c>
      <c r="F226" s="7" t="s">
        <v>1764</v>
      </c>
      <c r="G226" s="2" t="s">
        <v>60</v>
      </c>
      <c r="H226" s="2" t="s">
        <v>1759</v>
      </c>
      <c r="I226" s="2" t="s">
        <v>1913</v>
      </c>
      <c r="J226" s="2" t="s">
        <v>1781</v>
      </c>
      <c r="K226" s="2" t="s">
        <v>1914</v>
      </c>
      <c r="L226" s="2" t="s">
        <v>122</v>
      </c>
    </row>
    <row r="227" spans="1:12" ht="37" customHeight="1">
      <c r="A227" s="2" t="s">
        <v>268</v>
      </c>
      <c r="B227" s="2" t="s">
        <v>224</v>
      </c>
      <c r="C227" s="2" t="s">
        <v>267</v>
      </c>
      <c r="D227" s="2" t="s">
        <v>1765</v>
      </c>
      <c r="E227" s="8" t="s">
        <v>264</v>
      </c>
      <c r="F227" s="7" t="s">
        <v>1766</v>
      </c>
      <c r="G227" s="2" t="s">
        <v>60</v>
      </c>
      <c r="H227" s="2" t="s">
        <v>1759</v>
      </c>
      <c r="I227" s="2" t="s">
        <v>1767</v>
      </c>
      <c r="J227" s="2"/>
      <c r="K227" t="s">
        <v>1918</v>
      </c>
    </row>
    <row r="228" spans="1:12" ht="37" customHeight="1">
      <c r="A228" s="2" t="s">
        <v>271</v>
      </c>
      <c r="B228" s="2" t="s">
        <v>224</v>
      </c>
      <c r="C228" s="2" t="s">
        <v>270</v>
      </c>
      <c r="D228" s="2" t="s">
        <v>1757</v>
      </c>
      <c r="E228" s="4">
        <v>0.4</v>
      </c>
      <c r="F228" s="7" t="s">
        <v>1758</v>
      </c>
      <c r="G228" s="2" t="s">
        <v>180</v>
      </c>
      <c r="H228" s="2" t="s">
        <v>1759</v>
      </c>
      <c r="I228" s="2" t="s">
        <v>1776</v>
      </c>
      <c r="J228" s="2" t="s">
        <v>1777</v>
      </c>
      <c r="K228" s="2" t="s">
        <v>1919</v>
      </c>
      <c r="L228" s="2" t="s">
        <v>45</v>
      </c>
    </row>
    <row r="229" spans="1:12" ht="37" customHeight="1">
      <c r="A229" s="2" t="s">
        <v>271</v>
      </c>
      <c r="B229" s="2" t="s">
        <v>224</v>
      </c>
      <c r="C229" s="2" t="s">
        <v>270</v>
      </c>
      <c r="D229" s="2" t="s">
        <v>254</v>
      </c>
      <c r="E229" s="4">
        <v>0.1</v>
      </c>
      <c r="F229" s="7" t="s">
        <v>1758</v>
      </c>
      <c r="G229" s="2" t="s">
        <v>180</v>
      </c>
      <c r="H229" s="2" t="s">
        <v>1759</v>
      </c>
      <c r="I229" s="2" t="s">
        <v>1776</v>
      </c>
      <c r="J229" s="2" t="s">
        <v>1777</v>
      </c>
      <c r="K229" s="2" t="s">
        <v>1919</v>
      </c>
      <c r="L229" s="2" t="s">
        <v>45</v>
      </c>
    </row>
    <row r="230" spans="1:12" ht="37" customHeight="1">
      <c r="A230" s="2" t="s">
        <v>271</v>
      </c>
      <c r="B230" s="2" t="s">
        <v>224</v>
      </c>
      <c r="C230" s="2" t="s">
        <v>270</v>
      </c>
      <c r="D230" s="2" t="s">
        <v>124</v>
      </c>
      <c r="E230" s="6">
        <v>1</v>
      </c>
      <c r="F230" s="7" t="s">
        <v>1763</v>
      </c>
      <c r="G230" s="2" t="s">
        <v>180</v>
      </c>
      <c r="H230" s="2" t="s">
        <v>1759</v>
      </c>
      <c r="I230" s="2" t="s">
        <v>1776</v>
      </c>
      <c r="J230" s="2" t="s">
        <v>1777</v>
      </c>
      <c r="K230" s="2" t="s">
        <v>1919</v>
      </c>
      <c r="L230" s="2" t="s">
        <v>45</v>
      </c>
    </row>
    <row r="231" spans="1:12" ht="50.5" customHeight="1">
      <c r="A231" s="2" t="s">
        <v>271</v>
      </c>
      <c r="B231" s="2" t="s">
        <v>224</v>
      </c>
      <c r="C231" s="2" t="s">
        <v>270</v>
      </c>
      <c r="D231" s="2" t="s">
        <v>65</v>
      </c>
      <c r="E231" s="7"/>
      <c r="F231" s="7" t="s">
        <v>1763</v>
      </c>
      <c r="G231" s="2" t="s">
        <v>180</v>
      </c>
      <c r="H231" s="2" t="s">
        <v>1773</v>
      </c>
      <c r="I231" s="2"/>
      <c r="J231" s="2"/>
      <c r="K231" s="2" t="s">
        <v>1919</v>
      </c>
      <c r="L231" s="2" t="s">
        <v>45</v>
      </c>
    </row>
    <row r="232" spans="1:12" ht="50.5" customHeight="1">
      <c r="A232" s="2" t="s">
        <v>271</v>
      </c>
      <c r="B232" s="2" t="s">
        <v>224</v>
      </c>
      <c r="C232" s="2" t="s">
        <v>270</v>
      </c>
      <c r="D232" s="2" t="s">
        <v>222</v>
      </c>
      <c r="E232" s="8">
        <v>1E-3</v>
      </c>
      <c r="F232" s="7" t="s">
        <v>1764</v>
      </c>
      <c r="G232" s="2" t="s">
        <v>180</v>
      </c>
      <c r="H232" s="2" t="s">
        <v>1759</v>
      </c>
      <c r="I232" s="2" t="s">
        <v>1776</v>
      </c>
      <c r="J232" s="2" t="s">
        <v>1777</v>
      </c>
      <c r="K232" s="2" t="s">
        <v>1919</v>
      </c>
      <c r="L232" s="2" t="s">
        <v>45</v>
      </c>
    </row>
    <row r="233" spans="1:12" ht="77.5" customHeight="1">
      <c r="A233" s="2" t="s">
        <v>271</v>
      </c>
      <c r="B233" s="2" t="s">
        <v>224</v>
      </c>
      <c r="C233" s="2" t="s">
        <v>270</v>
      </c>
      <c r="D233" s="2" t="s">
        <v>1765</v>
      </c>
      <c r="E233" s="8" t="s">
        <v>205</v>
      </c>
      <c r="F233" s="7" t="s">
        <v>1766</v>
      </c>
      <c r="G233" s="2" t="s">
        <v>180</v>
      </c>
      <c r="H233" s="2" t="s">
        <v>1759</v>
      </c>
      <c r="I233" s="2" t="s">
        <v>1767</v>
      </c>
      <c r="J233" s="2"/>
      <c r="K233" t="s">
        <v>1817</v>
      </c>
    </row>
    <row r="234" spans="1:12" ht="77.5" customHeight="1">
      <c r="A234" s="2" t="s">
        <v>275</v>
      </c>
      <c r="B234" s="2" t="s">
        <v>224</v>
      </c>
      <c r="C234" s="2" t="s">
        <v>272</v>
      </c>
      <c r="D234" s="2" t="s">
        <v>1757</v>
      </c>
      <c r="E234" s="6">
        <v>4</v>
      </c>
      <c r="F234" s="7" t="s">
        <v>1758</v>
      </c>
      <c r="G234" s="2" t="s">
        <v>29</v>
      </c>
      <c r="H234" s="2" t="s">
        <v>1759</v>
      </c>
      <c r="I234" s="2" t="s">
        <v>1920</v>
      </c>
      <c r="J234" s="2" t="s">
        <v>1921</v>
      </c>
      <c r="K234" s="2" t="s">
        <v>1922</v>
      </c>
      <c r="L234" s="2" t="s">
        <v>130</v>
      </c>
    </row>
    <row r="235" spans="1:12" ht="50.5" customHeight="1">
      <c r="A235" s="2" t="s">
        <v>275</v>
      </c>
      <c r="B235" s="2" t="s">
        <v>224</v>
      </c>
      <c r="C235" s="2" t="s">
        <v>272</v>
      </c>
      <c r="D235" s="2" t="s">
        <v>254</v>
      </c>
      <c r="E235" s="5">
        <v>1.35</v>
      </c>
      <c r="F235" s="7" t="s">
        <v>1758</v>
      </c>
      <c r="G235" s="2" t="s">
        <v>29</v>
      </c>
      <c r="H235" s="2" t="s">
        <v>1759</v>
      </c>
      <c r="I235" s="2" t="s">
        <v>1920</v>
      </c>
      <c r="J235" s="2" t="s">
        <v>1921</v>
      </c>
      <c r="K235" s="2" t="s">
        <v>1922</v>
      </c>
      <c r="L235" s="2" t="s">
        <v>130</v>
      </c>
    </row>
    <row r="236" spans="1:12" ht="37" customHeight="1">
      <c r="A236" s="2" t="s">
        <v>275</v>
      </c>
      <c r="B236" s="2" t="s">
        <v>224</v>
      </c>
      <c r="C236" s="2" t="s">
        <v>272</v>
      </c>
      <c r="D236" s="2" t="s">
        <v>124</v>
      </c>
      <c r="E236" s="5">
        <v>1.95</v>
      </c>
      <c r="F236" s="7" t="s">
        <v>1763</v>
      </c>
      <c r="G236" s="2" t="s">
        <v>29</v>
      </c>
      <c r="H236" s="2" t="s">
        <v>1759</v>
      </c>
      <c r="I236" s="2" t="s">
        <v>1920</v>
      </c>
      <c r="J236" s="2" t="s">
        <v>1921</v>
      </c>
      <c r="K236" s="2" t="s">
        <v>1922</v>
      </c>
      <c r="L236" s="2" t="s">
        <v>130</v>
      </c>
    </row>
    <row r="237" spans="1:12" ht="37" customHeight="1">
      <c r="A237" s="2" t="s">
        <v>275</v>
      </c>
      <c r="B237" s="2" t="s">
        <v>224</v>
      </c>
      <c r="C237" s="2" t="s">
        <v>272</v>
      </c>
      <c r="D237" s="2" t="s">
        <v>65</v>
      </c>
      <c r="E237" s="7"/>
      <c r="F237" s="7" t="s">
        <v>1763</v>
      </c>
      <c r="G237" s="2" t="s">
        <v>29</v>
      </c>
      <c r="H237" s="2" t="s">
        <v>1773</v>
      </c>
      <c r="I237" s="2"/>
      <c r="J237" s="2"/>
      <c r="K237" s="2" t="s">
        <v>1922</v>
      </c>
      <c r="L237" s="2" t="s">
        <v>130</v>
      </c>
    </row>
    <row r="238" spans="1:12" ht="37" customHeight="1">
      <c r="A238" s="2" t="s">
        <v>275</v>
      </c>
      <c r="B238" s="2" t="s">
        <v>224</v>
      </c>
      <c r="C238" s="2" t="s">
        <v>272</v>
      </c>
      <c r="D238" s="2" t="s">
        <v>222</v>
      </c>
      <c r="E238" s="6">
        <v>10</v>
      </c>
      <c r="F238" s="7" t="s">
        <v>1764</v>
      </c>
      <c r="G238" s="2" t="s">
        <v>29</v>
      </c>
      <c r="H238" s="2" t="s">
        <v>1759</v>
      </c>
      <c r="I238" s="2" t="s">
        <v>1920</v>
      </c>
      <c r="J238" s="2" t="s">
        <v>1921</v>
      </c>
      <c r="K238" s="2" t="s">
        <v>1922</v>
      </c>
      <c r="L238" s="2" t="s">
        <v>130</v>
      </c>
    </row>
    <row r="239" spans="1:12" ht="37" customHeight="1">
      <c r="A239" s="2" t="s">
        <v>275</v>
      </c>
      <c r="B239" s="2" t="s">
        <v>224</v>
      </c>
      <c r="C239" s="2" t="s">
        <v>272</v>
      </c>
      <c r="D239" s="2" t="s">
        <v>1765</v>
      </c>
      <c r="E239" s="6" t="s">
        <v>273</v>
      </c>
      <c r="F239" s="7" t="s">
        <v>1766</v>
      </c>
      <c r="G239" s="2" t="s">
        <v>29</v>
      </c>
      <c r="H239" s="2" t="s">
        <v>1759</v>
      </c>
      <c r="I239" s="2" t="s">
        <v>1767</v>
      </c>
      <c r="J239" s="2"/>
      <c r="K239" t="s">
        <v>1923</v>
      </c>
    </row>
    <row r="240" spans="1:12" ht="37" customHeight="1">
      <c r="A240" s="2" t="s">
        <v>279</v>
      </c>
      <c r="B240" s="2" t="s">
        <v>224</v>
      </c>
      <c r="C240" s="2" t="s">
        <v>278</v>
      </c>
      <c r="D240" s="2" t="s">
        <v>1757</v>
      </c>
      <c r="E240" s="6">
        <v>4</v>
      </c>
      <c r="F240" s="7" t="s">
        <v>1758</v>
      </c>
      <c r="G240" s="2" t="s">
        <v>29</v>
      </c>
      <c r="H240" s="2" t="s">
        <v>1759</v>
      </c>
      <c r="I240" s="2" t="s">
        <v>1924</v>
      </c>
      <c r="J240" s="2" t="s">
        <v>1921</v>
      </c>
      <c r="K240" s="2" t="s">
        <v>1925</v>
      </c>
      <c r="L240" s="2" t="s">
        <v>130</v>
      </c>
    </row>
    <row r="241" spans="1:12" ht="34" customHeight="1">
      <c r="A241" s="2" t="s">
        <v>279</v>
      </c>
      <c r="B241" s="2" t="s">
        <v>224</v>
      </c>
      <c r="C241" s="2" t="s">
        <v>278</v>
      </c>
      <c r="D241" s="2" t="s">
        <v>254</v>
      </c>
      <c r="E241" s="5">
        <v>1.35</v>
      </c>
      <c r="F241" s="7" t="s">
        <v>1758</v>
      </c>
      <c r="G241" s="2" t="s">
        <v>29</v>
      </c>
      <c r="H241" s="2" t="s">
        <v>1759</v>
      </c>
      <c r="I241" s="2" t="s">
        <v>1924</v>
      </c>
      <c r="J241" s="2" t="s">
        <v>1921</v>
      </c>
      <c r="K241" s="2" t="s">
        <v>1925</v>
      </c>
      <c r="L241" s="2" t="s">
        <v>130</v>
      </c>
    </row>
    <row r="242" spans="1:12" ht="34" customHeight="1">
      <c r="A242" s="2" t="s">
        <v>279</v>
      </c>
      <c r="B242" s="2" t="s">
        <v>224</v>
      </c>
      <c r="C242" s="2" t="s">
        <v>278</v>
      </c>
      <c r="D242" s="2" t="s">
        <v>124</v>
      </c>
      <c r="E242" s="4">
        <v>1.8</v>
      </c>
      <c r="F242" s="7" t="s">
        <v>1763</v>
      </c>
      <c r="G242" s="2" t="s">
        <v>29</v>
      </c>
      <c r="H242" s="2" t="s">
        <v>1759</v>
      </c>
      <c r="I242" s="2" t="s">
        <v>1924</v>
      </c>
      <c r="J242" s="2" t="s">
        <v>1921</v>
      </c>
      <c r="K242" s="2" t="s">
        <v>1925</v>
      </c>
      <c r="L242" s="2" t="s">
        <v>130</v>
      </c>
    </row>
    <row r="243" spans="1:12" ht="34" customHeight="1">
      <c r="A243" s="2" t="s">
        <v>279</v>
      </c>
      <c r="B243" s="2" t="s">
        <v>224</v>
      </c>
      <c r="C243" s="2" t="s">
        <v>278</v>
      </c>
      <c r="D243" s="2" t="s">
        <v>65</v>
      </c>
      <c r="E243" s="7"/>
      <c r="F243" s="7" t="s">
        <v>1763</v>
      </c>
      <c r="G243" s="2" t="s">
        <v>29</v>
      </c>
      <c r="H243" s="2" t="s">
        <v>1773</v>
      </c>
      <c r="I243" s="2"/>
      <c r="J243" s="2"/>
      <c r="K243" s="2" t="s">
        <v>1925</v>
      </c>
      <c r="L243" s="2" t="s">
        <v>130</v>
      </c>
    </row>
    <row r="244" spans="1:12" ht="34" customHeight="1">
      <c r="A244" s="2" t="s">
        <v>279</v>
      </c>
      <c r="B244" s="2" t="s">
        <v>224</v>
      </c>
      <c r="C244" s="2" t="s">
        <v>278</v>
      </c>
      <c r="D244" s="2" t="s">
        <v>222</v>
      </c>
      <c r="E244" s="4">
        <v>8.5</v>
      </c>
      <c r="F244" s="7" t="s">
        <v>1764</v>
      </c>
      <c r="G244" s="2" t="s">
        <v>29</v>
      </c>
      <c r="H244" s="2" t="s">
        <v>1759</v>
      </c>
      <c r="I244" s="2" t="s">
        <v>1924</v>
      </c>
      <c r="J244" s="2" t="s">
        <v>1921</v>
      </c>
      <c r="K244" s="2" t="s">
        <v>1925</v>
      </c>
      <c r="L244" s="2" t="s">
        <v>130</v>
      </c>
    </row>
    <row r="245" spans="1:12" ht="34" customHeight="1">
      <c r="A245" s="2" t="s">
        <v>279</v>
      </c>
      <c r="B245" s="2" t="s">
        <v>224</v>
      </c>
      <c r="C245" s="2" t="s">
        <v>278</v>
      </c>
      <c r="D245" s="2" t="s">
        <v>1765</v>
      </c>
      <c r="E245" s="4" t="s">
        <v>273</v>
      </c>
      <c r="F245" s="7" t="s">
        <v>1766</v>
      </c>
      <c r="G245" s="2" t="s">
        <v>29</v>
      </c>
      <c r="H245" s="2" t="s">
        <v>1759</v>
      </c>
      <c r="I245" s="2" t="s">
        <v>1767</v>
      </c>
      <c r="J245" s="2"/>
      <c r="K245" t="s">
        <v>1923</v>
      </c>
    </row>
    <row r="246" spans="1:12" ht="50.5" customHeight="1">
      <c r="A246" s="2" t="s">
        <v>283</v>
      </c>
      <c r="B246" s="2" t="s">
        <v>224</v>
      </c>
      <c r="C246" s="2" t="s">
        <v>280</v>
      </c>
      <c r="D246" s="2" t="s">
        <v>1757</v>
      </c>
      <c r="E246" s="4">
        <v>5.2</v>
      </c>
      <c r="F246" s="7" t="s">
        <v>1758</v>
      </c>
      <c r="G246" s="2" t="s">
        <v>29</v>
      </c>
      <c r="H246" s="2" t="s">
        <v>1759</v>
      </c>
      <c r="I246" s="2" t="s">
        <v>1926</v>
      </c>
      <c r="J246" s="2" t="s">
        <v>1927</v>
      </c>
      <c r="K246" s="2" t="s">
        <v>1928</v>
      </c>
      <c r="L246" s="2" t="s">
        <v>45</v>
      </c>
    </row>
    <row r="247" spans="1:12" ht="50.5" customHeight="1">
      <c r="A247" s="2" t="s">
        <v>283</v>
      </c>
      <c r="B247" s="2" t="s">
        <v>224</v>
      </c>
      <c r="C247" s="2" t="s">
        <v>280</v>
      </c>
      <c r="D247" s="2" t="s">
        <v>254</v>
      </c>
      <c r="E247" s="4">
        <v>1.7</v>
      </c>
      <c r="F247" s="7" t="s">
        <v>1758</v>
      </c>
      <c r="G247" s="2" t="s">
        <v>29</v>
      </c>
      <c r="H247" s="2" t="s">
        <v>1759</v>
      </c>
      <c r="I247" s="2" t="s">
        <v>1926</v>
      </c>
      <c r="J247" s="2" t="s">
        <v>1927</v>
      </c>
      <c r="K247" s="2" t="s">
        <v>1928</v>
      </c>
      <c r="L247" s="2" t="s">
        <v>45</v>
      </c>
    </row>
    <row r="248" spans="1:12" ht="77.5" customHeight="1">
      <c r="A248" s="2" t="s">
        <v>283</v>
      </c>
      <c r="B248" s="2" t="s">
        <v>224</v>
      </c>
      <c r="C248" s="2" t="s">
        <v>280</v>
      </c>
      <c r="D248" s="2" t="s">
        <v>124</v>
      </c>
      <c r="E248" s="7"/>
      <c r="F248" s="7" t="s">
        <v>1763</v>
      </c>
      <c r="G248" s="2" t="s">
        <v>29</v>
      </c>
      <c r="H248" s="2" t="s">
        <v>1773</v>
      </c>
      <c r="I248" s="2"/>
      <c r="J248" s="2"/>
      <c r="K248" s="2" t="s">
        <v>1928</v>
      </c>
      <c r="L248" s="2" t="s">
        <v>45</v>
      </c>
    </row>
    <row r="249" spans="1:12" ht="77.5" customHeight="1">
      <c r="A249" s="2" t="s">
        <v>283</v>
      </c>
      <c r="B249" s="2" t="s">
        <v>224</v>
      </c>
      <c r="C249" s="2" t="s">
        <v>280</v>
      </c>
      <c r="D249" s="2" t="s">
        <v>65</v>
      </c>
      <c r="E249" s="7"/>
      <c r="F249" s="7" t="s">
        <v>1763</v>
      </c>
      <c r="G249" s="2" t="s">
        <v>29</v>
      </c>
      <c r="H249" s="2" t="s">
        <v>1773</v>
      </c>
      <c r="I249" s="2"/>
      <c r="J249" s="2"/>
      <c r="K249" s="2" t="s">
        <v>1928</v>
      </c>
      <c r="L249" s="2" t="s">
        <v>45</v>
      </c>
    </row>
    <row r="250" spans="1:12" ht="50.5" customHeight="1">
      <c r="A250" s="2" t="s">
        <v>283</v>
      </c>
      <c r="B250" s="2" t="s">
        <v>224</v>
      </c>
      <c r="C250" s="2" t="s">
        <v>280</v>
      </c>
      <c r="D250" s="2" t="s">
        <v>222</v>
      </c>
      <c r="E250" s="4">
        <v>10.4</v>
      </c>
      <c r="F250" s="7" t="s">
        <v>1764</v>
      </c>
      <c r="G250" s="2" t="s">
        <v>29</v>
      </c>
      <c r="H250" s="2" t="s">
        <v>1759</v>
      </c>
      <c r="I250" s="2" t="s">
        <v>1926</v>
      </c>
      <c r="J250" s="2" t="s">
        <v>1927</v>
      </c>
      <c r="K250" s="2" t="s">
        <v>1928</v>
      </c>
      <c r="L250" s="2" t="s">
        <v>45</v>
      </c>
    </row>
    <row r="251" spans="1:12" ht="50.5" customHeight="1">
      <c r="A251" s="2" t="s">
        <v>283</v>
      </c>
      <c r="B251" s="2" t="s">
        <v>224</v>
      </c>
      <c r="C251" s="2" t="s">
        <v>280</v>
      </c>
      <c r="D251" s="2" t="s">
        <v>1765</v>
      </c>
      <c r="E251" s="4" t="s">
        <v>226</v>
      </c>
      <c r="F251" s="7" t="s">
        <v>1766</v>
      </c>
      <c r="G251" s="2" t="s">
        <v>29</v>
      </c>
      <c r="H251" s="2" t="s">
        <v>1759</v>
      </c>
      <c r="I251" s="2" t="s">
        <v>1767</v>
      </c>
      <c r="J251" s="2"/>
      <c r="K251" t="s">
        <v>1929</v>
      </c>
    </row>
    <row r="252" spans="1:12" ht="50.5" customHeight="1">
      <c r="A252" s="2" t="s">
        <v>286</v>
      </c>
      <c r="B252" s="2" t="s">
        <v>224</v>
      </c>
      <c r="C252" s="2" t="s">
        <v>285</v>
      </c>
      <c r="D252" s="2" t="s">
        <v>1757</v>
      </c>
      <c r="E252" s="4">
        <v>0.3</v>
      </c>
      <c r="F252" s="7" t="s">
        <v>1758</v>
      </c>
      <c r="G252" s="2" t="s">
        <v>180</v>
      </c>
      <c r="H252" s="2" t="s">
        <v>1759</v>
      </c>
      <c r="I252" s="2" t="s">
        <v>1867</v>
      </c>
      <c r="J252" s="2" t="s">
        <v>1777</v>
      </c>
      <c r="K252" s="2" t="s">
        <v>1930</v>
      </c>
      <c r="L252" s="2" t="s">
        <v>45</v>
      </c>
    </row>
    <row r="253" spans="1:12" ht="77.5" customHeight="1">
      <c r="A253" s="2" t="s">
        <v>286</v>
      </c>
      <c r="B253" s="2" t="s">
        <v>224</v>
      </c>
      <c r="C253" s="2" t="s">
        <v>285</v>
      </c>
      <c r="D253" s="2" t="s">
        <v>254</v>
      </c>
      <c r="E253" s="5">
        <v>0.24</v>
      </c>
      <c r="F253" s="7" t="s">
        <v>1758</v>
      </c>
      <c r="G253" s="2" t="s">
        <v>180</v>
      </c>
      <c r="H253" s="2" t="s">
        <v>1759</v>
      </c>
      <c r="I253" s="2" t="s">
        <v>1867</v>
      </c>
      <c r="J253" s="2" t="s">
        <v>1777</v>
      </c>
      <c r="K253" s="2" t="s">
        <v>1930</v>
      </c>
      <c r="L253" s="2" t="s">
        <v>45</v>
      </c>
    </row>
    <row r="254" spans="1:12" ht="77.5" customHeight="1">
      <c r="A254" s="2" t="s">
        <v>286</v>
      </c>
      <c r="B254" s="2" t="s">
        <v>224</v>
      </c>
      <c r="C254" s="2" t="s">
        <v>285</v>
      </c>
      <c r="D254" s="2" t="s">
        <v>124</v>
      </c>
      <c r="E254" s="6">
        <v>2</v>
      </c>
      <c r="F254" s="7" t="s">
        <v>1763</v>
      </c>
      <c r="G254" s="2" t="s">
        <v>180</v>
      </c>
      <c r="H254" s="2" t="s">
        <v>1759</v>
      </c>
      <c r="I254" s="2" t="s">
        <v>1867</v>
      </c>
      <c r="J254" s="2" t="s">
        <v>1777</v>
      </c>
      <c r="K254" s="2" t="s">
        <v>1930</v>
      </c>
      <c r="L254" s="2" t="s">
        <v>45</v>
      </c>
    </row>
    <row r="255" spans="1:12" ht="50.5" customHeight="1">
      <c r="A255" s="2" t="s">
        <v>286</v>
      </c>
      <c r="B255" s="2" t="s">
        <v>224</v>
      </c>
      <c r="C255" s="2" t="s">
        <v>285</v>
      </c>
      <c r="D255" s="2" t="s">
        <v>65</v>
      </c>
      <c r="E255" s="7"/>
      <c r="F255" s="7" t="s">
        <v>1763</v>
      </c>
      <c r="G255" s="2" t="s">
        <v>180</v>
      </c>
      <c r="H255" s="2" t="s">
        <v>1773</v>
      </c>
      <c r="I255" s="2"/>
      <c r="J255" s="2"/>
      <c r="K255" s="2" t="s">
        <v>1930</v>
      </c>
      <c r="L255" s="2" t="s">
        <v>45</v>
      </c>
    </row>
    <row r="256" spans="1:12" ht="34" customHeight="1">
      <c r="A256" s="2" t="s">
        <v>286</v>
      </c>
      <c r="B256" s="2" t="s">
        <v>224</v>
      </c>
      <c r="C256" s="2" t="s">
        <v>285</v>
      </c>
      <c r="D256" s="2" t="s">
        <v>222</v>
      </c>
      <c r="E256" s="4">
        <v>0.1</v>
      </c>
      <c r="F256" s="7" t="s">
        <v>1764</v>
      </c>
      <c r="G256" s="2" t="s">
        <v>180</v>
      </c>
      <c r="H256" s="2" t="s">
        <v>1759</v>
      </c>
      <c r="I256" s="2" t="s">
        <v>1867</v>
      </c>
      <c r="J256" s="2" t="s">
        <v>1777</v>
      </c>
      <c r="K256" s="2" t="s">
        <v>1930</v>
      </c>
      <c r="L256" s="2" t="s">
        <v>45</v>
      </c>
    </row>
    <row r="257" spans="1:12" ht="34" customHeight="1">
      <c r="A257" s="2" t="s">
        <v>286</v>
      </c>
      <c r="B257" s="2" t="s">
        <v>224</v>
      </c>
      <c r="C257" s="2" t="s">
        <v>285</v>
      </c>
      <c r="D257" s="2" t="s">
        <v>1765</v>
      </c>
      <c r="E257" s="4" t="s">
        <v>261</v>
      </c>
      <c r="F257" s="7" t="s">
        <v>1766</v>
      </c>
      <c r="G257" s="2" t="s">
        <v>180</v>
      </c>
      <c r="H257" s="2" t="s">
        <v>1759</v>
      </c>
      <c r="I257" s="2" t="s">
        <v>1767</v>
      </c>
      <c r="J257" s="2"/>
      <c r="K257" t="s">
        <v>1931</v>
      </c>
    </row>
    <row r="258" spans="1:12" ht="34" customHeight="1">
      <c r="A258" s="2" t="s">
        <v>289</v>
      </c>
      <c r="B258" s="2" t="s">
        <v>224</v>
      </c>
      <c r="C258" s="2" t="s">
        <v>288</v>
      </c>
      <c r="D258" s="2" t="s">
        <v>1757</v>
      </c>
      <c r="E258" s="5">
        <v>0.41</v>
      </c>
      <c r="F258" s="7" t="s">
        <v>1758</v>
      </c>
      <c r="G258" s="2" t="s">
        <v>60</v>
      </c>
      <c r="H258" s="2" t="s">
        <v>1759</v>
      </c>
      <c r="I258" s="2" t="s">
        <v>1776</v>
      </c>
      <c r="J258" s="2" t="s">
        <v>1777</v>
      </c>
      <c r="K258" s="2" t="s">
        <v>1778</v>
      </c>
      <c r="L258" s="2" t="s">
        <v>45</v>
      </c>
    </row>
    <row r="259" spans="1:12" ht="34" customHeight="1">
      <c r="A259" s="2" t="s">
        <v>289</v>
      </c>
      <c r="B259" s="2" t="s">
        <v>224</v>
      </c>
      <c r="C259" s="2" t="s">
        <v>288</v>
      </c>
      <c r="D259" s="2" t="s">
        <v>254</v>
      </c>
      <c r="E259" s="5">
        <v>0.11</v>
      </c>
      <c r="F259" s="7" t="s">
        <v>1758</v>
      </c>
      <c r="G259" s="2" t="s">
        <v>60</v>
      </c>
      <c r="H259" s="2" t="s">
        <v>1759</v>
      </c>
      <c r="I259" s="2" t="s">
        <v>1776</v>
      </c>
      <c r="J259" s="2" t="s">
        <v>1777</v>
      </c>
      <c r="K259" s="2" t="s">
        <v>1778</v>
      </c>
      <c r="L259" s="2" t="s">
        <v>45</v>
      </c>
    </row>
    <row r="260" spans="1:12" ht="34" customHeight="1">
      <c r="A260" s="2" t="s">
        <v>289</v>
      </c>
      <c r="B260" s="2" t="s">
        <v>224</v>
      </c>
      <c r="C260" s="2" t="s">
        <v>288</v>
      </c>
      <c r="D260" s="2" t="s">
        <v>124</v>
      </c>
      <c r="E260" s="6">
        <v>1</v>
      </c>
      <c r="F260" s="7" t="s">
        <v>1763</v>
      </c>
      <c r="G260" s="2" t="s">
        <v>60</v>
      </c>
      <c r="H260" s="2" t="s">
        <v>1759</v>
      </c>
      <c r="I260" s="2" t="s">
        <v>1776</v>
      </c>
      <c r="J260" s="2" t="s">
        <v>1777</v>
      </c>
      <c r="K260" s="2" t="s">
        <v>1778</v>
      </c>
      <c r="L260" s="2" t="s">
        <v>45</v>
      </c>
    </row>
    <row r="261" spans="1:12" ht="37" customHeight="1">
      <c r="A261" s="2" t="s">
        <v>289</v>
      </c>
      <c r="B261" s="2" t="s">
        <v>224</v>
      </c>
      <c r="C261" s="2" t="s">
        <v>288</v>
      </c>
      <c r="D261" s="2" t="s">
        <v>65</v>
      </c>
      <c r="E261" s="11">
        <v>0</v>
      </c>
      <c r="F261" s="20" t="s">
        <v>1763</v>
      </c>
      <c r="G261" s="21" t="s">
        <v>60</v>
      </c>
      <c r="H261" s="21" t="s">
        <v>1779</v>
      </c>
      <c r="I261" s="2" t="s">
        <v>1932</v>
      </c>
      <c r="J261" s="2" t="s">
        <v>1781</v>
      </c>
      <c r="K261" s="2" t="s">
        <v>1782</v>
      </c>
      <c r="L261" s="2" t="s">
        <v>45</v>
      </c>
    </row>
    <row r="262" spans="1:12" ht="37" customHeight="1">
      <c r="A262" s="2" t="s">
        <v>289</v>
      </c>
      <c r="B262" s="2" t="s">
        <v>224</v>
      </c>
      <c r="C262" s="2" t="s">
        <v>288</v>
      </c>
      <c r="D262" s="2" t="s">
        <v>222</v>
      </c>
      <c r="E262" s="5">
        <v>0.05</v>
      </c>
      <c r="F262" s="7" t="s">
        <v>1764</v>
      </c>
      <c r="G262" s="2" t="s">
        <v>60</v>
      </c>
      <c r="H262" s="2" t="s">
        <v>1759</v>
      </c>
      <c r="I262" s="2" t="s">
        <v>1776</v>
      </c>
      <c r="J262" s="2" t="s">
        <v>1777</v>
      </c>
      <c r="K262" s="2" t="s">
        <v>1778</v>
      </c>
      <c r="L262" s="2" t="s">
        <v>45</v>
      </c>
    </row>
    <row r="263" spans="1:12" ht="37" customHeight="1">
      <c r="A263" s="2" t="s">
        <v>289</v>
      </c>
      <c r="B263" s="2" t="s">
        <v>224</v>
      </c>
      <c r="C263" s="2" t="s">
        <v>288</v>
      </c>
      <c r="D263" s="2" t="s">
        <v>1765</v>
      </c>
      <c r="E263" s="5" t="s">
        <v>48</v>
      </c>
      <c r="F263" s="7" t="s">
        <v>1766</v>
      </c>
      <c r="G263" s="2" t="s">
        <v>60</v>
      </c>
      <c r="H263" s="2" t="s">
        <v>1759</v>
      </c>
      <c r="I263" s="2" t="s">
        <v>1767</v>
      </c>
      <c r="J263" s="2"/>
      <c r="K263" t="s">
        <v>1933</v>
      </c>
    </row>
    <row r="264" spans="1:12" ht="37" customHeight="1">
      <c r="A264" s="2" t="s">
        <v>296</v>
      </c>
      <c r="B264" s="2" t="s">
        <v>224</v>
      </c>
      <c r="C264" s="2" t="s">
        <v>291</v>
      </c>
      <c r="D264" s="2" t="s">
        <v>1757</v>
      </c>
      <c r="E264" s="4">
        <v>0.4</v>
      </c>
      <c r="F264" s="7" t="s">
        <v>1758</v>
      </c>
      <c r="G264" s="2" t="s">
        <v>294</v>
      </c>
      <c r="H264" s="2" t="s">
        <v>1759</v>
      </c>
      <c r="I264" s="2" t="s">
        <v>1934</v>
      </c>
      <c r="J264" s="2" t="s">
        <v>1935</v>
      </c>
      <c r="K264" s="2" t="s">
        <v>1936</v>
      </c>
      <c r="L264" s="2" t="s">
        <v>45</v>
      </c>
    </row>
    <row r="265" spans="1:12" ht="37" customHeight="1">
      <c r="A265" s="2" t="s">
        <v>296</v>
      </c>
      <c r="B265" s="2" t="s">
        <v>224</v>
      </c>
      <c r="C265" s="2" t="s">
        <v>291</v>
      </c>
      <c r="D265" s="2" t="s">
        <v>254</v>
      </c>
      <c r="E265" s="7" t="s">
        <v>292</v>
      </c>
      <c r="F265" s="7" t="s">
        <v>1758</v>
      </c>
      <c r="G265" s="2" t="s">
        <v>294</v>
      </c>
      <c r="H265" s="2" t="s">
        <v>1759</v>
      </c>
      <c r="I265" s="2" t="s">
        <v>1934</v>
      </c>
      <c r="J265" s="2" t="s">
        <v>1935</v>
      </c>
      <c r="K265" s="2" t="s">
        <v>1936</v>
      </c>
      <c r="L265" s="2" t="s">
        <v>45</v>
      </c>
    </row>
    <row r="266" spans="1:12" ht="34" customHeight="1">
      <c r="A266" s="2" t="s">
        <v>296</v>
      </c>
      <c r="B266" s="2" t="s">
        <v>224</v>
      </c>
      <c r="C266" s="2" t="s">
        <v>291</v>
      </c>
      <c r="D266" s="2" t="s">
        <v>124</v>
      </c>
      <c r="E266" s="11">
        <v>1</v>
      </c>
      <c r="F266" s="20" t="s">
        <v>1763</v>
      </c>
      <c r="G266" s="21" t="s">
        <v>294</v>
      </c>
      <c r="H266" s="21" t="s">
        <v>1779</v>
      </c>
      <c r="I266" s="2" t="s">
        <v>1937</v>
      </c>
      <c r="J266" s="2" t="s">
        <v>1935</v>
      </c>
      <c r="K266" s="2" t="s">
        <v>1938</v>
      </c>
      <c r="L266" s="2" t="s">
        <v>45</v>
      </c>
    </row>
    <row r="267" spans="1:12" ht="34" customHeight="1">
      <c r="A267" s="2" t="s">
        <v>296</v>
      </c>
      <c r="B267" s="2" t="s">
        <v>224</v>
      </c>
      <c r="C267" s="2" t="s">
        <v>291</v>
      </c>
      <c r="D267" s="2" t="s">
        <v>65</v>
      </c>
      <c r="E267" s="11">
        <v>0</v>
      </c>
      <c r="F267" s="20" t="s">
        <v>1763</v>
      </c>
      <c r="G267" s="21" t="s">
        <v>294</v>
      </c>
      <c r="H267" s="21" t="s">
        <v>1779</v>
      </c>
      <c r="I267" s="2" t="s">
        <v>1937</v>
      </c>
      <c r="J267" s="2" t="s">
        <v>1935</v>
      </c>
      <c r="K267" s="2" t="s">
        <v>1939</v>
      </c>
      <c r="L267" s="2" t="s">
        <v>45</v>
      </c>
    </row>
    <row r="268" spans="1:12" ht="34" customHeight="1">
      <c r="A268" s="2" t="s">
        <v>296</v>
      </c>
      <c r="B268" s="2" t="s">
        <v>224</v>
      </c>
      <c r="C268" s="2" t="s">
        <v>291</v>
      </c>
      <c r="D268" s="2" t="s">
        <v>222</v>
      </c>
      <c r="E268" s="8">
        <v>5.0000000000000001E-3</v>
      </c>
      <c r="F268" s="7" t="s">
        <v>1764</v>
      </c>
      <c r="G268" s="2" t="s">
        <v>294</v>
      </c>
      <c r="H268" s="2" t="s">
        <v>1759</v>
      </c>
      <c r="I268" s="2" t="s">
        <v>1934</v>
      </c>
      <c r="J268" s="2" t="s">
        <v>1935</v>
      </c>
      <c r="K268" s="2" t="s">
        <v>1936</v>
      </c>
      <c r="L268" s="2" t="s">
        <v>45</v>
      </c>
    </row>
    <row r="269" spans="1:12" ht="34" customHeight="1">
      <c r="A269" s="2" t="s">
        <v>296</v>
      </c>
      <c r="B269" s="2" t="s">
        <v>224</v>
      </c>
      <c r="C269" s="2" t="s">
        <v>291</v>
      </c>
      <c r="D269" s="2" t="s">
        <v>1765</v>
      </c>
      <c r="E269" s="8" t="s">
        <v>293</v>
      </c>
      <c r="F269" s="7" t="s">
        <v>1766</v>
      </c>
      <c r="G269" s="2" t="s">
        <v>294</v>
      </c>
      <c r="H269" s="2" t="s">
        <v>1759</v>
      </c>
      <c r="I269" s="2" t="s">
        <v>1767</v>
      </c>
      <c r="J269" s="2"/>
      <c r="K269" t="s">
        <v>1940</v>
      </c>
    </row>
    <row r="270" spans="1:12" ht="34" customHeight="1">
      <c r="A270" s="2" t="s">
        <v>301</v>
      </c>
      <c r="B270" s="2" t="s">
        <v>224</v>
      </c>
      <c r="C270" s="2" t="s">
        <v>298</v>
      </c>
      <c r="D270" s="2" t="s">
        <v>1757</v>
      </c>
      <c r="E270" s="4">
        <v>8.5</v>
      </c>
      <c r="F270" s="7" t="s">
        <v>1758</v>
      </c>
      <c r="G270" s="2" t="s">
        <v>29</v>
      </c>
      <c r="H270" s="2" t="s">
        <v>1759</v>
      </c>
      <c r="I270" s="2" t="s">
        <v>1941</v>
      </c>
      <c r="J270" s="2" t="s">
        <v>1942</v>
      </c>
      <c r="K270" s="2" t="s">
        <v>1943</v>
      </c>
      <c r="L270" s="2" t="s">
        <v>45</v>
      </c>
    </row>
    <row r="271" spans="1:12" ht="34" customHeight="1">
      <c r="A271" s="2" t="s">
        <v>301</v>
      </c>
      <c r="B271" s="2" t="s">
        <v>224</v>
      </c>
      <c r="C271" s="2" t="s">
        <v>298</v>
      </c>
      <c r="D271" s="2" t="s">
        <v>254</v>
      </c>
      <c r="E271" s="5">
        <v>2.42</v>
      </c>
      <c r="F271" s="7" t="s">
        <v>1758</v>
      </c>
      <c r="G271" s="2" t="s">
        <v>29</v>
      </c>
      <c r="H271" s="2" t="s">
        <v>1759</v>
      </c>
      <c r="I271" s="2" t="s">
        <v>1941</v>
      </c>
      <c r="J271" s="2" t="s">
        <v>1942</v>
      </c>
      <c r="K271" s="2" t="s">
        <v>1943</v>
      </c>
      <c r="L271" s="2" t="s">
        <v>45</v>
      </c>
    </row>
    <row r="272" spans="1:12" ht="34" customHeight="1">
      <c r="A272" s="2" t="s">
        <v>301</v>
      </c>
      <c r="B272" s="2" t="s">
        <v>224</v>
      </c>
      <c r="C272" s="2" t="s">
        <v>298</v>
      </c>
      <c r="D272" s="2" t="s">
        <v>124</v>
      </c>
      <c r="E272" s="5">
        <v>1.65</v>
      </c>
      <c r="F272" s="7" t="s">
        <v>1763</v>
      </c>
      <c r="G272" s="2" t="s">
        <v>29</v>
      </c>
      <c r="H272" s="2" t="s">
        <v>1759</v>
      </c>
      <c r="I272" s="2" t="s">
        <v>1941</v>
      </c>
      <c r="J272" s="2" t="s">
        <v>1942</v>
      </c>
      <c r="K272" s="2" t="s">
        <v>1943</v>
      </c>
      <c r="L272" s="2" t="s">
        <v>45</v>
      </c>
    </row>
    <row r="273" spans="1:12" ht="34" customHeight="1">
      <c r="A273" s="2" t="s">
        <v>301</v>
      </c>
      <c r="B273" s="2" t="s">
        <v>224</v>
      </c>
      <c r="C273" s="2" t="s">
        <v>298</v>
      </c>
      <c r="D273" s="2" t="s">
        <v>65</v>
      </c>
      <c r="E273" s="5">
        <v>0.33</v>
      </c>
      <c r="F273" s="7" t="s">
        <v>1763</v>
      </c>
      <c r="G273" s="2" t="s">
        <v>29</v>
      </c>
      <c r="H273" s="2" t="s">
        <v>1759</v>
      </c>
      <c r="I273" s="2" t="s">
        <v>1941</v>
      </c>
      <c r="J273" s="2" t="s">
        <v>1942</v>
      </c>
      <c r="K273" s="2" t="s">
        <v>1943</v>
      </c>
      <c r="L273" s="2" t="s">
        <v>45</v>
      </c>
    </row>
    <row r="274" spans="1:12" ht="34" customHeight="1">
      <c r="A274" s="2" t="s">
        <v>301</v>
      </c>
      <c r="B274" s="2" t="s">
        <v>224</v>
      </c>
      <c r="C274" s="2" t="s">
        <v>298</v>
      </c>
      <c r="D274" s="2" t="s">
        <v>222</v>
      </c>
      <c r="E274" s="4">
        <v>12.3</v>
      </c>
      <c r="F274" s="7" t="s">
        <v>1764</v>
      </c>
      <c r="G274" s="2" t="s">
        <v>29</v>
      </c>
      <c r="H274" s="2" t="s">
        <v>1759</v>
      </c>
      <c r="I274" s="2" t="s">
        <v>1941</v>
      </c>
      <c r="J274" s="2" t="s">
        <v>1942</v>
      </c>
      <c r="K274" s="2" t="s">
        <v>1943</v>
      </c>
      <c r="L274" s="2" t="s">
        <v>45</v>
      </c>
    </row>
    <row r="275" spans="1:12" ht="34" customHeight="1">
      <c r="A275" s="2" t="s">
        <v>301</v>
      </c>
      <c r="B275" s="2" t="s">
        <v>224</v>
      </c>
      <c r="C275" s="2" t="s">
        <v>298</v>
      </c>
      <c r="D275" s="2" t="s">
        <v>1765</v>
      </c>
      <c r="E275" s="4" t="s">
        <v>299</v>
      </c>
      <c r="F275" s="7" t="s">
        <v>1766</v>
      </c>
      <c r="G275" s="2" t="s">
        <v>29</v>
      </c>
      <c r="H275" s="2" t="s">
        <v>1759</v>
      </c>
      <c r="I275" s="2" t="s">
        <v>1767</v>
      </c>
      <c r="J275" s="2"/>
      <c r="K275" t="s">
        <v>1944</v>
      </c>
    </row>
    <row r="276" spans="1:12" ht="34" customHeight="1">
      <c r="A276" s="2" t="s">
        <v>305</v>
      </c>
      <c r="B276" s="2" t="s">
        <v>224</v>
      </c>
      <c r="C276" s="2" t="s">
        <v>303</v>
      </c>
      <c r="D276" s="2" t="s">
        <v>1757</v>
      </c>
      <c r="E276" s="4">
        <v>0.9</v>
      </c>
      <c r="F276" s="7" t="s">
        <v>1758</v>
      </c>
      <c r="G276" s="2" t="s">
        <v>60</v>
      </c>
      <c r="H276" s="2" t="s">
        <v>1759</v>
      </c>
      <c r="I276" s="2" t="s">
        <v>1945</v>
      </c>
      <c r="J276" s="2" t="s">
        <v>1781</v>
      </c>
      <c r="K276" s="2" t="s">
        <v>1946</v>
      </c>
      <c r="L276" s="2" t="s">
        <v>122</v>
      </c>
    </row>
    <row r="277" spans="1:12" ht="34" customHeight="1">
      <c r="A277" s="2" t="s">
        <v>305</v>
      </c>
      <c r="B277" s="2" t="s">
        <v>224</v>
      </c>
      <c r="C277" s="2" t="s">
        <v>303</v>
      </c>
      <c r="D277" s="2" t="s">
        <v>254</v>
      </c>
      <c r="E277" s="5">
        <v>0.25</v>
      </c>
      <c r="F277" s="7" t="s">
        <v>1758</v>
      </c>
      <c r="G277" s="2" t="s">
        <v>60</v>
      </c>
      <c r="H277" s="2" t="s">
        <v>1759</v>
      </c>
      <c r="I277" s="2" t="s">
        <v>1945</v>
      </c>
      <c r="J277" s="2" t="s">
        <v>1781</v>
      </c>
      <c r="K277" s="2" t="s">
        <v>1946</v>
      </c>
      <c r="L277" s="2" t="s">
        <v>122</v>
      </c>
    </row>
    <row r="278" spans="1:12" ht="34" customHeight="1">
      <c r="A278" s="2" t="s">
        <v>305</v>
      </c>
      <c r="B278" s="2" t="s">
        <v>224</v>
      </c>
      <c r="C278" s="2" t="s">
        <v>303</v>
      </c>
      <c r="D278" s="2" t="s">
        <v>124</v>
      </c>
      <c r="E278" s="11">
        <v>1</v>
      </c>
      <c r="F278" s="20" t="s">
        <v>1763</v>
      </c>
      <c r="G278" s="21" t="s">
        <v>60</v>
      </c>
      <c r="H278" s="21" t="s">
        <v>1779</v>
      </c>
      <c r="I278" s="2" t="s">
        <v>1947</v>
      </c>
      <c r="J278" s="2" t="s">
        <v>1781</v>
      </c>
      <c r="K278" s="2" t="s">
        <v>1948</v>
      </c>
      <c r="L278" s="2" t="s">
        <v>122</v>
      </c>
    </row>
    <row r="279" spans="1:12" ht="34" customHeight="1">
      <c r="A279" s="2" t="s">
        <v>305</v>
      </c>
      <c r="B279" s="2" t="s">
        <v>224</v>
      </c>
      <c r="C279" s="2" t="s">
        <v>303</v>
      </c>
      <c r="D279" s="2" t="s">
        <v>65</v>
      </c>
      <c r="E279" s="11">
        <v>0</v>
      </c>
      <c r="F279" s="20" t="s">
        <v>1763</v>
      </c>
      <c r="G279" s="21" t="s">
        <v>60</v>
      </c>
      <c r="H279" s="21" t="s">
        <v>1779</v>
      </c>
      <c r="I279" s="2" t="s">
        <v>1947</v>
      </c>
      <c r="J279" s="2" t="s">
        <v>1781</v>
      </c>
      <c r="K279" s="2" t="s">
        <v>1949</v>
      </c>
      <c r="L279" s="2" t="s">
        <v>122</v>
      </c>
    </row>
    <row r="280" spans="1:12" ht="34" customHeight="1">
      <c r="A280" s="2" t="s">
        <v>305</v>
      </c>
      <c r="B280" s="2" t="s">
        <v>224</v>
      </c>
      <c r="C280" s="2" t="s">
        <v>303</v>
      </c>
      <c r="D280" s="2" t="s">
        <v>222</v>
      </c>
      <c r="E280" s="5">
        <v>0.17</v>
      </c>
      <c r="F280" s="7" t="s">
        <v>1764</v>
      </c>
      <c r="G280" s="2" t="s">
        <v>60</v>
      </c>
      <c r="H280" s="2" t="s">
        <v>1759</v>
      </c>
      <c r="I280" s="2" t="s">
        <v>1945</v>
      </c>
      <c r="J280" s="2" t="s">
        <v>1781</v>
      </c>
      <c r="K280" s="2" t="s">
        <v>1946</v>
      </c>
      <c r="L280" s="2" t="s">
        <v>122</v>
      </c>
    </row>
    <row r="281" spans="1:12" ht="37" customHeight="1">
      <c r="A281" s="2" t="s">
        <v>305</v>
      </c>
      <c r="B281" s="2" t="s">
        <v>224</v>
      </c>
      <c r="C281" s="2" t="s">
        <v>303</v>
      </c>
      <c r="D281" s="2" t="s">
        <v>1765</v>
      </c>
      <c r="E281" s="5" t="s">
        <v>304</v>
      </c>
      <c r="F281" s="7" t="s">
        <v>1766</v>
      </c>
      <c r="G281" s="2" t="s">
        <v>60</v>
      </c>
      <c r="H281" s="2" t="s">
        <v>1759</v>
      </c>
      <c r="I281" s="2" t="s">
        <v>1767</v>
      </c>
      <c r="J281" s="2"/>
      <c r="K281" t="s">
        <v>1847</v>
      </c>
    </row>
    <row r="282" spans="1:12" ht="37" customHeight="1">
      <c r="A282" s="2" t="s">
        <v>312</v>
      </c>
      <c r="B282" s="2" t="s">
        <v>224</v>
      </c>
      <c r="C282" s="2" t="s">
        <v>308</v>
      </c>
      <c r="D282" s="2" t="s">
        <v>1757</v>
      </c>
      <c r="E282" s="4">
        <v>0.6</v>
      </c>
      <c r="F282" s="7" t="s">
        <v>1758</v>
      </c>
      <c r="G282" s="2" t="s">
        <v>310</v>
      </c>
      <c r="H282" s="2" t="s">
        <v>1759</v>
      </c>
      <c r="I282" s="2" t="s">
        <v>1950</v>
      </c>
      <c r="J282" s="2" t="s">
        <v>1781</v>
      </c>
      <c r="K282" s="2" t="s">
        <v>1951</v>
      </c>
      <c r="L282" s="2" t="s">
        <v>122</v>
      </c>
    </row>
    <row r="283" spans="1:12" ht="37" customHeight="1">
      <c r="A283" s="2" t="s">
        <v>312</v>
      </c>
      <c r="B283" s="2" t="s">
        <v>224</v>
      </c>
      <c r="C283" s="2" t="s">
        <v>308</v>
      </c>
      <c r="D283" s="2" t="s">
        <v>254</v>
      </c>
      <c r="E283" s="4">
        <v>0.1</v>
      </c>
      <c r="F283" s="7" t="s">
        <v>1758</v>
      </c>
      <c r="G283" s="2" t="s">
        <v>310</v>
      </c>
      <c r="H283" s="2" t="s">
        <v>1759</v>
      </c>
      <c r="I283" s="2" t="s">
        <v>1952</v>
      </c>
      <c r="J283" s="2" t="s">
        <v>1953</v>
      </c>
      <c r="K283" s="2" t="s">
        <v>1951</v>
      </c>
      <c r="L283" s="2" t="s">
        <v>122</v>
      </c>
    </row>
    <row r="284" spans="1:12" ht="37" customHeight="1">
      <c r="A284" s="2" t="s">
        <v>312</v>
      </c>
      <c r="B284" s="2" t="s">
        <v>224</v>
      </c>
      <c r="C284" s="2" t="s">
        <v>308</v>
      </c>
      <c r="D284" s="2" t="s">
        <v>124</v>
      </c>
      <c r="E284" s="7"/>
      <c r="F284" s="7" t="s">
        <v>1763</v>
      </c>
      <c r="G284" s="2" t="s">
        <v>310</v>
      </c>
      <c r="H284" s="2" t="s">
        <v>1773</v>
      </c>
      <c r="I284" s="2"/>
      <c r="J284" s="2"/>
      <c r="K284" s="2" t="s">
        <v>1951</v>
      </c>
      <c r="L284" s="2" t="s">
        <v>122</v>
      </c>
    </row>
    <row r="285" spans="1:12" ht="37" customHeight="1">
      <c r="A285" s="2" t="s">
        <v>312</v>
      </c>
      <c r="B285" s="2" t="s">
        <v>224</v>
      </c>
      <c r="C285" s="2" t="s">
        <v>308</v>
      </c>
      <c r="D285" s="2" t="s">
        <v>65</v>
      </c>
      <c r="E285" s="7"/>
      <c r="F285" s="7" t="s">
        <v>1763</v>
      </c>
      <c r="G285" s="2" t="s">
        <v>310</v>
      </c>
      <c r="H285" s="2" t="s">
        <v>1773</v>
      </c>
      <c r="I285" s="2"/>
      <c r="J285" s="2"/>
      <c r="K285" s="2" t="s">
        <v>1951</v>
      </c>
      <c r="L285" s="2" t="s">
        <v>122</v>
      </c>
    </row>
    <row r="286" spans="1:12" ht="37" customHeight="1">
      <c r="A286" s="2" t="s">
        <v>312</v>
      </c>
      <c r="B286" s="2" t="s">
        <v>224</v>
      </c>
      <c r="C286" s="2" t="s">
        <v>308</v>
      </c>
      <c r="D286" s="2" t="s">
        <v>222</v>
      </c>
      <c r="E286" s="5">
        <v>0.02</v>
      </c>
      <c r="F286" s="7" t="s">
        <v>1764</v>
      </c>
      <c r="G286" s="2" t="s">
        <v>310</v>
      </c>
      <c r="H286" s="2" t="s">
        <v>1759</v>
      </c>
      <c r="I286" s="2" t="s">
        <v>1950</v>
      </c>
      <c r="J286" s="2" t="s">
        <v>1781</v>
      </c>
      <c r="K286" s="2" t="s">
        <v>1951</v>
      </c>
      <c r="L286" s="2" t="s">
        <v>122</v>
      </c>
    </row>
    <row r="287" spans="1:12" ht="37" customHeight="1">
      <c r="A287" s="2" t="s">
        <v>312</v>
      </c>
      <c r="B287" s="2" t="s">
        <v>224</v>
      </c>
      <c r="C287" s="2" t="s">
        <v>308</v>
      </c>
      <c r="D287" s="2" t="s">
        <v>1765</v>
      </c>
      <c r="E287" s="5" t="s">
        <v>309</v>
      </c>
      <c r="F287" s="7" t="s">
        <v>1766</v>
      </c>
      <c r="G287" s="2" t="s">
        <v>310</v>
      </c>
      <c r="H287" s="2" t="s">
        <v>1759</v>
      </c>
      <c r="I287" s="2" t="s">
        <v>1767</v>
      </c>
      <c r="J287" s="2"/>
      <c r="K287" t="s">
        <v>1954</v>
      </c>
    </row>
    <row r="288" spans="1:12" ht="50.5" customHeight="1">
      <c r="A288" s="2" t="s">
        <v>319</v>
      </c>
      <c r="B288" s="2" t="s">
        <v>224</v>
      </c>
      <c r="C288" s="2" t="s">
        <v>313</v>
      </c>
      <c r="D288" s="2" t="s">
        <v>1757</v>
      </c>
      <c r="E288" s="5">
        <v>1.31</v>
      </c>
      <c r="F288" s="7" t="s">
        <v>1758</v>
      </c>
      <c r="G288" s="2" t="s">
        <v>316</v>
      </c>
      <c r="H288" s="2" t="s">
        <v>1759</v>
      </c>
      <c r="I288" s="2" t="s">
        <v>1955</v>
      </c>
      <c r="J288" s="2" t="s">
        <v>1956</v>
      </c>
      <c r="K288" s="2" t="s">
        <v>1957</v>
      </c>
      <c r="L288" s="2" t="s">
        <v>45</v>
      </c>
    </row>
    <row r="289" spans="1:12" ht="50.5" customHeight="1">
      <c r="A289" s="2" t="s">
        <v>319</v>
      </c>
      <c r="B289" s="2" t="s">
        <v>224</v>
      </c>
      <c r="C289" s="2" t="s">
        <v>313</v>
      </c>
      <c r="D289" s="2" t="s">
        <v>254</v>
      </c>
      <c r="E289" s="5">
        <v>0.35</v>
      </c>
      <c r="F289" s="7" t="s">
        <v>1758</v>
      </c>
      <c r="G289" s="2" t="s">
        <v>316</v>
      </c>
      <c r="H289" s="2" t="s">
        <v>1759</v>
      </c>
      <c r="I289" s="2" t="s">
        <v>1955</v>
      </c>
      <c r="J289" s="2" t="s">
        <v>1956</v>
      </c>
      <c r="K289" s="2" t="s">
        <v>1957</v>
      </c>
      <c r="L289" s="2" t="s">
        <v>45</v>
      </c>
    </row>
    <row r="290" spans="1:12" ht="37" customHeight="1">
      <c r="A290" s="2" t="s">
        <v>319</v>
      </c>
      <c r="B290" s="2" t="s">
        <v>224</v>
      </c>
      <c r="C290" s="2" t="s">
        <v>313</v>
      </c>
      <c r="D290" s="2" t="s">
        <v>124</v>
      </c>
      <c r="E290" s="7" t="s">
        <v>314</v>
      </c>
      <c r="F290" s="7" t="s">
        <v>1763</v>
      </c>
      <c r="G290" s="2" t="s">
        <v>316</v>
      </c>
      <c r="H290" s="2" t="s">
        <v>1759</v>
      </c>
      <c r="I290" s="2" t="s">
        <v>1955</v>
      </c>
      <c r="J290" s="2" t="s">
        <v>1956</v>
      </c>
      <c r="K290" s="2" t="s">
        <v>1957</v>
      </c>
      <c r="L290" s="2" t="s">
        <v>45</v>
      </c>
    </row>
    <row r="291" spans="1:12" ht="34" customHeight="1">
      <c r="A291" s="2" t="s">
        <v>319</v>
      </c>
      <c r="B291" s="2" t="s">
        <v>224</v>
      </c>
      <c r="C291" s="2" t="s">
        <v>313</v>
      </c>
      <c r="D291" s="2" t="s">
        <v>65</v>
      </c>
      <c r="E291" s="7" t="s">
        <v>315</v>
      </c>
      <c r="F291" s="7" t="s">
        <v>1763</v>
      </c>
      <c r="G291" s="2" t="s">
        <v>316</v>
      </c>
      <c r="H291" s="2" t="s">
        <v>1759</v>
      </c>
      <c r="I291" s="2" t="s">
        <v>1955</v>
      </c>
      <c r="J291" s="2" t="s">
        <v>1956</v>
      </c>
      <c r="K291" s="2" t="s">
        <v>1957</v>
      </c>
      <c r="L291" s="2" t="s">
        <v>45</v>
      </c>
    </row>
    <row r="292" spans="1:12" ht="34" customHeight="1">
      <c r="A292" s="2" t="s">
        <v>319</v>
      </c>
      <c r="B292" s="2" t="s">
        <v>224</v>
      </c>
      <c r="C292" s="2" t="s">
        <v>313</v>
      </c>
      <c r="D292" s="2" t="s">
        <v>222</v>
      </c>
      <c r="E292" s="4">
        <v>0.2</v>
      </c>
      <c r="F292" s="7" t="s">
        <v>1764</v>
      </c>
      <c r="G292" s="2" t="s">
        <v>316</v>
      </c>
      <c r="H292" s="2" t="s">
        <v>1759</v>
      </c>
      <c r="I292" s="2" t="s">
        <v>1955</v>
      </c>
      <c r="J292" s="2" t="s">
        <v>1956</v>
      </c>
      <c r="K292" s="2" t="s">
        <v>1957</v>
      </c>
      <c r="L292" s="2" t="s">
        <v>45</v>
      </c>
    </row>
    <row r="293" spans="1:12" ht="34" customHeight="1">
      <c r="A293" s="2" t="s">
        <v>319</v>
      </c>
      <c r="B293" s="2" t="s">
        <v>224</v>
      </c>
      <c r="C293" s="2" t="s">
        <v>313</v>
      </c>
      <c r="D293" s="2" t="s">
        <v>1765</v>
      </c>
      <c r="E293" s="4" t="s">
        <v>198</v>
      </c>
      <c r="F293" s="7" t="s">
        <v>1766</v>
      </c>
      <c r="G293" s="2" t="s">
        <v>316</v>
      </c>
      <c r="H293" s="2" t="s">
        <v>1759</v>
      </c>
      <c r="I293" s="2" t="s">
        <v>1767</v>
      </c>
      <c r="J293" s="2"/>
      <c r="K293" t="s">
        <v>1958</v>
      </c>
    </row>
    <row r="294" spans="1:12" ht="34" customHeight="1">
      <c r="A294" s="2" t="s">
        <v>324</v>
      </c>
      <c r="B294" s="2" t="s">
        <v>224</v>
      </c>
      <c r="C294" s="2" t="s">
        <v>322</v>
      </c>
      <c r="D294" s="2" t="s">
        <v>1757</v>
      </c>
      <c r="E294" s="5">
        <v>0.93</v>
      </c>
      <c r="F294" s="7" t="s">
        <v>1758</v>
      </c>
      <c r="G294" s="2" t="s">
        <v>60</v>
      </c>
      <c r="H294" s="2" t="s">
        <v>1759</v>
      </c>
      <c r="I294" s="2" t="s">
        <v>1959</v>
      </c>
      <c r="J294" s="2" t="s">
        <v>1781</v>
      </c>
      <c r="K294" s="2" t="s">
        <v>1960</v>
      </c>
      <c r="L294" s="2" t="s">
        <v>122</v>
      </c>
    </row>
    <row r="295" spans="1:12" ht="34" customHeight="1">
      <c r="A295" s="2" t="s">
        <v>324</v>
      </c>
      <c r="B295" s="2" t="s">
        <v>224</v>
      </c>
      <c r="C295" s="2" t="s">
        <v>322</v>
      </c>
      <c r="D295" s="2" t="s">
        <v>254</v>
      </c>
      <c r="E295" s="5">
        <v>0.23</v>
      </c>
      <c r="F295" s="7" t="s">
        <v>1758</v>
      </c>
      <c r="G295" s="2" t="s">
        <v>60</v>
      </c>
      <c r="H295" s="2" t="s">
        <v>1759</v>
      </c>
      <c r="I295" s="2" t="s">
        <v>1959</v>
      </c>
      <c r="J295" s="2" t="s">
        <v>1781</v>
      </c>
      <c r="K295" s="2" t="s">
        <v>1960</v>
      </c>
      <c r="L295" s="2" t="s">
        <v>122</v>
      </c>
    </row>
    <row r="296" spans="1:12" ht="37" customHeight="1">
      <c r="A296" s="2" t="s">
        <v>324</v>
      </c>
      <c r="B296" s="2" t="s">
        <v>224</v>
      </c>
      <c r="C296" s="2" t="s">
        <v>322</v>
      </c>
      <c r="D296" s="2" t="s">
        <v>124</v>
      </c>
      <c r="E296" s="11">
        <v>1</v>
      </c>
      <c r="F296" s="20" t="s">
        <v>1763</v>
      </c>
      <c r="G296" s="21" t="s">
        <v>60</v>
      </c>
      <c r="H296" s="21" t="s">
        <v>1779</v>
      </c>
      <c r="I296" s="2" t="s">
        <v>1961</v>
      </c>
      <c r="J296" s="2" t="s">
        <v>1781</v>
      </c>
      <c r="K296" s="2" t="s">
        <v>1962</v>
      </c>
      <c r="L296" s="2" t="s">
        <v>122</v>
      </c>
    </row>
    <row r="297" spans="1:12" ht="37" customHeight="1">
      <c r="A297" s="2" t="s">
        <v>324</v>
      </c>
      <c r="B297" s="2" t="s">
        <v>224</v>
      </c>
      <c r="C297" s="2" t="s">
        <v>322</v>
      </c>
      <c r="D297" s="2" t="s">
        <v>65</v>
      </c>
      <c r="E297" s="11">
        <v>0</v>
      </c>
      <c r="F297" s="20" t="s">
        <v>1763</v>
      </c>
      <c r="G297" s="21" t="s">
        <v>60</v>
      </c>
      <c r="H297" s="21" t="s">
        <v>1779</v>
      </c>
      <c r="I297" s="2" t="s">
        <v>1961</v>
      </c>
      <c r="J297" s="2" t="s">
        <v>1781</v>
      </c>
      <c r="K297" s="2" t="s">
        <v>1963</v>
      </c>
      <c r="L297" s="2" t="s">
        <v>122</v>
      </c>
    </row>
    <row r="298" spans="1:12" ht="37" customHeight="1">
      <c r="A298" s="2" t="s">
        <v>324</v>
      </c>
      <c r="B298" s="2" t="s">
        <v>224</v>
      </c>
      <c r="C298" s="2" t="s">
        <v>322</v>
      </c>
      <c r="D298" s="2" t="s">
        <v>222</v>
      </c>
      <c r="E298" s="5">
        <v>0.16</v>
      </c>
      <c r="F298" s="7" t="s">
        <v>1764</v>
      </c>
      <c r="G298" s="2" t="s">
        <v>60</v>
      </c>
      <c r="H298" s="2" t="s">
        <v>1759</v>
      </c>
      <c r="I298" s="2" t="s">
        <v>1959</v>
      </c>
      <c r="J298" s="2" t="s">
        <v>1781</v>
      </c>
      <c r="K298" s="2" t="s">
        <v>1960</v>
      </c>
      <c r="L298" s="2" t="s">
        <v>122</v>
      </c>
    </row>
    <row r="299" spans="1:12" ht="37" customHeight="1">
      <c r="A299" s="2" t="s">
        <v>324</v>
      </c>
      <c r="B299" s="2" t="s">
        <v>224</v>
      </c>
      <c r="C299" s="2" t="s">
        <v>322</v>
      </c>
      <c r="D299" s="2" t="s">
        <v>1765</v>
      </c>
      <c r="E299" s="5" t="s">
        <v>323</v>
      </c>
      <c r="F299" s="7" t="s">
        <v>1766</v>
      </c>
      <c r="G299" s="2" t="s">
        <v>60</v>
      </c>
      <c r="H299" s="2" t="s">
        <v>1759</v>
      </c>
      <c r="I299" s="2" t="s">
        <v>1767</v>
      </c>
      <c r="J299" s="2"/>
      <c r="K299" t="s">
        <v>1964</v>
      </c>
    </row>
    <row r="300" spans="1:12" ht="37" customHeight="1">
      <c r="A300" s="2" t="s">
        <v>331</v>
      </c>
      <c r="B300" s="2" t="s">
        <v>224</v>
      </c>
      <c r="C300" s="2" t="s">
        <v>327</v>
      </c>
      <c r="D300" s="2" t="s">
        <v>1757</v>
      </c>
      <c r="E300" s="5">
        <v>0.91</v>
      </c>
      <c r="F300" s="7" t="s">
        <v>1758</v>
      </c>
      <c r="G300" s="2" t="s">
        <v>328</v>
      </c>
      <c r="H300" s="2" t="s">
        <v>1759</v>
      </c>
      <c r="I300" s="2" t="s">
        <v>1965</v>
      </c>
      <c r="J300" s="2" t="s">
        <v>1966</v>
      </c>
      <c r="K300" s="2" t="s">
        <v>1967</v>
      </c>
      <c r="L300" s="2" t="s">
        <v>35</v>
      </c>
    </row>
    <row r="301" spans="1:12" ht="34" customHeight="1">
      <c r="A301" s="2" t="s">
        <v>331</v>
      </c>
      <c r="B301" s="2" t="s">
        <v>224</v>
      </c>
      <c r="C301" s="2" t="s">
        <v>327</v>
      </c>
      <c r="D301" s="2" t="s">
        <v>254</v>
      </c>
      <c r="E301" s="5">
        <v>0.23</v>
      </c>
      <c r="F301" s="7" t="s">
        <v>1758</v>
      </c>
      <c r="G301" s="2" t="s">
        <v>328</v>
      </c>
      <c r="H301" s="2" t="s">
        <v>1759</v>
      </c>
      <c r="I301" s="2" t="s">
        <v>1965</v>
      </c>
      <c r="J301" s="2" t="s">
        <v>1966</v>
      </c>
      <c r="K301" s="2" t="s">
        <v>1967</v>
      </c>
      <c r="L301" s="2" t="s">
        <v>35</v>
      </c>
    </row>
    <row r="302" spans="1:12" ht="34" customHeight="1">
      <c r="A302" s="2" t="s">
        <v>331</v>
      </c>
      <c r="B302" s="2" t="s">
        <v>224</v>
      </c>
      <c r="C302" s="2" t="s">
        <v>327</v>
      </c>
      <c r="D302" s="2" t="s">
        <v>124</v>
      </c>
      <c r="E302" s="11">
        <v>1</v>
      </c>
      <c r="F302" s="20" t="s">
        <v>1763</v>
      </c>
      <c r="G302" s="21" t="s">
        <v>328</v>
      </c>
      <c r="H302" s="21" t="s">
        <v>1779</v>
      </c>
      <c r="I302" s="2" t="s">
        <v>1968</v>
      </c>
      <c r="J302" s="2" t="s">
        <v>1781</v>
      </c>
      <c r="K302" s="2" t="s">
        <v>1969</v>
      </c>
      <c r="L302" s="2" t="s">
        <v>35</v>
      </c>
    </row>
    <row r="303" spans="1:12" ht="34" customHeight="1">
      <c r="A303" s="2" t="s">
        <v>331</v>
      </c>
      <c r="B303" s="2" t="s">
        <v>224</v>
      </c>
      <c r="C303" s="2" t="s">
        <v>327</v>
      </c>
      <c r="D303" s="2" t="s">
        <v>65</v>
      </c>
      <c r="E303" s="11">
        <v>0</v>
      </c>
      <c r="F303" s="20" t="s">
        <v>1763</v>
      </c>
      <c r="G303" s="21" t="s">
        <v>328</v>
      </c>
      <c r="H303" s="21" t="s">
        <v>1779</v>
      </c>
      <c r="I303" s="2" t="s">
        <v>1968</v>
      </c>
      <c r="J303" s="2" t="s">
        <v>1781</v>
      </c>
      <c r="K303" s="2" t="s">
        <v>1970</v>
      </c>
      <c r="L303" s="2" t="s">
        <v>35</v>
      </c>
    </row>
    <row r="304" spans="1:12" ht="34" customHeight="1">
      <c r="A304" s="2" t="s">
        <v>331</v>
      </c>
      <c r="B304" s="2" t="s">
        <v>224</v>
      </c>
      <c r="C304" s="2" t="s">
        <v>327</v>
      </c>
      <c r="D304" s="2" t="s">
        <v>222</v>
      </c>
      <c r="E304" s="5">
        <v>0.22</v>
      </c>
      <c r="F304" s="7" t="s">
        <v>1764</v>
      </c>
      <c r="G304" s="2" t="s">
        <v>328</v>
      </c>
      <c r="H304" s="2" t="s">
        <v>1759</v>
      </c>
      <c r="I304" s="2" t="s">
        <v>1971</v>
      </c>
      <c r="J304" s="2" t="s">
        <v>1972</v>
      </c>
      <c r="K304" s="2" t="s">
        <v>1967</v>
      </c>
      <c r="L304" s="2" t="s">
        <v>35</v>
      </c>
    </row>
    <row r="305" spans="1:12" ht="34" customHeight="1">
      <c r="A305" s="2" t="s">
        <v>331</v>
      </c>
      <c r="B305" s="2" t="s">
        <v>224</v>
      </c>
      <c r="C305" s="2" t="s">
        <v>327</v>
      </c>
      <c r="D305" s="2" t="s">
        <v>1765</v>
      </c>
      <c r="E305" s="5" t="s">
        <v>76</v>
      </c>
      <c r="F305" s="7" t="s">
        <v>1766</v>
      </c>
      <c r="G305" s="2" t="s">
        <v>328</v>
      </c>
      <c r="H305" s="2" t="s">
        <v>1759</v>
      </c>
      <c r="I305" s="2" t="s">
        <v>1767</v>
      </c>
      <c r="J305" s="2"/>
      <c r="K305" t="s">
        <v>1973</v>
      </c>
    </row>
    <row r="306" spans="1:12" ht="37" customHeight="1">
      <c r="A306" s="2" t="s">
        <v>339</v>
      </c>
      <c r="B306" s="2" t="s">
        <v>224</v>
      </c>
      <c r="C306" s="2" t="s">
        <v>334</v>
      </c>
      <c r="D306" s="2" t="s">
        <v>1757</v>
      </c>
      <c r="E306" s="5">
        <v>2.96</v>
      </c>
      <c r="F306" s="7" t="s">
        <v>1758</v>
      </c>
      <c r="G306" s="2" t="s">
        <v>29</v>
      </c>
      <c r="H306" s="2" t="s">
        <v>1759</v>
      </c>
      <c r="I306" s="2" t="s">
        <v>1974</v>
      </c>
      <c r="J306" s="2" t="s">
        <v>1975</v>
      </c>
      <c r="K306" s="2" t="s">
        <v>1976</v>
      </c>
      <c r="L306" s="2" t="s">
        <v>45</v>
      </c>
    </row>
    <row r="307" spans="1:12" ht="37" customHeight="1">
      <c r="A307" s="2" t="s">
        <v>339</v>
      </c>
      <c r="B307" s="2" t="s">
        <v>224</v>
      </c>
      <c r="C307" s="2" t="s">
        <v>334</v>
      </c>
      <c r="D307" s="2" t="s">
        <v>254</v>
      </c>
      <c r="E307" s="5">
        <v>1.18</v>
      </c>
      <c r="F307" s="7" t="s">
        <v>1758</v>
      </c>
      <c r="G307" s="2" t="s">
        <v>29</v>
      </c>
      <c r="H307" s="2" t="s">
        <v>1759</v>
      </c>
      <c r="I307" s="2" t="s">
        <v>1974</v>
      </c>
      <c r="J307" s="2" t="s">
        <v>1975</v>
      </c>
      <c r="K307" s="2" t="s">
        <v>1976</v>
      </c>
      <c r="L307" s="2" t="s">
        <v>45</v>
      </c>
    </row>
    <row r="308" spans="1:12" ht="37" customHeight="1">
      <c r="A308" s="2" t="s">
        <v>339</v>
      </c>
      <c r="B308" s="2" t="s">
        <v>224</v>
      </c>
      <c r="C308" s="2" t="s">
        <v>334</v>
      </c>
      <c r="D308" s="2" t="s">
        <v>124</v>
      </c>
      <c r="E308" s="5">
        <v>1.95</v>
      </c>
      <c r="F308" s="7" t="s">
        <v>1763</v>
      </c>
      <c r="G308" s="2" t="s">
        <v>29</v>
      </c>
      <c r="H308" s="2" t="s">
        <v>1759</v>
      </c>
      <c r="I308" s="2" t="s">
        <v>1974</v>
      </c>
      <c r="J308" s="2" t="s">
        <v>1975</v>
      </c>
      <c r="K308" s="2" t="s">
        <v>1976</v>
      </c>
      <c r="L308" s="2" t="s">
        <v>45</v>
      </c>
    </row>
    <row r="309" spans="1:12" ht="37" customHeight="1">
      <c r="A309" s="2" t="s">
        <v>339</v>
      </c>
      <c r="B309" s="2" t="s">
        <v>224</v>
      </c>
      <c r="C309" s="2" t="s">
        <v>334</v>
      </c>
      <c r="D309" s="2" t="s">
        <v>65</v>
      </c>
      <c r="E309" s="5">
        <v>0.53</v>
      </c>
      <c r="F309" s="7" t="s">
        <v>1763</v>
      </c>
      <c r="G309" s="2" t="s">
        <v>29</v>
      </c>
      <c r="H309" s="2" t="s">
        <v>1759</v>
      </c>
      <c r="I309" s="2" t="s">
        <v>1974</v>
      </c>
      <c r="J309" s="2" t="s">
        <v>1975</v>
      </c>
      <c r="K309" s="2" t="s">
        <v>1976</v>
      </c>
      <c r="L309" s="2" t="s">
        <v>45</v>
      </c>
    </row>
    <row r="310" spans="1:12" ht="37" customHeight="1">
      <c r="A310" s="2" t="s">
        <v>339</v>
      </c>
      <c r="B310" s="2" t="s">
        <v>224</v>
      </c>
      <c r="C310" s="2" t="s">
        <v>334</v>
      </c>
      <c r="D310" s="2" t="s">
        <v>222</v>
      </c>
      <c r="E310" s="4">
        <v>5.5</v>
      </c>
      <c r="F310" s="7" t="s">
        <v>1764</v>
      </c>
      <c r="G310" s="2" t="s">
        <v>29</v>
      </c>
      <c r="H310" s="2" t="s">
        <v>1759</v>
      </c>
      <c r="I310" s="2" t="s">
        <v>1974</v>
      </c>
      <c r="J310" s="2" t="s">
        <v>1975</v>
      </c>
      <c r="K310" s="2" t="s">
        <v>1976</v>
      </c>
      <c r="L310" s="2" t="s">
        <v>45</v>
      </c>
    </row>
    <row r="311" spans="1:12" ht="37" customHeight="1">
      <c r="A311" s="2" t="s">
        <v>339</v>
      </c>
      <c r="B311" s="2" t="s">
        <v>224</v>
      </c>
      <c r="C311" s="2" t="s">
        <v>334</v>
      </c>
      <c r="D311" s="2" t="s">
        <v>1765</v>
      </c>
      <c r="E311" s="4" t="s">
        <v>335</v>
      </c>
      <c r="F311" s="7" t="s">
        <v>1766</v>
      </c>
      <c r="G311" s="2" t="s">
        <v>29</v>
      </c>
      <c r="H311" s="2" t="s">
        <v>1759</v>
      </c>
      <c r="I311" s="2" t="s">
        <v>1767</v>
      </c>
      <c r="J311" s="2"/>
      <c r="K311" t="s">
        <v>1977</v>
      </c>
    </row>
    <row r="312" spans="1:12" ht="37" customHeight="1">
      <c r="A312" s="2" t="s">
        <v>347</v>
      </c>
      <c r="B312" s="2" t="s">
        <v>224</v>
      </c>
      <c r="C312" s="2" t="s">
        <v>342</v>
      </c>
      <c r="D312" s="2" t="s">
        <v>1757</v>
      </c>
      <c r="E312" s="5">
        <v>3.22</v>
      </c>
      <c r="F312" s="7" t="s">
        <v>1758</v>
      </c>
      <c r="G312" s="2" t="s">
        <v>344</v>
      </c>
      <c r="H312" s="2" t="s">
        <v>1759</v>
      </c>
      <c r="I312" s="2" t="s">
        <v>1978</v>
      </c>
      <c r="J312" s="2" t="s">
        <v>1979</v>
      </c>
      <c r="K312" s="2" t="s">
        <v>1980</v>
      </c>
      <c r="L312" s="2" t="s">
        <v>45</v>
      </c>
    </row>
    <row r="313" spans="1:12" ht="37" customHeight="1">
      <c r="A313" s="2" t="s">
        <v>347</v>
      </c>
      <c r="B313" s="2" t="s">
        <v>224</v>
      </c>
      <c r="C313" s="2" t="s">
        <v>342</v>
      </c>
      <c r="D313" s="2" t="s">
        <v>254</v>
      </c>
      <c r="E313" s="5">
        <v>0.79</v>
      </c>
      <c r="F313" s="7" t="s">
        <v>1758</v>
      </c>
      <c r="G313" s="2" t="s">
        <v>344</v>
      </c>
      <c r="H313" s="2" t="s">
        <v>1759</v>
      </c>
      <c r="I313" s="2" t="s">
        <v>1978</v>
      </c>
      <c r="J313" s="2" t="s">
        <v>1979</v>
      </c>
      <c r="K313" s="2" t="s">
        <v>1980</v>
      </c>
      <c r="L313" s="2" t="s">
        <v>45</v>
      </c>
    </row>
    <row r="314" spans="1:12" ht="37" customHeight="1">
      <c r="A314" s="2" t="s">
        <v>347</v>
      </c>
      <c r="B314" s="2" t="s">
        <v>224</v>
      </c>
      <c r="C314" s="2" t="s">
        <v>342</v>
      </c>
      <c r="D314" s="2" t="s">
        <v>124</v>
      </c>
      <c r="E314" s="5">
        <v>1.45</v>
      </c>
      <c r="F314" s="7" t="s">
        <v>1763</v>
      </c>
      <c r="G314" s="2" t="s">
        <v>344</v>
      </c>
      <c r="H314" s="2" t="s">
        <v>1759</v>
      </c>
      <c r="I314" s="2" t="s">
        <v>1978</v>
      </c>
      <c r="J314" s="2" t="s">
        <v>1979</v>
      </c>
      <c r="K314" s="2" t="s">
        <v>1980</v>
      </c>
      <c r="L314" s="2" t="s">
        <v>45</v>
      </c>
    </row>
    <row r="315" spans="1:12" ht="37" customHeight="1">
      <c r="A315" s="2" t="s">
        <v>347</v>
      </c>
      <c r="B315" s="2" t="s">
        <v>224</v>
      </c>
      <c r="C315" s="2" t="s">
        <v>342</v>
      </c>
      <c r="D315" s="2" t="s">
        <v>65</v>
      </c>
      <c r="E315" s="5">
        <v>0.32</v>
      </c>
      <c r="F315" s="7" t="s">
        <v>1763</v>
      </c>
      <c r="G315" s="2" t="s">
        <v>344</v>
      </c>
      <c r="H315" s="2" t="s">
        <v>1759</v>
      </c>
      <c r="I315" s="2" t="s">
        <v>1978</v>
      </c>
      <c r="J315" s="2" t="s">
        <v>1979</v>
      </c>
      <c r="K315" s="2" t="s">
        <v>1980</v>
      </c>
      <c r="L315" s="2" t="s">
        <v>45</v>
      </c>
    </row>
    <row r="316" spans="1:12" ht="37" customHeight="1">
      <c r="A316" s="2" t="s">
        <v>347</v>
      </c>
      <c r="B316" s="2" t="s">
        <v>224</v>
      </c>
      <c r="C316" s="2" t="s">
        <v>342</v>
      </c>
      <c r="D316" s="2" t="s">
        <v>222</v>
      </c>
      <c r="E316" s="4">
        <v>1.5</v>
      </c>
      <c r="F316" s="7" t="s">
        <v>1764</v>
      </c>
      <c r="G316" s="2" t="s">
        <v>344</v>
      </c>
      <c r="H316" s="2" t="s">
        <v>1759</v>
      </c>
      <c r="I316" s="2" t="s">
        <v>1978</v>
      </c>
      <c r="J316" s="2" t="s">
        <v>1979</v>
      </c>
      <c r="K316" s="2" t="s">
        <v>1980</v>
      </c>
      <c r="L316" s="2" t="s">
        <v>45</v>
      </c>
    </row>
    <row r="317" spans="1:12" ht="37" customHeight="1">
      <c r="A317" s="2" t="s">
        <v>347</v>
      </c>
      <c r="B317" s="2" t="s">
        <v>224</v>
      </c>
      <c r="C317" s="2" t="s">
        <v>342</v>
      </c>
      <c r="D317" s="2" t="s">
        <v>1765</v>
      </c>
      <c r="E317" s="4" t="s">
        <v>343</v>
      </c>
      <c r="F317" s="7" t="s">
        <v>1766</v>
      </c>
      <c r="G317" s="2" t="s">
        <v>344</v>
      </c>
      <c r="H317" s="2" t="s">
        <v>1759</v>
      </c>
      <c r="I317" s="2" t="s">
        <v>1767</v>
      </c>
      <c r="J317" s="2"/>
      <c r="K317" t="s">
        <v>1981</v>
      </c>
    </row>
    <row r="318" spans="1:12" ht="37" customHeight="1">
      <c r="A318" s="2" t="s">
        <v>354</v>
      </c>
      <c r="B318" s="2" t="s">
        <v>224</v>
      </c>
      <c r="C318" s="2" t="s">
        <v>350</v>
      </c>
      <c r="D318" s="2" t="s">
        <v>1757</v>
      </c>
      <c r="E318" s="6">
        <v>3</v>
      </c>
      <c r="F318" s="7" t="s">
        <v>1758</v>
      </c>
      <c r="G318" s="2" t="s">
        <v>71</v>
      </c>
      <c r="H318" s="2" t="s">
        <v>1759</v>
      </c>
      <c r="I318" s="2" t="s">
        <v>1982</v>
      </c>
      <c r="J318" s="2" t="s">
        <v>1983</v>
      </c>
      <c r="K318" s="2" t="s">
        <v>1984</v>
      </c>
      <c r="L318" s="2" t="s">
        <v>130</v>
      </c>
    </row>
    <row r="319" spans="1:12" ht="37" customHeight="1">
      <c r="A319" s="2" t="s">
        <v>354</v>
      </c>
      <c r="B319" s="2" t="s">
        <v>224</v>
      </c>
      <c r="C319" s="2" t="s">
        <v>350</v>
      </c>
      <c r="D319" s="2" t="s">
        <v>254</v>
      </c>
      <c r="E319" s="4">
        <v>0.9</v>
      </c>
      <c r="F319" s="7" t="s">
        <v>1758</v>
      </c>
      <c r="G319" s="2" t="s">
        <v>71</v>
      </c>
      <c r="H319" s="2" t="s">
        <v>1759</v>
      </c>
      <c r="I319" s="2" t="s">
        <v>1982</v>
      </c>
      <c r="J319" s="2" t="s">
        <v>1983</v>
      </c>
      <c r="K319" s="2" t="s">
        <v>1984</v>
      </c>
      <c r="L319" s="2" t="s">
        <v>130</v>
      </c>
    </row>
    <row r="320" spans="1:12" ht="37" customHeight="1">
      <c r="A320" s="2" t="s">
        <v>354</v>
      </c>
      <c r="B320" s="2" t="s">
        <v>224</v>
      </c>
      <c r="C320" s="2" t="s">
        <v>350</v>
      </c>
      <c r="D320" s="2" t="s">
        <v>124</v>
      </c>
      <c r="E320" s="7"/>
      <c r="F320" s="7" t="s">
        <v>1763</v>
      </c>
      <c r="G320" s="2" t="s">
        <v>71</v>
      </c>
      <c r="H320" s="2" t="s">
        <v>1773</v>
      </c>
      <c r="I320" s="2"/>
      <c r="J320" s="2"/>
      <c r="K320" s="2" t="s">
        <v>1984</v>
      </c>
      <c r="L320" s="2" t="s">
        <v>130</v>
      </c>
    </row>
    <row r="321" spans="1:12" ht="37" customHeight="1">
      <c r="A321" s="2" t="s">
        <v>354</v>
      </c>
      <c r="B321" s="2" t="s">
        <v>224</v>
      </c>
      <c r="C321" s="2" t="s">
        <v>350</v>
      </c>
      <c r="D321" s="2" t="s">
        <v>65</v>
      </c>
      <c r="E321" s="7"/>
      <c r="F321" s="7" t="s">
        <v>1763</v>
      </c>
      <c r="G321" s="2" t="s">
        <v>71</v>
      </c>
      <c r="H321" s="2" t="s">
        <v>1773</v>
      </c>
      <c r="I321" s="2"/>
      <c r="J321" s="2"/>
      <c r="K321" s="2" t="s">
        <v>1984</v>
      </c>
      <c r="L321" s="2" t="s">
        <v>130</v>
      </c>
    </row>
    <row r="322" spans="1:12" ht="37" customHeight="1">
      <c r="A322" s="2" t="s">
        <v>354</v>
      </c>
      <c r="B322" s="2" t="s">
        <v>224</v>
      </c>
      <c r="C322" s="2" t="s">
        <v>350</v>
      </c>
      <c r="D322" s="2" t="s">
        <v>222</v>
      </c>
      <c r="E322" s="4">
        <v>3.2</v>
      </c>
      <c r="F322" s="7" t="s">
        <v>1764</v>
      </c>
      <c r="G322" s="2" t="s">
        <v>71</v>
      </c>
      <c r="H322" s="2" t="s">
        <v>1759</v>
      </c>
      <c r="I322" s="2" t="s">
        <v>1982</v>
      </c>
      <c r="J322" s="2" t="s">
        <v>1983</v>
      </c>
      <c r="K322" s="2" t="s">
        <v>1984</v>
      </c>
      <c r="L322" s="2" t="s">
        <v>130</v>
      </c>
    </row>
    <row r="323" spans="1:12" ht="37" customHeight="1">
      <c r="A323" s="2" t="s">
        <v>354</v>
      </c>
      <c r="B323" s="2" t="s">
        <v>224</v>
      </c>
      <c r="C323" s="2" t="s">
        <v>350</v>
      </c>
      <c r="D323" s="2" t="s">
        <v>1765</v>
      </c>
      <c r="E323" s="4" t="s">
        <v>351</v>
      </c>
      <c r="F323" s="7" t="s">
        <v>1766</v>
      </c>
      <c r="G323" s="2" t="s">
        <v>71</v>
      </c>
      <c r="H323" s="2" t="s">
        <v>1759</v>
      </c>
      <c r="I323" s="2" t="s">
        <v>1767</v>
      </c>
      <c r="J323" s="2"/>
      <c r="K323" t="s">
        <v>1954</v>
      </c>
    </row>
    <row r="324" spans="1:12" ht="37" customHeight="1">
      <c r="A324" s="2" t="s">
        <v>358</v>
      </c>
      <c r="B324" s="2" t="s">
        <v>224</v>
      </c>
      <c r="C324" s="2" t="s">
        <v>357</v>
      </c>
      <c r="D324" s="2" t="s">
        <v>1757</v>
      </c>
      <c r="E324" s="5">
        <v>0.25</v>
      </c>
      <c r="F324" s="7" t="s">
        <v>1758</v>
      </c>
      <c r="G324" s="2" t="s">
        <v>180</v>
      </c>
      <c r="H324" s="2" t="s">
        <v>1759</v>
      </c>
      <c r="I324" s="2" t="s">
        <v>1867</v>
      </c>
      <c r="J324" s="2" t="s">
        <v>1777</v>
      </c>
      <c r="K324" s="2" t="s">
        <v>1985</v>
      </c>
      <c r="L324" s="2" t="s">
        <v>45</v>
      </c>
    </row>
    <row r="325" spans="1:12" ht="37" customHeight="1">
      <c r="A325" s="2" t="s">
        <v>358</v>
      </c>
      <c r="B325" s="2" t="s">
        <v>224</v>
      </c>
      <c r="C325" s="2" t="s">
        <v>357</v>
      </c>
      <c r="D325" s="2" t="s">
        <v>254</v>
      </c>
      <c r="E325" s="4">
        <v>0.2</v>
      </c>
      <c r="F325" s="7" t="s">
        <v>1758</v>
      </c>
      <c r="G325" s="2" t="s">
        <v>180</v>
      </c>
      <c r="H325" s="2" t="s">
        <v>1759</v>
      </c>
      <c r="I325" s="2" t="s">
        <v>1867</v>
      </c>
      <c r="J325" s="2" t="s">
        <v>1777</v>
      </c>
      <c r="K325" s="2" t="s">
        <v>1985</v>
      </c>
      <c r="L325" s="2" t="s">
        <v>45</v>
      </c>
    </row>
    <row r="326" spans="1:12" ht="37" customHeight="1">
      <c r="A326" s="2" t="s">
        <v>358</v>
      </c>
      <c r="B326" s="2" t="s">
        <v>224</v>
      </c>
      <c r="C326" s="2" t="s">
        <v>357</v>
      </c>
      <c r="D326" s="2" t="s">
        <v>124</v>
      </c>
      <c r="E326" s="5">
        <v>1.34</v>
      </c>
      <c r="F326" s="7" t="s">
        <v>1763</v>
      </c>
      <c r="G326" s="2" t="s">
        <v>180</v>
      </c>
      <c r="H326" s="2" t="s">
        <v>1759</v>
      </c>
      <c r="I326" s="2" t="s">
        <v>1867</v>
      </c>
      <c r="J326" s="2" t="s">
        <v>1777</v>
      </c>
      <c r="K326" s="2" t="s">
        <v>1985</v>
      </c>
      <c r="L326" s="2" t="s">
        <v>45</v>
      </c>
    </row>
    <row r="327" spans="1:12" ht="37" customHeight="1">
      <c r="A327" s="2" t="s">
        <v>358</v>
      </c>
      <c r="B327" s="2" t="s">
        <v>224</v>
      </c>
      <c r="C327" s="2" t="s">
        <v>357</v>
      </c>
      <c r="D327" s="2" t="s">
        <v>65</v>
      </c>
      <c r="E327" s="7"/>
      <c r="F327" s="7" t="s">
        <v>1763</v>
      </c>
      <c r="G327" s="2" t="s">
        <v>180</v>
      </c>
      <c r="H327" s="2" t="s">
        <v>1773</v>
      </c>
      <c r="I327" s="2"/>
      <c r="J327" s="2"/>
      <c r="K327" s="2" t="s">
        <v>1985</v>
      </c>
      <c r="L327" s="2" t="s">
        <v>45</v>
      </c>
    </row>
    <row r="328" spans="1:12" ht="37" customHeight="1">
      <c r="A328" s="2" t="s">
        <v>358</v>
      </c>
      <c r="B328" s="2" t="s">
        <v>224</v>
      </c>
      <c r="C328" s="2" t="s">
        <v>357</v>
      </c>
      <c r="D328" s="2" t="s">
        <v>222</v>
      </c>
      <c r="E328" s="8">
        <v>4.0000000000000001E-3</v>
      </c>
      <c r="F328" s="7" t="s">
        <v>1764</v>
      </c>
      <c r="G328" s="2" t="s">
        <v>180</v>
      </c>
      <c r="H328" s="2" t="s">
        <v>1759</v>
      </c>
      <c r="I328" s="2" t="s">
        <v>1867</v>
      </c>
      <c r="J328" s="2" t="s">
        <v>1777</v>
      </c>
      <c r="K328" s="2" t="s">
        <v>1985</v>
      </c>
      <c r="L328" s="2" t="s">
        <v>45</v>
      </c>
    </row>
    <row r="329" spans="1:12" ht="37" customHeight="1">
      <c r="A329" s="2" t="s">
        <v>358</v>
      </c>
      <c r="B329" s="2" t="s">
        <v>224</v>
      </c>
      <c r="C329" s="2" t="s">
        <v>357</v>
      </c>
      <c r="D329" s="2" t="s">
        <v>1765</v>
      </c>
      <c r="E329" s="8" t="s">
        <v>257</v>
      </c>
      <c r="F329" s="7" t="s">
        <v>1766</v>
      </c>
      <c r="G329" s="2" t="s">
        <v>180</v>
      </c>
      <c r="H329" s="2" t="s">
        <v>1759</v>
      </c>
      <c r="I329" s="2" t="s">
        <v>1767</v>
      </c>
      <c r="J329" s="2"/>
      <c r="K329" t="s">
        <v>1933</v>
      </c>
    </row>
    <row r="330" spans="1:12" ht="37" customHeight="1">
      <c r="A330" s="2" t="s">
        <v>361</v>
      </c>
      <c r="B330" s="2" t="s">
        <v>224</v>
      </c>
      <c r="C330" s="2" t="s">
        <v>360</v>
      </c>
      <c r="D330" s="2" t="s">
        <v>1757</v>
      </c>
      <c r="E330" s="7"/>
      <c r="F330" s="7" t="s">
        <v>1758</v>
      </c>
      <c r="G330" s="2" t="s">
        <v>49</v>
      </c>
      <c r="H330" s="2" t="s">
        <v>1773</v>
      </c>
      <c r="I330" s="2"/>
      <c r="J330" s="2"/>
      <c r="K330" s="2" t="s">
        <v>1774</v>
      </c>
      <c r="L330" s="2" t="s">
        <v>54</v>
      </c>
    </row>
    <row r="331" spans="1:12" ht="37" customHeight="1">
      <c r="A331" s="2" t="s">
        <v>361</v>
      </c>
      <c r="B331" s="2" t="s">
        <v>224</v>
      </c>
      <c r="C331" s="2" t="s">
        <v>360</v>
      </c>
      <c r="D331" s="2" t="s">
        <v>254</v>
      </c>
      <c r="E331" s="7"/>
      <c r="F331" s="7" t="s">
        <v>1758</v>
      </c>
      <c r="G331" s="2" t="s">
        <v>49</v>
      </c>
      <c r="H331" s="2" t="s">
        <v>1773</v>
      </c>
      <c r="I331" s="2"/>
      <c r="J331" s="2"/>
      <c r="K331" s="2" t="s">
        <v>1774</v>
      </c>
      <c r="L331" s="2" t="s">
        <v>54</v>
      </c>
    </row>
    <row r="332" spans="1:12" ht="37" customHeight="1">
      <c r="A332" s="2" t="s">
        <v>361</v>
      </c>
      <c r="B332" s="2" t="s">
        <v>224</v>
      </c>
      <c r="C332" s="2" t="s">
        <v>360</v>
      </c>
      <c r="D332" s="2" t="s">
        <v>124</v>
      </c>
      <c r="E332" s="7"/>
      <c r="F332" s="7" t="s">
        <v>1763</v>
      </c>
      <c r="G332" s="2" t="s">
        <v>49</v>
      </c>
      <c r="H332" s="2" t="s">
        <v>1773</v>
      </c>
      <c r="I332" s="2"/>
      <c r="J332" s="2"/>
      <c r="K332" s="2" t="s">
        <v>1774</v>
      </c>
      <c r="L332" s="2" t="s">
        <v>54</v>
      </c>
    </row>
    <row r="333" spans="1:12" ht="37" customHeight="1">
      <c r="A333" s="2" t="s">
        <v>361</v>
      </c>
      <c r="B333" s="2" t="s">
        <v>224</v>
      </c>
      <c r="C333" s="2" t="s">
        <v>360</v>
      </c>
      <c r="D333" s="2" t="s">
        <v>65</v>
      </c>
      <c r="E333" s="7"/>
      <c r="F333" s="7" t="s">
        <v>1763</v>
      </c>
      <c r="G333" s="2" t="s">
        <v>49</v>
      </c>
      <c r="H333" s="2" t="s">
        <v>1773</v>
      </c>
      <c r="I333" s="2"/>
      <c r="J333" s="2"/>
      <c r="K333" s="2" t="s">
        <v>1774</v>
      </c>
      <c r="L333" s="2" t="s">
        <v>54</v>
      </c>
    </row>
    <row r="334" spans="1:12" ht="37" customHeight="1">
      <c r="A334" s="2" t="s">
        <v>361</v>
      </c>
      <c r="B334" s="2" t="s">
        <v>224</v>
      </c>
      <c r="C334" s="2" t="s">
        <v>360</v>
      </c>
      <c r="D334" s="2" t="s">
        <v>222</v>
      </c>
      <c r="E334" s="7"/>
      <c r="F334" s="7" t="s">
        <v>1764</v>
      </c>
      <c r="G334" s="2" t="s">
        <v>49</v>
      </c>
      <c r="H334" s="2" t="s">
        <v>1773</v>
      </c>
      <c r="I334" s="2"/>
      <c r="J334" s="2"/>
      <c r="K334" s="2" t="s">
        <v>1774</v>
      </c>
      <c r="L334" s="2" t="s">
        <v>54</v>
      </c>
    </row>
    <row r="335" spans="1:12" ht="37" customHeight="1">
      <c r="A335" s="2" t="s">
        <v>361</v>
      </c>
      <c r="B335" s="2" t="s">
        <v>224</v>
      </c>
      <c r="C335" s="2" t="s">
        <v>360</v>
      </c>
      <c r="D335" s="2" t="s">
        <v>1765</v>
      </c>
      <c r="E335" s="7" t="s">
        <v>117</v>
      </c>
      <c r="F335" s="7" t="s">
        <v>1766</v>
      </c>
      <c r="G335" s="2" t="s">
        <v>49</v>
      </c>
      <c r="H335" s="2" t="s">
        <v>1759</v>
      </c>
      <c r="I335" s="2" t="s">
        <v>1767</v>
      </c>
      <c r="J335" s="2"/>
      <c r="K335" t="s">
        <v>1817</v>
      </c>
    </row>
    <row r="336" spans="1:12" ht="37" customHeight="1">
      <c r="A336" s="2" t="s">
        <v>364</v>
      </c>
      <c r="B336" s="2" t="s">
        <v>224</v>
      </c>
      <c r="C336" s="2" t="s">
        <v>363</v>
      </c>
      <c r="D336" s="2" t="s">
        <v>1757</v>
      </c>
      <c r="E336" s="8">
        <v>6.2E-2</v>
      </c>
      <c r="F336" s="7" t="s">
        <v>1758</v>
      </c>
      <c r="G336" s="2" t="s">
        <v>180</v>
      </c>
      <c r="H336" s="2" t="s">
        <v>1759</v>
      </c>
      <c r="I336" s="2" t="s">
        <v>1776</v>
      </c>
      <c r="J336" s="2" t="s">
        <v>1777</v>
      </c>
      <c r="K336" s="2" t="s">
        <v>1986</v>
      </c>
      <c r="L336" s="2" t="s">
        <v>45</v>
      </c>
    </row>
    <row r="337" spans="1:12" ht="37" customHeight="1">
      <c r="A337" s="2" t="s">
        <v>364</v>
      </c>
      <c r="B337" s="2" t="s">
        <v>224</v>
      </c>
      <c r="C337" s="2" t="s">
        <v>363</v>
      </c>
      <c r="D337" s="2" t="s">
        <v>254</v>
      </c>
      <c r="E337" s="8">
        <v>5.1999999999999998E-2</v>
      </c>
      <c r="F337" s="7" t="s">
        <v>1758</v>
      </c>
      <c r="G337" s="2" t="s">
        <v>180</v>
      </c>
      <c r="H337" s="2" t="s">
        <v>1759</v>
      </c>
      <c r="I337" s="2" t="s">
        <v>1776</v>
      </c>
      <c r="J337" s="2" t="s">
        <v>1777</v>
      </c>
      <c r="K337" s="2" t="s">
        <v>1986</v>
      </c>
      <c r="L337" s="2" t="s">
        <v>45</v>
      </c>
    </row>
    <row r="338" spans="1:12" ht="37" customHeight="1">
      <c r="A338" s="2" t="s">
        <v>364</v>
      </c>
      <c r="B338" s="2" t="s">
        <v>224</v>
      </c>
      <c r="C338" s="2" t="s">
        <v>363</v>
      </c>
      <c r="D338" s="2" t="s">
        <v>124</v>
      </c>
      <c r="E338" s="6">
        <v>10</v>
      </c>
      <c r="F338" s="7" t="s">
        <v>1763</v>
      </c>
      <c r="G338" s="2" t="s">
        <v>180</v>
      </c>
      <c r="H338" s="2" t="s">
        <v>1759</v>
      </c>
      <c r="I338" s="2" t="s">
        <v>1776</v>
      </c>
      <c r="J338" s="2" t="s">
        <v>1777</v>
      </c>
      <c r="K338" s="2" t="s">
        <v>1986</v>
      </c>
      <c r="L338" s="2" t="s">
        <v>45</v>
      </c>
    </row>
    <row r="339" spans="1:12" ht="37" customHeight="1">
      <c r="A339" s="2" t="s">
        <v>364</v>
      </c>
      <c r="B339" s="2" t="s">
        <v>224</v>
      </c>
      <c r="C339" s="2" t="s">
        <v>363</v>
      </c>
      <c r="D339" s="2" t="s">
        <v>65</v>
      </c>
      <c r="E339" s="7"/>
      <c r="F339" s="7" t="s">
        <v>1763</v>
      </c>
      <c r="G339" s="2" t="s">
        <v>180</v>
      </c>
      <c r="H339" s="2" t="s">
        <v>1773</v>
      </c>
      <c r="I339" s="2"/>
      <c r="J339" s="2"/>
      <c r="K339" s="2" t="s">
        <v>1986</v>
      </c>
      <c r="L339" s="2" t="s">
        <v>45</v>
      </c>
    </row>
    <row r="340" spans="1:12" ht="37" customHeight="1">
      <c r="A340" s="2" t="s">
        <v>364</v>
      </c>
      <c r="B340" s="2" t="s">
        <v>224</v>
      </c>
      <c r="C340" s="2" t="s">
        <v>363</v>
      </c>
      <c r="D340" s="2" t="s">
        <v>222</v>
      </c>
      <c r="E340" s="5">
        <v>0.34</v>
      </c>
      <c r="F340" s="7" t="s">
        <v>1764</v>
      </c>
      <c r="G340" s="2" t="s">
        <v>180</v>
      </c>
      <c r="H340" s="2" t="s">
        <v>1759</v>
      </c>
      <c r="I340" s="2" t="s">
        <v>1776</v>
      </c>
      <c r="J340" s="2" t="s">
        <v>1777</v>
      </c>
      <c r="K340" s="2" t="s">
        <v>1986</v>
      </c>
      <c r="L340" s="2" t="s">
        <v>45</v>
      </c>
    </row>
    <row r="341" spans="1:12" ht="37" customHeight="1">
      <c r="A341" s="2" t="s">
        <v>364</v>
      </c>
      <c r="B341" s="2" t="s">
        <v>224</v>
      </c>
      <c r="C341" s="2" t="s">
        <v>363</v>
      </c>
      <c r="D341" s="2" t="s">
        <v>1765</v>
      </c>
      <c r="E341" s="5" t="s">
        <v>86</v>
      </c>
      <c r="F341" s="7" t="s">
        <v>1766</v>
      </c>
      <c r="G341" s="2" t="s">
        <v>180</v>
      </c>
      <c r="H341" s="2" t="s">
        <v>1759</v>
      </c>
      <c r="I341" s="2" t="s">
        <v>1767</v>
      </c>
      <c r="J341" s="2"/>
      <c r="K341" t="s">
        <v>1933</v>
      </c>
    </row>
    <row r="342" spans="1:12" ht="37" customHeight="1">
      <c r="A342" s="2" t="s">
        <v>368</v>
      </c>
      <c r="B342" s="2" t="s">
        <v>224</v>
      </c>
      <c r="C342" s="2" t="s">
        <v>366</v>
      </c>
      <c r="D342" s="2" t="s">
        <v>1757</v>
      </c>
      <c r="E342" s="5">
        <v>0.33</v>
      </c>
      <c r="F342" s="7" t="s">
        <v>1758</v>
      </c>
      <c r="G342" s="2" t="s">
        <v>150</v>
      </c>
      <c r="H342" s="2" t="s">
        <v>1759</v>
      </c>
      <c r="I342" s="2" t="s">
        <v>1987</v>
      </c>
      <c r="J342" s="2" t="s">
        <v>1855</v>
      </c>
      <c r="K342" s="2" t="s">
        <v>1988</v>
      </c>
      <c r="L342" s="2" t="s">
        <v>45</v>
      </c>
    </row>
    <row r="343" spans="1:12" ht="64" customHeight="1">
      <c r="A343" s="2" t="s">
        <v>368</v>
      </c>
      <c r="B343" s="2" t="s">
        <v>224</v>
      </c>
      <c r="C343" s="2" t="s">
        <v>366</v>
      </c>
      <c r="D343" s="2" t="s">
        <v>254</v>
      </c>
      <c r="E343" s="5">
        <v>0.09</v>
      </c>
      <c r="F343" s="7" t="s">
        <v>1758</v>
      </c>
      <c r="G343" s="2" t="s">
        <v>150</v>
      </c>
      <c r="H343" s="2" t="s">
        <v>1759</v>
      </c>
      <c r="I343" s="2" t="s">
        <v>1987</v>
      </c>
      <c r="J343" s="2" t="s">
        <v>1855</v>
      </c>
      <c r="K343" s="2" t="s">
        <v>1988</v>
      </c>
      <c r="L343" s="2" t="s">
        <v>45</v>
      </c>
    </row>
    <row r="344" spans="1:12" ht="64" customHeight="1">
      <c r="A344" s="2" t="s">
        <v>368</v>
      </c>
      <c r="B344" s="2" t="s">
        <v>224</v>
      </c>
      <c r="C344" s="2" t="s">
        <v>366</v>
      </c>
      <c r="D344" s="2" t="s">
        <v>124</v>
      </c>
      <c r="E344" s="11">
        <v>1</v>
      </c>
      <c r="F344" s="20" t="s">
        <v>1763</v>
      </c>
      <c r="G344" s="21" t="s">
        <v>150</v>
      </c>
      <c r="H344" s="21" t="s">
        <v>1779</v>
      </c>
      <c r="I344" s="2" t="s">
        <v>1989</v>
      </c>
      <c r="J344" s="2" t="s">
        <v>1990</v>
      </c>
      <c r="K344" s="2" t="s">
        <v>1991</v>
      </c>
      <c r="L344" s="2" t="s">
        <v>45</v>
      </c>
    </row>
    <row r="345" spans="1:12" ht="37" customHeight="1">
      <c r="A345" s="2" t="s">
        <v>368</v>
      </c>
      <c r="B345" s="2" t="s">
        <v>224</v>
      </c>
      <c r="C345" s="2" t="s">
        <v>366</v>
      </c>
      <c r="D345" s="2" t="s">
        <v>65</v>
      </c>
      <c r="E345" s="11">
        <v>0</v>
      </c>
      <c r="F345" s="20" t="s">
        <v>1763</v>
      </c>
      <c r="G345" s="21" t="s">
        <v>150</v>
      </c>
      <c r="H345" s="21" t="s">
        <v>1779</v>
      </c>
      <c r="I345" s="2" t="s">
        <v>1989</v>
      </c>
      <c r="J345" s="2" t="s">
        <v>1990</v>
      </c>
      <c r="K345" s="2" t="s">
        <v>1992</v>
      </c>
      <c r="L345" s="2" t="s">
        <v>45</v>
      </c>
    </row>
    <row r="346" spans="1:12" ht="37" customHeight="1">
      <c r="A346" s="2" t="s">
        <v>368</v>
      </c>
      <c r="B346" s="2" t="s">
        <v>224</v>
      </c>
      <c r="C346" s="2" t="s">
        <v>366</v>
      </c>
      <c r="D346" s="2" t="s">
        <v>222</v>
      </c>
      <c r="E346" s="8">
        <v>5.0000000000000001E-3</v>
      </c>
      <c r="F346" s="7" t="s">
        <v>1764</v>
      </c>
      <c r="G346" s="2" t="s">
        <v>150</v>
      </c>
      <c r="H346" s="2" t="s">
        <v>1759</v>
      </c>
      <c r="I346" s="2" t="s">
        <v>1987</v>
      </c>
      <c r="J346" s="2" t="s">
        <v>1855</v>
      </c>
      <c r="K346" s="2" t="s">
        <v>1988</v>
      </c>
      <c r="L346" s="2" t="s">
        <v>45</v>
      </c>
    </row>
    <row r="347" spans="1:12" ht="37" customHeight="1">
      <c r="A347" s="2" t="s">
        <v>368</v>
      </c>
      <c r="B347" s="2" t="s">
        <v>224</v>
      </c>
      <c r="C347" s="2" t="s">
        <v>366</v>
      </c>
      <c r="D347" s="2" t="s">
        <v>1765</v>
      </c>
      <c r="E347" s="8" t="s">
        <v>243</v>
      </c>
      <c r="F347" s="7" t="s">
        <v>1766</v>
      </c>
      <c r="G347" s="2" t="s">
        <v>150</v>
      </c>
      <c r="H347" s="2" t="s">
        <v>1759</v>
      </c>
      <c r="I347" s="2" t="s">
        <v>1767</v>
      </c>
      <c r="J347" s="2"/>
      <c r="K347" t="s">
        <v>1993</v>
      </c>
    </row>
    <row r="348" spans="1:12" ht="64" customHeight="1">
      <c r="A348" s="2" t="s">
        <v>372</v>
      </c>
      <c r="B348" s="2" t="s">
        <v>224</v>
      </c>
      <c r="C348" s="2" t="s">
        <v>371</v>
      </c>
      <c r="D348" s="2" t="s">
        <v>1757</v>
      </c>
      <c r="E348" s="4">
        <v>0.7</v>
      </c>
      <c r="F348" s="7" t="s">
        <v>1758</v>
      </c>
      <c r="G348" s="2" t="s">
        <v>29</v>
      </c>
      <c r="H348" s="2" t="s">
        <v>1759</v>
      </c>
      <c r="I348" s="2" t="s">
        <v>1994</v>
      </c>
      <c r="J348" s="2" t="s">
        <v>1855</v>
      </c>
      <c r="K348" s="2" t="s">
        <v>1995</v>
      </c>
      <c r="L348" s="2" t="s">
        <v>45</v>
      </c>
    </row>
    <row r="349" spans="1:12" ht="64" customHeight="1">
      <c r="A349" s="2" t="s">
        <v>372</v>
      </c>
      <c r="B349" s="2" t="s">
        <v>224</v>
      </c>
      <c r="C349" s="2" t="s">
        <v>371</v>
      </c>
      <c r="D349" s="2" t="s">
        <v>254</v>
      </c>
      <c r="E349" s="5">
        <v>0.25</v>
      </c>
      <c r="F349" s="7" t="s">
        <v>1758</v>
      </c>
      <c r="G349" s="2" t="s">
        <v>29</v>
      </c>
      <c r="H349" s="2" t="s">
        <v>1759</v>
      </c>
      <c r="I349" s="2" t="s">
        <v>1994</v>
      </c>
      <c r="J349" s="2" t="s">
        <v>1855</v>
      </c>
      <c r="K349" s="2" t="s">
        <v>1995</v>
      </c>
      <c r="L349" s="2" t="s">
        <v>45</v>
      </c>
    </row>
    <row r="350" spans="1:12" ht="37" customHeight="1">
      <c r="A350" s="2" t="s">
        <v>372</v>
      </c>
      <c r="B350" s="2" t="s">
        <v>224</v>
      </c>
      <c r="C350" s="2" t="s">
        <v>371</v>
      </c>
      <c r="D350" s="2" t="s">
        <v>124</v>
      </c>
      <c r="E350" s="7"/>
      <c r="F350" s="7" t="s">
        <v>1763</v>
      </c>
      <c r="G350" s="2" t="s">
        <v>29</v>
      </c>
      <c r="H350" s="2" t="s">
        <v>1773</v>
      </c>
      <c r="I350" s="2"/>
      <c r="J350" s="2"/>
      <c r="K350" s="2" t="s">
        <v>1995</v>
      </c>
      <c r="L350" s="2" t="s">
        <v>45</v>
      </c>
    </row>
    <row r="351" spans="1:12" ht="37" customHeight="1">
      <c r="A351" s="2" t="s">
        <v>372</v>
      </c>
      <c r="B351" s="2" t="s">
        <v>224</v>
      </c>
      <c r="C351" s="2" t="s">
        <v>371</v>
      </c>
      <c r="D351" s="2" t="s">
        <v>65</v>
      </c>
      <c r="E351" s="7"/>
      <c r="F351" s="7" t="s">
        <v>1763</v>
      </c>
      <c r="G351" s="2" t="s">
        <v>29</v>
      </c>
      <c r="H351" s="2" t="s">
        <v>1773</v>
      </c>
      <c r="I351" s="2"/>
      <c r="J351" s="2"/>
      <c r="K351" s="2" t="s">
        <v>1995</v>
      </c>
      <c r="L351" s="2" t="s">
        <v>45</v>
      </c>
    </row>
    <row r="352" spans="1:12" ht="37" customHeight="1">
      <c r="A352" s="2" t="s">
        <v>372</v>
      </c>
      <c r="B352" s="2" t="s">
        <v>224</v>
      </c>
      <c r="C352" s="2" t="s">
        <v>371</v>
      </c>
      <c r="D352" s="2" t="s">
        <v>222</v>
      </c>
      <c r="E352" s="8">
        <v>7.4999999999999997E-2</v>
      </c>
      <c r="F352" s="7" t="s">
        <v>1764</v>
      </c>
      <c r="G352" s="2" t="s">
        <v>29</v>
      </c>
      <c r="H352" s="2" t="s">
        <v>1759</v>
      </c>
      <c r="I352" s="2" t="s">
        <v>1994</v>
      </c>
      <c r="J352" s="2" t="s">
        <v>1855</v>
      </c>
      <c r="K352" s="2" t="s">
        <v>1995</v>
      </c>
      <c r="L352" s="2" t="s">
        <v>45</v>
      </c>
    </row>
    <row r="353" spans="1:12" ht="64" customHeight="1">
      <c r="A353" s="2" t="s">
        <v>372</v>
      </c>
      <c r="B353" s="2" t="s">
        <v>224</v>
      </c>
      <c r="C353" s="2" t="s">
        <v>371</v>
      </c>
      <c r="D353" s="2" t="s">
        <v>1765</v>
      </c>
      <c r="E353" s="8" t="s">
        <v>243</v>
      </c>
      <c r="F353" s="7" t="s">
        <v>1766</v>
      </c>
      <c r="G353" s="2" t="s">
        <v>29</v>
      </c>
      <c r="H353" s="2" t="s">
        <v>1759</v>
      </c>
      <c r="I353" s="2" t="s">
        <v>1767</v>
      </c>
      <c r="J353" s="2"/>
      <c r="K353" t="s">
        <v>1795</v>
      </c>
    </row>
    <row r="354" spans="1:12" ht="64" customHeight="1">
      <c r="A354" s="2" t="s">
        <v>378</v>
      </c>
      <c r="B354" s="2" t="s">
        <v>224</v>
      </c>
      <c r="C354" s="2" t="s">
        <v>374</v>
      </c>
      <c r="D354" s="2" t="s">
        <v>1757</v>
      </c>
      <c r="E354" s="5">
        <v>0.64</v>
      </c>
      <c r="F354" s="7" t="s">
        <v>1758</v>
      </c>
      <c r="G354" s="2" t="s">
        <v>376</v>
      </c>
      <c r="H354" s="2" t="s">
        <v>1759</v>
      </c>
      <c r="I354" s="2" t="s">
        <v>1996</v>
      </c>
      <c r="J354" s="2" t="s">
        <v>1997</v>
      </c>
      <c r="K354" s="2" t="s">
        <v>1998</v>
      </c>
      <c r="L354" s="2" t="s">
        <v>45</v>
      </c>
    </row>
    <row r="355" spans="1:12" ht="37" customHeight="1">
      <c r="A355" s="2" t="s">
        <v>378</v>
      </c>
      <c r="B355" s="2" t="s">
        <v>224</v>
      </c>
      <c r="C355" s="2" t="s">
        <v>374</v>
      </c>
      <c r="D355" s="2" t="s">
        <v>254</v>
      </c>
      <c r="E355" s="5">
        <v>0.36</v>
      </c>
      <c r="F355" s="7" t="s">
        <v>1758</v>
      </c>
      <c r="G355" s="2" t="s">
        <v>376</v>
      </c>
      <c r="H355" s="2" t="s">
        <v>1759</v>
      </c>
      <c r="I355" s="2" t="s">
        <v>1996</v>
      </c>
      <c r="J355" s="2" t="s">
        <v>1997</v>
      </c>
      <c r="K355" s="2" t="s">
        <v>1998</v>
      </c>
      <c r="L355" s="2" t="s">
        <v>45</v>
      </c>
    </row>
    <row r="356" spans="1:12" ht="37" customHeight="1">
      <c r="A356" s="2" t="s">
        <v>378</v>
      </c>
      <c r="B356" s="2" t="s">
        <v>224</v>
      </c>
      <c r="C356" s="2" t="s">
        <v>374</v>
      </c>
      <c r="D356" s="2" t="s">
        <v>124</v>
      </c>
      <c r="E356" s="4">
        <v>2.5</v>
      </c>
      <c r="F356" s="7" t="s">
        <v>1763</v>
      </c>
      <c r="G356" s="2" t="s">
        <v>376</v>
      </c>
      <c r="H356" s="2" t="s">
        <v>1759</v>
      </c>
      <c r="I356" s="2" t="s">
        <v>1996</v>
      </c>
      <c r="J356" s="2" t="s">
        <v>1997</v>
      </c>
      <c r="K356" s="2" t="s">
        <v>1998</v>
      </c>
      <c r="L356" s="2" t="s">
        <v>45</v>
      </c>
    </row>
    <row r="357" spans="1:12" ht="37" customHeight="1">
      <c r="A357" s="2" t="s">
        <v>378</v>
      </c>
      <c r="B357" s="2" t="s">
        <v>224</v>
      </c>
      <c r="C357" s="2" t="s">
        <v>374</v>
      </c>
      <c r="D357" s="2" t="s">
        <v>65</v>
      </c>
      <c r="E357" s="4">
        <v>0.7</v>
      </c>
      <c r="F357" s="7" t="s">
        <v>1763</v>
      </c>
      <c r="G357" s="2" t="s">
        <v>376</v>
      </c>
      <c r="H357" s="2" t="s">
        <v>1759</v>
      </c>
      <c r="I357" s="2" t="s">
        <v>1996</v>
      </c>
      <c r="J357" s="2" t="s">
        <v>1997</v>
      </c>
      <c r="K357" s="2" t="s">
        <v>1998</v>
      </c>
      <c r="L357" s="2" t="s">
        <v>45</v>
      </c>
    </row>
    <row r="358" spans="1:12" ht="37" customHeight="1">
      <c r="A358" s="2" t="s">
        <v>378</v>
      </c>
      <c r="B358" s="2" t="s">
        <v>224</v>
      </c>
      <c r="C358" s="2" t="s">
        <v>374</v>
      </c>
      <c r="D358" s="2" t="s">
        <v>222</v>
      </c>
      <c r="E358" s="4">
        <v>0.3</v>
      </c>
      <c r="F358" s="7" t="s">
        <v>1764</v>
      </c>
      <c r="G358" s="2" t="s">
        <v>376</v>
      </c>
      <c r="H358" s="2" t="s">
        <v>1759</v>
      </c>
      <c r="I358" s="2" t="s">
        <v>1996</v>
      </c>
      <c r="J358" s="2" t="s">
        <v>1997</v>
      </c>
      <c r="K358" s="2" t="s">
        <v>1998</v>
      </c>
      <c r="L358" s="2" t="s">
        <v>45</v>
      </c>
    </row>
    <row r="359" spans="1:12" ht="37" customHeight="1">
      <c r="A359" s="2" t="s">
        <v>378</v>
      </c>
      <c r="B359" s="2" t="s">
        <v>224</v>
      </c>
      <c r="C359" s="2" t="s">
        <v>374</v>
      </c>
      <c r="D359" s="2" t="s">
        <v>1765</v>
      </c>
      <c r="E359" s="4" t="s">
        <v>375</v>
      </c>
      <c r="F359" s="7" t="s">
        <v>1766</v>
      </c>
      <c r="G359" s="2" t="s">
        <v>376</v>
      </c>
      <c r="H359" s="2" t="s">
        <v>1759</v>
      </c>
      <c r="I359" s="2" t="s">
        <v>1767</v>
      </c>
      <c r="J359" s="2"/>
      <c r="K359" t="s">
        <v>1795</v>
      </c>
    </row>
    <row r="360" spans="1:12" ht="37" customHeight="1">
      <c r="A360" s="2" t="s">
        <v>383</v>
      </c>
      <c r="B360" s="2" t="s">
        <v>224</v>
      </c>
      <c r="C360" s="2" t="s">
        <v>379</v>
      </c>
      <c r="D360" s="2" t="s">
        <v>1757</v>
      </c>
      <c r="E360" s="4">
        <v>5.5</v>
      </c>
      <c r="F360" s="7" t="s">
        <v>1758</v>
      </c>
      <c r="G360" s="2" t="s">
        <v>29</v>
      </c>
      <c r="H360" s="2" t="s">
        <v>1759</v>
      </c>
      <c r="I360" s="2" t="s">
        <v>1999</v>
      </c>
      <c r="J360" s="2" t="s">
        <v>2000</v>
      </c>
      <c r="K360" s="2" t="s">
        <v>2001</v>
      </c>
      <c r="L360" s="2" t="s">
        <v>45</v>
      </c>
    </row>
    <row r="361" spans="1:12" ht="34" customHeight="1">
      <c r="A361" s="2" t="s">
        <v>383</v>
      </c>
      <c r="B361" s="2" t="s">
        <v>224</v>
      </c>
      <c r="C361" s="2" t="s">
        <v>379</v>
      </c>
      <c r="D361" s="2" t="s">
        <v>254</v>
      </c>
      <c r="E361" s="4">
        <v>2.1</v>
      </c>
      <c r="F361" s="7" t="s">
        <v>1758</v>
      </c>
      <c r="G361" s="2" t="s">
        <v>29</v>
      </c>
      <c r="H361" s="2" t="s">
        <v>1759</v>
      </c>
      <c r="I361" s="2" t="s">
        <v>1999</v>
      </c>
      <c r="J361" s="2" t="s">
        <v>2000</v>
      </c>
      <c r="K361" s="2" t="s">
        <v>2001</v>
      </c>
      <c r="L361" s="2" t="s">
        <v>45</v>
      </c>
    </row>
    <row r="362" spans="1:12" ht="34" customHeight="1">
      <c r="A362" s="2" t="s">
        <v>383</v>
      </c>
      <c r="B362" s="2" t="s">
        <v>224</v>
      </c>
      <c r="C362" s="2" t="s">
        <v>379</v>
      </c>
      <c r="D362" s="2" t="s">
        <v>124</v>
      </c>
      <c r="E362" s="6">
        <v>2</v>
      </c>
      <c r="F362" s="7" t="s">
        <v>1763</v>
      </c>
      <c r="G362" s="2" t="s">
        <v>29</v>
      </c>
      <c r="H362" s="2" t="s">
        <v>1759</v>
      </c>
      <c r="I362" s="2" t="s">
        <v>1999</v>
      </c>
      <c r="J362" s="2" t="s">
        <v>2000</v>
      </c>
      <c r="K362" s="2" t="s">
        <v>2001</v>
      </c>
      <c r="L362" s="2" t="s">
        <v>45</v>
      </c>
    </row>
    <row r="363" spans="1:12" ht="34" customHeight="1">
      <c r="A363" s="2" t="s">
        <v>383</v>
      </c>
      <c r="B363" s="2" t="s">
        <v>224</v>
      </c>
      <c r="C363" s="2" t="s">
        <v>379</v>
      </c>
      <c r="D363" s="2" t="s">
        <v>65</v>
      </c>
      <c r="E363" s="5">
        <v>0.35</v>
      </c>
      <c r="F363" s="7" t="s">
        <v>1763</v>
      </c>
      <c r="G363" s="2" t="s">
        <v>29</v>
      </c>
      <c r="H363" s="2" t="s">
        <v>1759</v>
      </c>
      <c r="I363" s="2" t="s">
        <v>1999</v>
      </c>
      <c r="J363" s="2" t="s">
        <v>2000</v>
      </c>
      <c r="K363" s="2" t="s">
        <v>2001</v>
      </c>
      <c r="L363" s="2" t="s">
        <v>45</v>
      </c>
    </row>
    <row r="364" spans="1:12" ht="34" customHeight="1">
      <c r="A364" s="2" t="s">
        <v>383</v>
      </c>
      <c r="B364" s="2" t="s">
        <v>224</v>
      </c>
      <c r="C364" s="2" t="s">
        <v>379</v>
      </c>
      <c r="D364" s="2" t="s">
        <v>222</v>
      </c>
      <c r="E364" s="4">
        <v>16.7</v>
      </c>
      <c r="F364" s="7" t="s">
        <v>1764</v>
      </c>
      <c r="G364" s="2" t="s">
        <v>29</v>
      </c>
      <c r="H364" s="2" t="s">
        <v>1759</v>
      </c>
      <c r="I364" s="2" t="s">
        <v>1999</v>
      </c>
      <c r="J364" s="2" t="s">
        <v>2000</v>
      </c>
      <c r="K364" s="2" t="s">
        <v>2001</v>
      </c>
      <c r="L364" s="2" t="s">
        <v>45</v>
      </c>
    </row>
    <row r="365" spans="1:12" ht="34" customHeight="1">
      <c r="A365" s="2" t="s">
        <v>383</v>
      </c>
      <c r="B365" s="2" t="s">
        <v>224</v>
      </c>
      <c r="C365" s="2" t="s">
        <v>379</v>
      </c>
      <c r="D365" s="2" t="s">
        <v>1765</v>
      </c>
      <c r="E365" s="4" t="s">
        <v>380</v>
      </c>
      <c r="F365" s="7" t="s">
        <v>1766</v>
      </c>
      <c r="G365" s="2" t="s">
        <v>29</v>
      </c>
      <c r="H365" s="2" t="s">
        <v>1759</v>
      </c>
      <c r="I365" s="2" t="s">
        <v>1767</v>
      </c>
      <c r="J365" s="2"/>
      <c r="K365" t="s">
        <v>2002</v>
      </c>
    </row>
    <row r="366" spans="1:12" ht="37" customHeight="1">
      <c r="A366" s="2" t="s">
        <v>389</v>
      </c>
      <c r="B366" s="2" t="s">
        <v>224</v>
      </c>
      <c r="C366" s="2" t="s">
        <v>386</v>
      </c>
      <c r="D366" s="2" t="s">
        <v>1757</v>
      </c>
      <c r="E366" s="6">
        <v>7</v>
      </c>
      <c r="F366" s="7" t="s">
        <v>1758</v>
      </c>
      <c r="G366" s="2" t="s">
        <v>180</v>
      </c>
      <c r="H366" s="2" t="s">
        <v>1759</v>
      </c>
      <c r="I366" s="2" t="s">
        <v>1878</v>
      </c>
      <c r="J366" s="2" t="s">
        <v>1879</v>
      </c>
      <c r="K366" s="2" t="s">
        <v>2003</v>
      </c>
      <c r="L366" s="2" t="s">
        <v>35</v>
      </c>
    </row>
    <row r="367" spans="1:12" ht="37" customHeight="1">
      <c r="A367" s="2" t="s">
        <v>389</v>
      </c>
      <c r="B367" s="2" t="s">
        <v>224</v>
      </c>
      <c r="C367" s="2" t="s">
        <v>386</v>
      </c>
      <c r="D367" s="2" t="s">
        <v>254</v>
      </c>
      <c r="E367" s="5">
        <v>1.75</v>
      </c>
      <c r="F367" s="7" t="s">
        <v>1758</v>
      </c>
      <c r="G367" s="2" t="s">
        <v>180</v>
      </c>
      <c r="H367" s="2" t="s">
        <v>1759</v>
      </c>
      <c r="I367" s="2" t="s">
        <v>1878</v>
      </c>
      <c r="J367" s="2" t="s">
        <v>1879</v>
      </c>
      <c r="K367" s="2" t="s">
        <v>2003</v>
      </c>
      <c r="L367" s="2" t="s">
        <v>35</v>
      </c>
    </row>
    <row r="368" spans="1:12" ht="37" customHeight="1">
      <c r="A368" s="2" t="s">
        <v>389</v>
      </c>
      <c r="B368" s="2" t="s">
        <v>224</v>
      </c>
      <c r="C368" s="2" t="s">
        <v>386</v>
      </c>
      <c r="D368" s="2" t="s">
        <v>124</v>
      </c>
      <c r="E368" s="4">
        <v>1.8</v>
      </c>
      <c r="F368" s="7" t="s">
        <v>1763</v>
      </c>
      <c r="G368" s="2" t="s">
        <v>180</v>
      </c>
      <c r="H368" s="2" t="s">
        <v>1759</v>
      </c>
      <c r="I368" s="2" t="s">
        <v>2004</v>
      </c>
      <c r="J368" s="2" t="s">
        <v>2005</v>
      </c>
      <c r="K368" s="2" t="s">
        <v>2003</v>
      </c>
      <c r="L368" s="2" t="s">
        <v>35</v>
      </c>
    </row>
    <row r="369" spans="1:12" ht="37" customHeight="1">
      <c r="A369" s="2" t="s">
        <v>389</v>
      </c>
      <c r="B369" s="2" t="s">
        <v>224</v>
      </c>
      <c r="C369" s="2" t="s">
        <v>386</v>
      </c>
      <c r="D369" s="2" t="s">
        <v>65</v>
      </c>
      <c r="E369" s="4">
        <v>0.3</v>
      </c>
      <c r="F369" s="7" t="s">
        <v>1763</v>
      </c>
      <c r="G369" s="2" t="s">
        <v>180</v>
      </c>
      <c r="H369" s="2" t="s">
        <v>1759</v>
      </c>
      <c r="I369" s="2" t="s">
        <v>2004</v>
      </c>
      <c r="J369" s="2" t="s">
        <v>2005</v>
      </c>
      <c r="K369" s="2" t="s">
        <v>2003</v>
      </c>
      <c r="L369" s="2" t="s">
        <v>35</v>
      </c>
    </row>
    <row r="370" spans="1:12" ht="37" customHeight="1">
      <c r="A370" s="2" t="s">
        <v>389</v>
      </c>
      <c r="B370" s="2" t="s">
        <v>224</v>
      </c>
      <c r="C370" s="2" t="s">
        <v>386</v>
      </c>
      <c r="D370" s="2" t="s">
        <v>222</v>
      </c>
      <c r="E370" s="6">
        <v>12</v>
      </c>
      <c r="F370" s="7" t="s">
        <v>1764</v>
      </c>
      <c r="G370" s="2" t="s">
        <v>180</v>
      </c>
      <c r="H370" s="2" t="s">
        <v>1759</v>
      </c>
      <c r="I370" s="2" t="s">
        <v>1878</v>
      </c>
      <c r="J370" s="2" t="s">
        <v>1879</v>
      </c>
      <c r="K370" s="2" t="s">
        <v>2003</v>
      </c>
      <c r="L370" s="2" t="s">
        <v>35</v>
      </c>
    </row>
    <row r="371" spans="1:12" ht="37" customHeight="1">
      <c r="A371" s="2" t="s">
        <v>389</v>
      </c>
      <c r="B371" s="2" t="s">
        <v>224</v>
      </c>
      <c r="C371" s="2" t="s">
        <v>386</v>
      </c>
      <c r="D371" s="2" t="s">
        <v>1765</v>
      </c>
      <c r="E371" s="6" t="s">
        <v>387</v>
      </c>
      <c r="F371" s="7" t="s">
        <v>1766</v>
      </c>
      <c r="G371" s="2" t="s">
        <v>180</v>
      </c>
      <c r="H371" s="2" t="s">
        <v>1759</v>
      </c>
      <c r="I371" s="2" t="s">
        <v>1767</v>
      </c>
      <c r="J371" s="2"/>
      <c r="K371" t="s">
        <v>2006</v>
      </c>
    </row>
    <row r="372" spans="1:12" ht="37" customHeight="1">
      <c r="A372" s="2" t="s">
        <v>393</v>
      </c>
      <c r="B372" s="2" t="s">
        <v>224</v>
      </c>
      <c r="C372" s="2" t="s">
        <v>390</v>
      </c>
      <c r="D372" s="2" t="s">
        <v>1757</v>
      </c>
      <c r="E372" s="4">
        <v>0.4</v>
      </c>
      <c r="F372" s="7" t="s">
        <v>1758</v>
      </c>
      <c r="G372" s="2" t="s">
        <v>180</v>
      </c>
      <c r="H372" s="2" t="s">
        <v>1759</v>
      </c>
      <c r="I372" s="2" t="s">
        <v>2007</v>
      </c>
      <c r="J372" s="2" t="s">
        <v>1781</v>
      </c>
      <c r="K372" s="2" t="s">
        <v>2008</v>
      </c>
      <c r="L372" s="2" t="s">
        <v>122</v>
      </c>
    </row>
    <row r="373" spans="1:12" ht="37" customHeight="1">
      <c r="A373" s="2" t="s">
        <v>393</v>
      </c>
      <c r="B373" s="2" t="s">
        <v>224</v>
      </c>
      <c r="C373" s="2" t="s">
        <v>390</v>
      </c>
      <c r="D373" s="2" t="s">
        <v>254</v>
      </c>
      <c r="E373" s="4">
        <v>0.1</v>
      </c>
      <c r="F373" s="7" t="s">
        <v>1758</v>
      </c>
      <c r="G373" s="2" t="s">
        <v>180</v>
      </c>
      <c r="H373" s="2" t="s">
        <v>1759</v>
      </c>
      <c r="I373" s="2" t="s">
        <v>2007</v>
      </c>
      <c r="J373" s="2" t="s">
        <v>1781</v>
      </c>
      <c r="K373" s="2" t="s">
        <v>2008</v>
      </c>
      <c r="L373" s="2" t="s">
        <v>122</v>
      </c>
    </row>
    <row r="374" spans="1:12" ht="37" customHeight="1">
      <c r="A374" s="2" t="s">
        <v>393</v>
      </c>
      <c r="B374" s="2" t="s">
        <v>224</v>
      </c>
      <c r="C374" s="2" t="s">
        <v>390</v>
      </c>
      <c r="D374" s="2" t="s">
        <v>124</v>
      </c>
      <c r="E374" s="7" t="s">
        <v>391</v>
      </c>
      <c r="F374" s="7" t="s">
        <v>1763</v>
      </c>
      <c r="G374" s="2" t="s">
        <v>180</v>
      </c>
      <c r="H374" s="2" t="s">
        <v>1759</v>
      </c>
      <c r="I374" s="2" t="s">
        <v>2009</v>
      </c>
      <c r="J374" s="2" t="s">
        <v>1781</v>
      </c>
      <c r="K374" s="2" t="s">
        <v>2008</v>
      </c>
      <c r="L374" s="2" t="s">
        <v>122</v>
      </c>
    </row>
    <row r="375" spans="1:12" ht="37" customHeight="1">
      <c r="A375" s="2" t="s">
        <v>393</v>
      </c>
      <c r="B375" s="2" t="s">
        <v>224</v>
      </c>
      <c r="C375" s="2" t="s">
        <v>390</v>
      </c>
      <c r="D375" s="2" t="s">
        <v>65</v>
      </c>
      <c r="E375" s="7"/>
      <c r="F375" s="7" t="s">
        <v>1763</v>
      </c>
      <c r="G375" s="2" t="s">
        <v>180</v>
      </c>
      <c r="H375" s="2" t="s">
        <v>1773</v>
      </c>
      <c r="I375" s="2"/>
      <c r="J375" s="2"/>
      <c r="K375" s="2" t="s">
        <v>2008</v>
      </c>
      <c r="L375" s="2" t="s">
        <v>122</v>
      </c>
    </row>
    <row r="376" spans="1:12" ht="34" customHeight="1">
      <c r="A376" s="2" t="s">
        <v>393</v>
      </c>
      <c r="B376" s="2" t="s">
        <v>224</v>
      </c>
      <c r="C376" s="2" t="s">
        <v>390</v>
      </c>
      <c r="D376" s="2" t="s">
        <v>222</v>
      </c>
      <c r="E376" s="5">
        <v>0.05</v>
      </c>
      <c r="F376" s="7" t="s">
        <v>1764</v>
      </c>
      <c r="G376" s="2" t="s">
        <v>180</v>
      </c>
      <c r="H376" s="2" t="s">
        <v>1759</v>
      </c>
      <c r="I376" s="2" t="s">
        <v>2007</v>
      </c>
      <c r="J376" s="2" t="s">
        <v>1781</v>
      </c>
      <c r="K376" s="2" t="s">
        <v>2008</v>
      </c>
      <c r="L376" s="2" t="s">
        <v>122</v>
      </c>
    </row>
    <row r="377" spans="1:12" ht="34" customHeight="1">
      <c r="A377" s="2" t="s">
        <v>393</v>
      </c>
      <c r="B377" s="2" t="s">
        <v>224</v>
      </c>
      <c r="C377" s="2" t="s">
        <v>390</v>
      </c>
      <c r="D377" s="2" t="s">
        <v>1765</v>
      </c>
      <c r="E377" s="5" t="s">
        <v>392</v>
      </c>
      <c r="F377" s="7" t="s">
        <v>1766</v>
      </c>
      <c r="G377" s="2" t="s">
        <v>180</v>
      </c>
      <c r="H377" s="2" t="s">
        <v>1759</v>
      </c>
      <c r="I377" s="2" t="s">
        <v>1767</v>
      </c>
      <c r="J377" s="2"/>
      <c r="K377" t="s">
        <v>1817</v>
      </c>
    </row>
    <row r="378" spans="1:12" ht="34" customHeight="1">
      <c r="A378" s="2" t="s">
        <v>397</v>
      </c>
      <c r="B378" s="2" t="s">
        <v>224</v>
      </c>
      <c r="C378" s="2" t="s">
        <v>396</v>
      </c>
      <c r="D378" s="2" t="s">
        <v>1757</v>
      </c>
      <c r="E378" s="4">
        <v>0.4</v>
      </c>
      <c r="F378" s="7" t="s">
        <v>1758</v>
      </c>
      <c r="G378" s="2" t="s">
        <v>180</v>
      </c>
      <c r="H378" s="2" t="s">
        <v>1759</v>
      </c>
      <c r="I378" s="2" t="s">
        <v>2010</v>
      </c>
      <c r="J378" s="2" t="s">
        <v>1781</v>
      </c>
      <c r="K378" s="2" t="s">
        <v>2011</v>
      </c>
      <c r="L378" s="2" t="s">
        <v>122</v>
      </c>
    </row>
    <row r="379" spans="1:12" ht="34" customHeight="1">
      <c r="A379" s="2" t="s">
        <v>397</v>
      </c>
      <c r="B379" s="2" t="s">
        <v>224</v>
      </c>
      <c r="C379" s="2" t="s">
        <v>396</v>
      </c>
      <c r="D379" s="2" t="s">
        <v>254</v>
      </c>
      <c r="E379" s="4">
        <v>0.1</v>
      </c>
      <c r="F379" s="7" t="s">
        <v>1758</v>
      </c>
      <c r="G379" s="2" t="s">
        <v>180</v>
      </c>
      <c r="H379" s="2" t="s">
        <v>1759</v>
      </c>
      <c r="I379" s="2" t="s">
        <v>2010</v>
      </c>
      <c r="J379" s="2" t="s">
        <v>1781</v>
      </c>
      <c r="K379" s="2" t="s">
        <v>2011</v>
      </c>
      <c r="L379" s="2" t="s">
        <v>122</v>
      </c>
    </row>
    <row r="380" spans="1:12" ht="34" customHeight="1">
      <c r="A380" s="2" t="s">
        <v>397</v>
      </c>
      <c r="B380" s="2" t="s">
        <v>224</v>
      </c>
      <c r="C380" s="2" t="s">
        <v>396</v>
      </c>
      <c r="D380" s="2" t="s">
        <v>124</v>
      </c>
      <c r="E380" s="7" t="s">
        <v>391</v>
      </c>
      <c r="F380" s="7" t="s">
        <v>1763</v>
      </c>
      <c r="G380" s="2" t="s">
        <v>180</v>
      </c>
      <c r="H380" s="2" t="s">
        <v>1759</v>
      </c>
      <c r="I380" s="2" t="s">
        <v>2012</v>
      </c>
      <c r="J380" s="2" t="s">
        <v>1781</v>
      </c>
      <c r="K380" s="2" t="s">
        <v>2011</v>
      </c>
      <c r="L380" s="2" t="s">
        <v>122</v>
      </c>
    </row>
    <row r="381" spans="1:12" ht="34" customHeight="1">
      <c r="A381" s="2" t="s">
        <v>397</v>
      </c>
      <c r="B381" s="2" t="s">
        <v>224</v>
      </c>
      <c r="C381" s="2" t="s">
        <v>396</v>
      </c>
      <c r="D381" s="2" t="s">
        <v>65</v>
      </c>
      <c r="E381" s="7"/>
      <c r="F381" s="7" t="s">
        <v>1763</v>
      </c>
      <c r="G381" s="2" t="s">
        <v>180</v>
      </c>
      <c r="H381" s="2" t="s">
        <v>1773</v>
      </c>
      <c r="I381" s="2"/>
      <c r="J381" s="2"/>
      <c r="K381" s="2" t="s">
        <v>2011</v>
      </c>
      <c r="L381" s="2" t="s">
        <v>122</v>
      </c>
    </row>
    <row r="382" spans="1:12" ht="34" customHeight="1">
      <c r="A382" s="2" t="s">
        <v>397</v>
      </c>
      <c r="B382" s="2" t="s">
        <v>224</v>
      </c>
      <c r="C382" s="2" t="s">
        <v>396</v>
      </c>
      <c r="D382" s="2" t="s">
        <v>222</v>
      </c>
      <c r="E382" s="5">
        <v>0.04</v>
      </c>
      <c r="F382" s="7" t="s">
        <v>1764</v>
      </c>
      <c r="G382" s="2" t="s">
        <v>180</v>
      </c>
      <c r="H382" s="2" t="s">
        <v>1759</v>
      </c>
      <c r="I382" s="2" t="s">
        <v>2010</v>
      </c>
      <c r="J382" s="2" t="s">
        <v>1781</v>
      </c>
      <c r="K382" s="2" t="s">
        <v>2011</v>
      </c>
      <c r="L382" s="2" t="s">
        <v>122</v>
      </c>
    </row>
    <row r="383" spans="1:12" ht="34" customHeight="1">
      <c r="A383" s="2" t="s">
        <v>397</v>
      </c>
      <c r="B383" s="2" t="s">
        <v>224</v>
      </c>
      <c r="C383" s="2" t="s">
        <v>396</v>
      </c>
      <c r="D383" s="2" t="s">
        <v>1765</v>
      </c>
      <c r="E383" s="5" t="s">
        <v>392</v>
      </c>
      <c r="F383" s="7" t="s">
        <v>1766</v>
      </c>
      <c r="G383" s="2" t="s">
        <v>180</v>
      </c>
      <c r="H383" s="2" t="s">
        <v>1759</v>
      </c>
      <c r="I383" s="2" t="s">
        <v>1767</v>
      </c>
      <c r="J383" s="2"/>
      <c r="K383" t="s">
        <v>2013</v>
      </c>
    </row>
    <row r="384" spans="1:12" ht="34" customHeight="1">
      <c r="A384" s="2" t="s">
        <v>401</v>
      </c>
      <c r="B384" s="2" t="s">
        <v>224</v>
      </c>
      <c r="C384" s="2" t="s">
        <v>399</v>
      </c>
      <c r="D384" s="2" t="s">
        <v>1757</v>
      </c>
      <c r="E384" s="4">
        <v>0.3</v>
      </c>
      <c r="F384" s="7" t="s">
        <v>1758</v>
      </c>
      <c r="G384" s="2" t="s">
        <v>180</v>
      </c>
      <c r="H384" s="2" t="s">
        <v>1759</v>
      </c>
      <c r="I384" s="2" t="s">
        <v>2014</v>
      </c>
      <c r="J384" s="2" t="s">
        <v>1781</v>
      </c>
      <c r="K384" s="2" t="s">
        <v>2015</v>
      </c>
      <c r="L384" s="2" t="s">
        <v>122</v>
      </c>
    </row>
    <row r="385" spans="1:12" ht="34" customHeight="1">
      <c r="A385" s="2" t="s">
        <v>401</v>
      </c>
      <c r="B385" s="2" t="s">
        <v>224</v>
      </c>
      <c r="C385" s="2" t="s">
        <v>399</v>
      </c>
      <c r="D385" s="2" t="s">
        <v>254</v>
      </c>
      <c r="E385" s="5">
        <v>0.06</v>
      </c>
      <c r="F385" s="7" t="s">
        <v>1758</v>
      </c>
      <c r="G385" s="2" t="s">
        <v>180</v>
      </c>
      <c r="H385" s="2" t="s">
        <v>1759</v>
      </c>
      <c r="I385" s="2" t="s">
        <v>2014</v>
      </c>
      <c r="J385" s="2" t="s">
        <v>1781</v>
      </c>
      <c r="K385" s="2" t="s">
        <v>2015</v>
      </c>
      <c r="L385" s="2" t="s">
        <v>122</v>
      </c>
    </row>
    <row r="386" spans="1:12" ht="34" customHeight="1">
      <c r="A386" s="2" t="s">
        <v>401</v>
      </c>
      <c r="B386" s="2" t="s">
        <v>224</v>
      </c>
      <c r="C386" s="2" t="s">
        <v>399</v>
      </c>
      <c r="D386" s="2" t="s">
        <v>124</v>
      </c>
      <c r="E386" s="7"/>
      <c r="F386" s="7" t="s">
        <v>1763</v>
      </c>
      <c r="G386" s="2" t="s">
        <v>180</v>
      </c>
      <c r="H386" s="2" t="s">
        <v>1773</v>
      </c>
      <c r="I386" s="2"/>
      <c r="J386" s="2"/>
      <c r="K386" s="2" t="s">
        <v>2015</v>
      </c>
      <c r="L386" s="2" t="s">
        <v>122</v>
      </c>
    </row>
    <row r="387" spans="1:12" ht="34" customHeight="1">
      <c r="A387" s="2" t="s">
        <v>401</v>
      </c>
      <c r="B387" s="2" t="s">
        <v>224</v>
      </c>
      <c r="C387" s="2" t="s">
        <v>399</v>
      </c>
      <c r="D387" s="2" t="s">
        <v>65</v>
      </c>
      <c r="E387" s="7"/>
      <c r="F387" s="7" t="s">
        <v>1763</v>
      </c>
      <c r="G387" s="2" t="s">
        <v>180</v>
      </c>
      <c r="H387" s="2" t="s">
        <v>1773</v>
      </c>
      <c r="I387" s="2"/>
      <c r="J387" s="2"/>
      <c r="K387" s="2" t="s">
        <v>2015</v>
      </c>
      <c r="L387" s="2" t="s">
        <v>122</v>
      </c>
    </row>
    <row r="388" spans="1:12" ht="34" customHeight="1">
      <c r="A388" s="2" t="s">
        <v>401</v>
      </c>
      <c r="B388" s="2" t="s">
        <v>224</v>
      </c>
      <c r="C388" s="2" t="s">
        <v>399</v>
      </c>
      <c r="D388" s="2" t="s">
        <v>222</v>
      </c>
      <c r="E388" s="5">
        <v>0.01</v>
      </c>
      <c r="F388" s="7" t="s">
        <v>1764</v>
      </c>
      <c r="G388" s="2" t="s">
        <v>180</v>
      </c>
      <c r="H388" s="2" t="s">
        <v>1759</v>
      </c>
      <c r="I388" s="2" t="s">
        <v>2014</v>
      </c>
      <c r="J388" s="2" t="s">
        <v>1781</v>
      </c>
      <c r="K388" s="2" t="s">
        <v>2015</v>
      </c>
      <c r="L388" s="2" t="s">
        <v>122</v>
      </c>
    </row>
    <row r="389" spans="1:12" ht="34" customHeight="1">
      <c r="A389" s="2" t="s">
        <v>401</v>
      </c>
      <c r="B389" s="2" t="s">
        <v>224</v>
      </c>
      <c r="C389" s="2" t="s">
        <v>399</v>
      </c>
      <c r="D389" s="2" t="s">
        <v>1765</v>
      </c>
      <c r="E389" s="5" t="s">
        <v>400</v>
      </c>
      <c r="F389" s="7" t="s">
        <v>1766</v>
      </c>
      <c r="G389" s="2" t="s">
        <v>180</v>
      </c>
      <c r="H389" s="2" t="s">
        <v>1759</v>
      </c>
      <c r="I389" s="2" t="s">
        <v>1767</v>
      </c>
      <c r="J389" s="2"/>
      <c r="K389" t="s">
        <v>1817</v>
      </c>
    </row>
    <row r="390" spans="1:12" ht="34" customHeight="1">
      <c r="A390" s="2" t="s">
        <v>405</v>
      </c>
      <c r="B390" s="2" t="s">
        <v>224</v>
      </c>
      <c r="C390" s="2" t="s">
        <v>403</v>
      </c>
      <c r="D390" s="2" t="s">
        <v>1757</v>
      </c>
      <c r="E390" s="4">
        <v>0.3</v>
      </c>
      <c r="F390" s="7" t="s">
        <v>1758</v>
      </c>
      <c r="G390" s="2" t="s">
        <v>180</v>
      </c>
      <c r="H390" s="2" t="s">
        <v>1759</v>
      </c>
      <c r="I390" s="2" t="s">
        <v>1776</v>
      </c>
      <c r="J390" s="2" t="s">
        <v>1777</v>
      </c>
      <c r="K390" s="2" t="s">
        <v>2016</v>
      </c>
      <c r="L390" s="2" t="s">
        <v>45</v>
      </c>
    </row>
    <row r="391" spans="1:12" ht="50.5" customHeight="1">
      <c r="A391" s="2" t="s">
        <v>405</v>
      </c>
      <c r="B391" s="2" t="s">
        <v>224</v>
      </c>
      <c r="C391" s="2" t="s">
        <v>403</v>
      </c>
      <c r="D391" s="2" t="s">
        <v>254</v>
      </c>
      <c r="E391" s="5">
        <v>0.08</v>
      </c>
      <c r="F391" s="7" t="s">
        <v>1758</v>
      </c>
      <c r="G391" s="2" t="s">
        <v>180</v>
      </c>
      <c r="H391" s="2" t="s">
        <v>1759</v>
      </c>
      <c r="I391" s="2" t="s">
        <v>1776</v>
      </c>
      <c r="J391" s="2" t="s">
        <v>1777</v>
      </c>
      <c r="K391" s="2" t="s">
        <v>2016</v>
      </c>
      <c r="L391" s="2" t="s">
        <v>45</v>
      </c>
    </row>
    <row r="392" spans="1:12" ht="50.5" customHeight="1">
      <c r="A392" s="2" t="s">
        <v>405</v>
      </c>
      <c r="B392" s="2" t="s">
        <v>224</v>
      </c>
      <c r="C392" s="2" t="s">
        <v>403</v>
      </c>
      <c r="D392" s="2" t="s">
        <v>124</v>
      </c>
      <c r="E392" s="6">
        <v>1</v>
      </c>
      <c r="F392" s="7" t="s">
        <v>1763</v>
      </c>
      <c r="G392" s="2" t="s">
        <v>180</v>
      </c>
      <c r="H392" s="2" t="s">
        <v>1759</v>
      </c>
      <c r="I392" s="2" t="s">
        <v>1776</v>
      </c>
      <c r="J392" s="2" t="s">
        <v>1777</v>
      </c>
      <c r="K392" s="2" t="s">
        <v>2016</v>
      </c>
      <c r="L392" s="2" t="s">
        <v>45</v>
      </c>
    </row>
    <row r="393" spans="1:12" ht="77.5" customHeight="1">
      <c r="A393" s="2" t="s">
        <v>405</v>
      </c>
      <c r="B393" s="2" t="s">
        <v>224</v>
      </c>
      <c r="C393" s="2" t="s">
        <v>403</v>
      </c>
      <c r="D393" s="2" t="s">
        <v>65</v>
      </c>
      <c r="E393" s="7"/>
      <c r="F393" s="7" t="s">
        <v>1763</v>
      </c>
      <c r="G393" s="2" t="s">
        <v>180</v>
      </c>
      <c r="H393" s="2" t="s">
        <v>1773</v>
      </c>
      <c r="I393" s="2"/>
      <c r="J393" s="2"/>
      <c r="K393" s="2" t="s">
        <v>2016</v>
      </c>
      <c r="L393" s="2" t="s">
        <v>45</v>
      </c>
    </row>
    <row r="394" spans="1:12" ht="77.5" customHeight="1">
      <c r="A394" s="2" t="s">
        <v>405</v>
      </c>
      <c r="B394" s="2" t="s">
        <v>224</v>
      </c>
      <c r="C394" s="2" t="s">
        <v>403</v>
      </c>
      <c r="D394" s="2" t="s">
        <v>222</v>
      </c>
      <c r="E394" s="8">
        <v>1.0999999999999999E-2</v>
      </c>
      <c r="F394" s="7" t="s">
        <v>1764</v>
      </c>
      <c r="G394" s="2" t="s">
        <v>180</v>
      </c>
      <c r="H394" s="2" t="s">
        <v>1759</v>
      </c>
      <c r="I394" s="2" t="s">
        <v>1776</v>
      </c>
      <c r="J394" s="2" t="s">
        <v>1777</v>
      </c>
      <c r="K394" s="2" t="s">
        <v>2016</v>
      </c>
      <c r="L394" s="2" t="s">
        <v>45</v>
      </c>
    </row>
    <row r="395" spans="1:12" ht="50.5" customHeight="1">
      <c r="A395" s="2" t="s">
        <v>405</v>
      </c>
      <c r="B395" s="2" t="s">
        <v>224</v>
      </c>
      <c r="C395" s="2" t="s">
        <v>403</v>
      </c>
      <c r="D395" s="2" t="s">
        <v>1765</v>
      </c>
      <c r="E395" s="8" t="s">
        <v>404</v>
      </c>
      <c r="F395" s="7" t="s">
        <v>1766</v>
      </c>
      <c r="G395" s="2" t="s">
        <v>180</v>
      </c>
      <c r="H395" s="2" t="s">
        <v>1759</v>
      </c>
      <c r="I395" s="2" t="s">
        <v>1767</v>
      </c>
      <c r="J395" s="2"/>
      <c r="K395" t="s">
        <v>2017</v>
      </c>
    </row>
    <row r="396" spans="1:12" ht="50.5" customHeight="1">
      <c r="A396" s="2" t="s">
        <v>410</v>
      </c>
      <c r="B396" s="2" t="s">
        <v>224</v>
      </c>
      <c r="C396" s="2" t="s">
        <v>406</v>
      </c>
      <c r="D396" s="2" t="s">
        <v>1757</v>
      </c>
      <c r="E396" s="7"/>
      <c r="F396" s="7" t="s">
        <v>1758</v>
      </c>
      <c r="G396" s="2" t="s">
        <v>409</v>
      </c>
      <c r="H396" s="2" t="s">
        <v>1773</v>
      </c>
      <c r="I396" s="2"/>
      <c r="J396" s="2"/>
      <c r="K396" s="2" t="s">
        <v>2018</v>
      </c>
      <c r="L396" s="2" t="s">
        <v>45</v>
      </c>
    </row>
    <row r="397" spans="1:12" ht="50.5" customHeight="1">
      <c r="A397" s="2" t="s">
        <v>410</v>
      </c>
      <c r="B397" s="2" t="s">
        <v>224</v>
      </c>
      <c r="C397" s="2" t="s">
        <v>406</v>
      </c>
      <c r="D397" s="2" t="s">
        <v>254</v>
      </c>
      <c r="E397" s="7"/>
      <c r="F397" s="7" t="s">
        <v>1758</v>
      </c>
      <c r="G397" s="2" t="s">
        <v>409</v>
      </c>
      <c r="H397" s="2" t="s">
        <v>1773</v>
      </c>
      <c r="I397" s="2"/>
      <c r="J397" s="2"/>
      <c r="K397" s="2" t="s">
        <v>2018</v>
      </c>
      <c r="L397" s="2" t="s">
        <v>45</v>
      </c>
    </row>
    <row r="398" spans="1:12" ht="77.5" customHeight="1">
      <c r="A398" s="2" t="s">
        <v>410</v>
      </c>
      <c r="B398" s="2" t="s">
        <v>224</v>
      </c>
      <c r="C398" s="2" t="s">
        <v>406</v>
      </c>
      <c r="D398" s="2" t="s">
        <v>124</v>
      </c>
      <c r="E398" s="7" t="s">
        <v>407</v>
      </c>
      <c r="F398" s="7" t="s">
        <v>1763</v>
      </c>
      <c r="G398" s="2" t="s">
        <v>409</v>
      </c>
      <c r="H398" s="2" t="s">
        <v>1759</v>
      </c>
      <c r="I398" s="2" t="s">
        <v>2019</v>
      </c>
      <c r="J398" s="2" t="s">
        <v>1883</v>
      </c>
      <c r="K398" s="2" t="s">
        <v>2018</v>
      </c>
      <c r="L398" s="2" t="s">
        <v>45</v>
      </c>
    </row>
    <row r="399" spans="1:12" ht="77.5" customHeight="1">
      <c r="A399" s="2" t="s">
        <v>410</v>
      </c>
      <c r="B399" s="2" t="s">
        <v>224</v>
      </c>
      <c r="C399" s="2" t="s">
        <v>406</v>
      </c>
      <c r="D399" s="2" t="s">
        <v>65</v>
      </c>
      <c r="E399" s="7"/>
      <c r="F399" s="7" t="s">
        <v>1763</v>
      </c>
      <c r="G399" s="2" t="s">
        <v>409</v>
      </c>
      <c r="H399" s="2" t="s">
        <v>1773</v>
      </c>
      <c r="I399" s="2"/>
      <c r="J399" s="2"/>
      <c r="K399" s="2" t="s">
        <v>2018</v>
      </c>
      <c r="L399" s="2" t="s">
        <v>45</v>
      </c>
    </row>
    <row r="400" spans="1:12" ht="50.5" customHeight="1">
      <c r="A400" s="2" t="s">
        <v>410</v>
      </c>
      <c r="B400" s="2" t="s">
        <v>224</v>
      </c>
      <c r="C400" s="2" t="s">
        <v>406</v>
      </c>
      <c r="D400" s="2" t="s">
        <v>222</v>
      </c>
      <c r="E400" s="7"/>
      <c r="F400" s="7" t="s">
        <v>1764</v>
      </c>
      <c r="G400" s="2" t="s">
        <v>409</v>
      </c>
      <c r="H400" s="2" t="s">
        <v>1773</v>
      </c>
      <c r="I400" s="2"/>
      <c r="J400" s="2"/>
      <c r="K400" s="2" t="s">
        <v>2018</v>
      </c>
      <c r="L400" s="2" t="s">
        <v>45</v>
      </c>
    </row>
    <row r="401" spans="1:12" ht="37" customHeight="1">
      <c r="A401" s="2" t="s">
        <v>410</v>
      </c>
      <c r="B401" s="2" t="s">
        <v>224</v>
      </c>
      <c r="C401" s="2" t="s">
        <v>406</v>
      </c>
      <c r="D401" s="2" t="s">
        <v>1765</v>
      </c>
      <c r="E401" s="7" t="s">
        <v>408</v>
      </c>
      <c r="F401" s="7" t="s">
        <v>1766</v>
      </c>
      <c r="G401" s="2" t="s">
        <v>409</v>
      </c>
      <c r="H401" s="2" t="s">
        <v>1759</v>
      </c>
      <c r="I401" s="2" t="s">
        <v>1767</v>
      </c>
      <c r="J401" s="2"/>
      <c r="K401" t="s">
        <v>2020</v>
      </c>
    </row>
    <row r="402" spans="1:12" ht="37" customHeight="1">
      <c r="A402" s="2" t="s">
        <v>415</v>
      </c>
      <c r="B402" s="2" t="s">
        <v>224</v>
      </c>
      <c r="C402" s="2" t="s">
        <v>412</v>
      </c>
      <c r="D402" s="2" t="s">
        <v>1757</v>
      </c>
      <c r="E402" s="5">
        <v>0.11</v>
      </c>
      <c r="F402" s="7" t="s">
        <v>1758</v>
      </c>
      <c r="G402" s="2" t="s">
        <v>413</v>
      </c>
      <c r="H402" s="2" t="s">
        <v>1759</v>
      </c>
      <c r="I402" s="2" t="s">
        <v>2021</v>
      </c>
      <c r="J402" s="2" t="s">
        <v>2022</v>
      </c>
      <c r="K402" s="2" t="s">
        <v>2023</v>
      </c>
      <c r="L402" s="2" t="s">
        <v>45</v>
      </c>
    </row>
    <row r="403" spans="1:12" ht="37" customHeight="1">
      <c r="A403" s="2" t="s">
        <v>415</v>
      </c>
      <c r="B403" s="2" t="s">
        <v>224</v>
      </c>
      <c r="C403" s="2" t="s">
        <v>412</v>
      </c>
      <c r="D403" s="2" t="s">
        <v>254</v>
      </c>
      <c r="E403" s="8">
        <v>4.4999999999999998E-2</v>
      </c>
      <c r="F403" s="7" t="s">
        <v>1758</v>
      </c>
      <c r="G403" s="2" t="s">
        <v>413</v>
      </c>
      <c r="H403" s="2" t="s">
        <v>1759</v>
      </c>
      <c r="I403" s="2" t="s">
        <v>2021</v>
      </c>
      <c r="J403" s="2" t="s">
        <v>2022</v>
      </c>
      <c r="K403" s="2" t="s">
        <v>2023</v>
      </c>
      <c r="L403" s="2" t="s">
        <v>45</v>
      </c>
    </row>
    <row r="404" spans="1:12" ht="64" customHeight="1">
      <c r="A404" s="2" t="s">
        <v>415</v>
      </c>
      <c r="B404" s="2" t="s">
        <v>224</v>
      </c>
      <c r="C404" s="2" t="s">
        <v>412</v>
      </c>
      <c r="D404" s="2" t="s">
        <v>124</v>
      </c>
      <c r="E404" s="7"/>
      <c r="F404" s="7" t="s">
        <v>1763</v>
      </c>
      <c r="G404" s="2" t="s">
        <v>413</v>
      </c>
      <c r="H404" s="2" t="s">
        <v>1773</v>
      </c>
      <c r="I404" s="2"/>
      <c r="J404" s="2"/>
      <c r="K404" s="2" t="s">
        <v>2023</v>
      </c>
      <c r="L404" s="2" t="s">
        <v>45</v>
      </c>
    </row>
    <row r="405" spans="1:12" ht="37" customHeight="1">
      <c r="A405" s="2" t="s">
        <v>415</v>
      </c>
      <c r="B405" s="2" t="s">
        <v>224</v>
      </c>
      <c r="C405" s="2" t="s">
        <v>412</v>
      </c>
      <c r="D405" s="2" t="s">
        <v>65</v>
      </c>
      <c r="E405" s="7"/>
      <c r="F405" s="7" t="s">
        <v>1763</v>
      </c>
      <c r="G405" s="2" t="s">
        <v>413</v>
      </c>
      <c r="H405" s="2" t="s">
        <v>1773</v>
      </c>
      <c r="I405" s="2"/>
      <c r="J405" s="2"/>
      <c r="K405" s="2" t="s">
        <v>2023</v>
      </c>
      <c r="L405" s="2" t="s">
        <v>45</v>
      </c>
    </row>
    <row r="406" spans="1:12" ht="37" customHeight="1">
      <c r="A406" s="2" t="s">
        <v>415</v>
      </c>
      <c r="B406" s="2" t="s">
        <v>224</v>
      </c>
      <c r="C406" s="2" t="s">
        <v>412</v>
      </c>
      <c r="D406" s="2" t="s">
        <v>222</v>
      </c>
      <c r="E406" s="9">
        <v>2.5000000000000001E-3</v>
      </c>
      <c r="F406" s="7" t="s">
        <v>1764</v>
      </c>
      <c r="G406" s="2" t="s">
        <v>413</v>
      </c>
      <c r="H406" s="2" t="s">
        <v>1759</v>
      </c>
      <c r="I406" s="2" t="s">
        <v>2021</v>
      </c>
      <c r="J406" s="2" t="s">
        <v>2022</v>
      </c>
      <c r="K406" s="2" t="s">
        <v>2023</v>
      </c>
      <c r="L406" s="2" t="s">
        <v>45</v>
      </c>
    </row>
    <row r="407" spans="1:12" ht="37" customHeight="1">
      <c r="A407" s="2" t="s">
        <v>415</v>
      </c>
      <c r="B407" s="2" t="s">
        <v>224</v>
      </c>
      <c r="C407" s="2" t="s">
        <v>412</v>
      </c>
      <c r="D407" s="2" t="s">
        <v>1765</v>
      </c>
      <c r="E407" s="9" t="s">
        <v>408</v>
      </c>
      <c r="F407" s="7" t="s">
        <v>1766</v>
      </c>
      <c r="G407" s="2" t="s">
        <v>413</v>
      </c>
      <c r="H407" s="2" t="s">
        <v>1759</v>
      </c>
      <c r="I407" s="2" t="s">
        <v>1767</v>
      </c>
      <c r="J407" s="2"/>
      <c r="K407" t="s">
        <v>1795</v>
      </c>
    </row>
    <row r="408" spans="1:12" ht="37" customHeight="1">
      <c r="A408" s="2" t="s">
        <v>418</v>
      </c>
      <c r="B408" s="2" t="s">
        <v>224</v>
      </c>
      <c r="C408" s="2" t="s">
        <v>417</v>
      </c>
      <c r="D408" s="2" t="s">
        <v>1757</v>
      </c>
      <c r="E408" s="5">
        <v>0.25</v>
      </c>
      <c r="F408" s="7" t="s">
        <v>1758</v>
      </c>
      <c r="G408" s="2" t="s">
        <v>60</v>
      </c>
      <c r="H408" s="2" t="s">
        <v>1759</v>
      </c>
      <c r="I408" s="2" t="s">
        <v>2024</v>
      </c>
      <c r="J408" s="2" t="s">
        <v>1781</v>
      </c>
      <c r="K408" s="2" t="s">
        <v>2025</v>
      </c>
      <c r="L408" s="2" t="s">
        <v>122</v>
      </c>
    </row>
    <row r="409" spans="1:12" ht="34" customHeight="1">
      <c r="A409" s="2" t="s">
        <v>418</v>
      </c>
      <c r="B409" s="2" t="s">
        <v>224</v>
      </c>
      <c r="C409" s="2" t="s">
        <v>417</v>
      </c>
      <c r="D409" s="2" t="s">
        <v>254</v>
      </c>
      <c r="E409" s="7"/>
      <c r="F409" s="7" t="s">
        <v>1758</v>
      </c>
      <c r="G409" s="2" t="s">
        <v>60</v>
      </c>
      <c r="H409" s="2" t="s">
        <v>1773</v>
      </c>
      <c r="I409" s="2"/>
      <c r="J409" s="2"/>
      <c r="K409" s="2" t="s">
        <v>2025</v>
      </c>
      <c r="L409" s="2" t="s">
        <v>122</v>
      </c>
    </row>
    <row r="410" spans="1:12" ht="37" customHeight="1">
      <c r="A410" s="2" t="s">
        <v>418</v>
      </c>
      <c r="B410" s="2" t="s">
        <v>224</v>
      </c>
      <c r="C410" s="2" t="s">
        <v>417</v>
      </c>
      <c r="D410" s="2" t="s">
        <v>124</v>
      </c>
      <c r="E410" s="11">
        <v>1</v>
      </c>
      <c r="F410" s="20" t="s">
        <v>1763</v>
      </c>
      <c r="G410" s="21" t="s">
        <v>60</v>
      </c>
      <c r="H410" s="21" t="s">
        <v>1779</v>
      </c>
      <c r="I410" s="2" t="s">
        <v>2026</v>
      </c>
      <c r="J410" s="2" t="s">
        <v>1781</v>
      </c>
      <c r="K410" s="2" t="s">
        <v>2027</v>
      </c>
      <c r="L410" s="2" t="s">
        <v>122</v>
      </c>
    </row>
    <row r="411" spans="1:12" ht="37" customHeight="1">
      <c r="A411" s="2" t="s">
        <v>418</v>
      </c>
      <c r="B411" s="2" t="s">
        <v>224</v>
      </c>
      <c r="C411" s="2" t="s">
        <v>417</v>
      </c>
      <c r="D411" s="2" t="s">
        <v>65</v>
      </c>
      <c r="E411" s="11">
        <v>0</v>
      </c>
      <c r="F411" s="20" t="s">
        <v>1763</v>
      </c>
      <c r="G411" s="21" t="s">
        <v>60</v>
      </c>
      <c r="H411" s="21" t="s">
        <v>1779</v>
      </c>
      <c r="I411" s="2" t="s">
        <v>2026</v>
      </c>
      <c r="J411" s="2" t="s">
        <v>1781</v>
      </c>
      <c r="K411" s="2" t="s">
        <v>2028</v>
      </c>
      <c r="L411" s="2" t="s">
        <v>122</v>
      </c>
    </row>
    <row r="412" spans="1:12" ht="37" customHeight="1">
      <c r="A412" s="2" t="s">
        <v>418</v>
      </c>
      <c r="B412" s="2" t="s">
        <v>224</v>
      </c>
      <c r="C412" s="2" t="s">
        <v>417</v>
      </c>
      <c r="D412" s="2" t="s">
        <v>222</v>
      </c>
      <c r="E412" s="7"/>
      <c r="F412" s="7" t="s">
        <v>1764</v>
      </c>
      <c r="G412" s="2" t="s">
        <v>60</v>
      </c>
      <c r="H412" s="2" t="s">
        <v>1773</v>
      </c>
      <c r="I412" s="2"/>
      <c r="J412" s="2"/>
      <c r="K412" s="2" t="s">
        <v>2025</v>
      </c>
      <c r="L412" s="2" t="s">
        <v>122</v>
      </c>
    </row>
    <row r="413" spans="1:12" ht="37" customHeight="1">
      <c r="A413" s="2" t="s">
        <v>418</v>
      </c>
      <c r="B413" s="2" t="s">
        <v>224</v>
      </c>
      <c r="C413" s="2" t="s">
        <v>417</v>
      </c>
      <c r="D413" s="2" t="s">
        <v>1765</v>
      </c>
      <c r="E413" s="7"/>
      <c r="F413" s="7" t="s">
        <v>1766</v>
      </c>
      <c r="G413" s="2" t="s">
        <v>60</v>
      </c>
      <c r="H413" s="2" t="s">
        <v>1803</v>
      </c>
      <c r="I413" s="2"/>
      <c r="J413" s="2"/>
      <c r="K413" t="s">
        <v>1804</v>
      </c>
    </row>
    <row r="414" spans="1:12" ht="34" customHeight="1">
      <c r="A414" s="2" t="s">
        <v>421</v>
      </c>
      <c r="B414" s="2" t="s">
        <v>224</v>
      </c>
      <c r="C414" s="2" t="s">
        <v>420</v>
      </c>
      <c r="D414" s="2" t="s">
        <v>1757</v>
      </c>
      <c r="E414" s="4">
        <v>0.3</v>
      </c>
      <c r="F414" s="7" t="s">
        <v>1758</v>
      </c>
      <c r="G414" s="2" t="s">
        <v>60</v>
      </c>
      <c r="H414" s="2" t="s">
        <v>1759</v>
      </c>
      <c r="I414" s="2" t="s">
        <v>2029</v>
      </c>
      <c r="J414" s="2" t="s">
        <v>1781</v>
      </c>
      <c r="K414" s="2" t="s">
        <v>2025</v>
      </c>
      <c r="L414" s="2" t="s">
        <v>122</v>
      </c>
    </row>
    <row r="415" spans="1:12" ht="37" customHeight="1">
      <c r="A415" s="2" t="s">
        <v>421</v>
      </c>
      <c r="B415" s="2" t="s">
        <v>224</v>
      </c>
      <c r="C415" s="2" t="s">
        <v>420</v>
      </c>
      <c r="D415" s="2" t="s">
        <v>254</v>
      </c>
      <c r="E415" s="5">
        <v>0.12</v>
      </c>
      <c r="F415" s="7" t="s">
        <v>1758</v>
      </c>
      <c r="G415" s="2" t="s">
        <v>60</v>
      </c>
      <c r="H415" s="2" t="s">
        <v>1759</v>
      </c>
      <c r="I415" s="2" t="s">
        <v>2029</v>
      </c>
      <c r="J415" s="2" t="s">
        <v>1781</v>
      </c>
      <c r="K415" s="2" t="s">
        <v>2025</v>
      </c>
      <c r="L415" s="2" t="s">
        <v>122</v>
      </c>
    </row>
    <row r="416" spans="1:12" ht="34" customHeight="1">
      <c r="A416" s="2" t="s">
        <v>421</v>
      </c>
      <c r="B416" s="2" t="s">
        <v>224</v>
      </c>
      <c r="C416" s="2" t="s">
        <v>420</v>
      </c>
      <c r="D416" s="2" t="s">
        <v>124</v>
      </c>
      <c r="E416" s="11">
        <v>1</v>
      </c>
      <c r="F416" s="20" t="s">
        <v>1763</v>
      </c>
      <c r="G416" s="21" t="s">
        <v>60</v>
      </c>
      <c r="H416" s="21" t="s">
        <v>1779</v>
      </c>
      <c r="I416" s="2" t="s">
        <v>2030</v>
      </c>
      <c r="J416" s="2" t="s">
        <v>1781</v>
      </c>
      <c r="K416" s="2" t="s">
        <v>2027</v>
      </c>
      <c r="L416" s="2" t="s">
        <v>122</v>
      </c>
    </row>
    <row r="417" spans="1:12" ht="34" customHeight="1">
      <c r="A417" s="2" t="s">
        <v>421</v>
      </c>
      <c r="B417" s="2" t="s">
        <v>224</v>
      </c>
      <c r="C417" s="2" t="s">
        <v>420</v>
      </c>
      <c r="D417" s="2" t="s">
        <v>65</v>
      </c>
      <c r="E417" s="11">
        <v>0</v>
      </c>
      <c r="F417" s="20" t="s">
        <v>1763</v>
      </c>
      <c r="G417" s="21" t="s">
        <v>60</v>
      </c>
      <c r="H417" s="21" t="s">
        <v>1779</v>
      </c>
      <c r="I417" s="2" t="s">
        <v>2030</v>
      </c>
      <c r="J417" s="2" t="s">
        <v>1781</v>
      </c>
      <c r="K417" s="2" t="s">
        <v>2028</v>
      </c>
      <c r="L417" s="2" t="s">
        <v>122</v>
      </c>
    </row>
    <row r="418" spans="1:12" ht="34" customHeight="1">
      <c r="A418" s="2" t="s">
        <v>421</v>
      </c>
      <c r="B418" s="2" t="s">
        <v>224</v>
      </c>
      <c r="C418" s="2" t="s">
        <v>420</v>
      </c>
      <c r="D418" s="2" t="s">
        <v>222</v>
      </c>
      <c r="E418" s="5">
        <v>0.02</v>
      </c>
      <c r="F418" s="7" t="s">
        <v>1764</v>
      </c>
      <c r="G418" s="2" t="s">
        <v>60</v>
      </c>
      <c r="H418" s="2" t="s">
        <v>1759</v>
      </c>
      <c r="I418" s="2" t="s">
        <v>2029</v>
      </c>
      <c r="J418" s="2" t="s">
        <v>1781</v>
      </c>
      <c r="K418" s="2" t="s">
        <v>2025</v>
      </c>
      <c r="L418" s="2" t="s">
        <v>122</v>
      </c>
    </row>
    <row r="419" spans="1:12" ht="34" customHeight="1">
      <c r="A419" s="2" t="s">
        <v>421</v>
      </c>
      <c r="B419" s="2" t="s">
        <v>224</v>
      </c>
      <c r="C419" s="2" t="s">
        <v>420</v>
      </c>
      <c r="D419" s="2" t="s">
        <v>1765</v>
      </c>
      <c r="E419" s="5" t="s">
        <v>293</v>
      </c>
      <c r="F419" s="7" t="s">
        <v>1766</v>
      </c>
      <c r="G419" s="2" t="s">
        <v>60</v>
      </c>
      <c r="H419" s="2" t="s">
        <v>1759</v>
      </c>
      <c r="I419" s="2" t="s">
        <v>1767</v>
      </c>
      <c r="J419" s="2"/>
      <c r="K419" t="s">
        <v>1817</v>
      </c>
    </row>
    <row r="420" spans="1:12" ht="34" customHeight="1">
      <c r="A420" s="2" t="s">
        <v>423</v>
      </c>
      <c r="B420" s="2" t="s">
        <v>224</v>
      </c>
      <c r="C420" s="2" t="s">
        <v>422</v>
      </c>
      <c r="D420" s="2" t="s">
        <v>1757</v>
      </c>
      <c r="E420" s="5">
        <v>0.38</v>
      </c>
      <c r="F420" s="7" t="s">
        <v>1758</v>
      </c>
      <c r="G420" s="2" t="s">
        <v>60</v>
      </c>
      <c r="H420" s="2" t="s">
        <v>1759</v>
      </c>
      <c r="I420" s="2" t="s">
        <v>2031</v>
      </c>
      <c r="J420" s="2" t="s">
        <v>1781</v>
      </c>
      <c r="K420" s="2" t="s">
        <v>2025</v>
      </c>
      <c r="L420" s="2" t="s">
        <v>122</v>
      </c>
    </row>
    <row r="421" spans="1:12" ht="37" customHeight="1">
      <c r="A421" s="2" t="s">
        <v>423</v>
      </c>
      <c r="B421" s="2" t="s">
        <v>224</v>
      </c>
      <c r="C421" s="2" t="s">
        <v>422</v>
      </c>
      <c r="D421" s="2" t="s">
        <v>254</v>
      </c>
      <c r="E421" s="5">
        <v>0.13</v>
      </c>
      <c r="F421" s="7" t="s">
        <v>1758</v>
      </c>
      <c r="G421" s="2" t="s">
        <v>60</v>
      </c>
      <c r="H421" s="2" t="s">
        <v>1759</v>
      </c>
      <c r="I421" s="2" t="s">
        <v>2031</v>
      </c>
      <c r="J421" s="2" t="s">
        <v>1781</v>
      </c>
      <c r="K421" s="2" t="s">
        <v>2025</v>
      </c>
      <c r="L421" s="2" t="s">
        <v>122</v>
      </c>
    </row>
    <row r="422" spans="1:12" ht="37" customHeight="1">
      <c r="A422" s="2" t="s">
        <v>423</v>
      </c>
      <c r="B422" s="2" t="s">
        <v>224</v>
      </c>
      <c r="C422" s="2" t="s">
        <v>422</v>
      </c>
      <c r="D422" s="2" t="s">
        <v>124</v>
      </c>
      <c r="E422" s="11">
        <v>1</v>
      </c>
      <c r="F422" s="20" t="s">
        <v>1763</v>
      </c>
      <c r="G422" s="21" t="s">
        <v>60</v>
      </c>
      <c r="H422" s="21" t="s">
        <v>1779</v>
      </c>
      <c r="I422" s="2" t="s">
        <v>2032</v>
      </c>
      <c r="J422" s="2" t="s">
        <v>1781</v>
      </c>
      <c r="K422" s="2" t="s">
        <v>2027</v>
      </c>
      <c r="L422" s="2" t="s">
        <v>122</v>
      </c>
    </row>
    <row r="423" spans="1:12" ht="37" customHeight="1">
      <c r="A423" s="2" t="s">
        <v>423</v>
      </c>
      <c r="B423" s="2" t="s">
        <v>224</v>
      </c>
      <c r="C423" s="2" t="s">
        <v>422</v>
      </c>
      <c r="D423" s="2" t="s">
        <v>65</v>
      </c>
      <c r="E423" s="11">
        <v>0</v>
      </c>
      <c r="F423" s="20" t="s">
        <v>1763</v>
      </c>
      <c r="G423" s="21" t="s">
        <v>60</v>
      </c>
      <c r="H423" s="21" t="s">
        <v>1779</v>
      </c>
      <c r="I423" s="2" t="s">
        <v>2032</v>
      </c>
      <c r="J423" s="2" t="s">
        <v>1781</v>
      </c>
      <c r="K423" s="2" t="s">
        <v>2028</v>
      </c>
      <c r="L423" s="2" t="s">
        <v>122</v>
      </c>
    </row>
    <row r="424" spans="1:12" ht="37" customHeight="1">
      <c r="A424" s="2" t="s">
        <v>423</v>
      </c>
      <c r="B424" s="2" t="s">
        <v>224</v>
      </c>
      <c r="C424" s="2" t="s">
        <v>422</v>
      </c>
      <c r="D424" s="2" t="s">
        <v>222</v>
      </c>
      <c r="E424" s="7"/>
      <c r="F424" s="7" t="s">
        <v>1764</v>
      </c>
      <c r="G424" s="2" t="s">
        <v>60</v>
      </c>
      <c r="H424" s="2" t="s">
        <v>1773</v>
      </c>
      <c r="I424" s="2"/>
      <c r="J424" s="2"/>
      <c r="K424" s="2" t="s">
        <v>2025</v>
      </c>
      <c r="L424" s="2" t="s">
        <v>122</v>
      </c>
    </row>
    <row r="425" spans="1:12" ht="37" customHeight="1">
      <c r="A425" s="2" t="s">
        <v>423</v>
      </c>
      <c r="B425" s="2" t="s">
        <v>224</v>
      </c>
      <c r="C425" s="2" t="s">
        <v>422</v>
      </c>
      <c r="D425" s="2" t="s">
        <v>1765</v>
      </c>
      <c r="E425" s="7" t="s">
        <v>293</v>
      </c>
      <c r="F425" s="7" t="s">
        <v>1766</v>
      </c>
      <c r="G425" s="2" t="s">
        <v>60</v>
      </c>
      <c r="H425" s="2" t="s">
        <v>1759</v>
      </c>
      <c r="I425" s="2" t="s">
        <v>1767</v>
      </c>
      <c r="J425" s="2"/>
      <c r="K425" t="s">
        <v>1817</v>
      </c>
    </row>
    <row r="426" spans="1:12" ht="37" customHeight="1">
      <c r="A426" s="2" t="s">
        <v>427</v>
      </c>
      <c r="B426" s="2" t="s">
        <v>224</v>
      </c>
      <c r="C426" s="2" t="s">
        <v>425</v>
      </c>
      <c r="D426" s="2" t="s">
        <v>1757</v>
      </c>
      <c r="E426" s="5">
        <v>0.25</v>
      </c>
      <c r="F426" s="7" t="s">
        <v>1758</v>
      </c>
      <c r="G426" s="2" t="s">
        <v>180</v>
      </c>
      <c r="H426" s="2" t="s">
        <v>1759</v>
      </c>
      <c r="I426" s="2" t="s">
        <v>2033</v>
      </c>
      <c r="J426" s="2" t="s">
        <v>1781</v>
      </c>
      <c r="K426" s="2" t="s">
        <v>2034</v>
      </c>
      <c r="L426" s="2" t="s">
        <v>122</v>
      </c>
    </row>
    <row r="427" spans="1:12" ht="37" customHeight="1">
      <c r="A427" s="2" t="s">
        <v>427</v>
      </c>
      <c r="B427" s="2" t="s">
        <v>224</v>
      </c>
      <c r="C427" s="2" t="s">
        <v>425</v>
      </c>
      <c r="D427" s="2" t="s">
        <v>254</v>
      </c>
      <c r="E427" s="5">
        <v>0.04</v>
      </c>
      <c r="F427" s="7" t="s">
        <v>1758</v>
      </c>
      <c r="G427" s="2" t="s">
        <v>180</v>
      </c>
      <c r="H427" s="2" t="s">
        <v>1759</v>
      </c>
      <c r="I427" s="2" t="s">
        <v>2033</v>
      </c>
      <c r="J427" s="2" t="s">
        <v>1781</v>
      </c>
      <c r="K427" s="2" t="s">
        <v>2034</v>
      </c>
      <c r="L427" s="2" t="s">
        <v>122</v>
      </c>
    </row>
    <row r="428" spans="1:12" ht="37" customHeight="1">
      <c r="A428" s="2" t="s">
        <v>427</v>
      </c>
      <c r="B428" s="2" t="s">
        <v>224</v>
      </c>
      <c r="C428" s="2" t="s">
        <v>425</v>
      </c>
      <c r="D428" s="2" t="s">
        <v>124</v>
      </c>
      <c r="E428" s="7"/>
      <c r="F428" s="7" t="s">
        <v>1763</v>
      </c>
      <c r="G428" s="2" t="s">
        <v>180</v>
      </c>
      <c r="H428" s="2" t="s">
        <v>1773</v>
      </c>
      <c r="I428" s="2"/>
      <c r="J428" s="2"/>
      <c r="K428" s="2" t="s">
        <v>2034</v>
      </c>
      <c r="L428" s="2" t="s">
        <v>122</v>
      </c>
    </row>
    <row r="429" spans="1:12" ht="64" customHeight="1">
      <c r="A429" s="2" t="s">
        <v>427</v>
      </c>
      <c r="B429" s="2" t="s">
        <v>224</v>
      </c>
      <c r="C429" s="2" t="s">
        <v>425</v>
      </c>
      <c r="D429" s="2" t="s">
        <v>65</v>
      </c>
      <c r="E429" s="7"/>
      <c r="F429" s="7" t="s">
        <v>1763</v>
      </c>
      <c r="G429" s="2" t="s">
        <v>180</v>
      </c>
      <c r="H429" s="2" t="s">
        <v>1773</v>
      </c>
      <c r="I429" s="2"/>
      <c r="J429" s="2"/>
      <c r="K429" s="2" t="s">
        <v>2034</v>
      </c>
      <c r="L429" s="2" t="s">
        <v>122</v>
      </c>
    </row>
    <row r="430" spans="1:12" ht="37" customHeight="1">
      <c r="A430" s="2" t="s">
        <v>427</v>
      </c>
      <c r="B430" s="2" t="s">
        <v>224</v>
      </c>
      <c r="C430" s="2" t="s">
        <v>425</v>
      </c>
      <c r="D430" s="2" t="s">
        <v>222</v>
      </c>
      <c r="E430" s="8">
        <v>4.7E-2</v>
      </c>
      <c r="F430" s="7" t="s">
        <v>1764</v>
      </c>
      <c r="G430" s="2" t="s">
        <v>180</v>
      </c>
      <c r="H430" s="2" t="s">
        <v>1759</v>
      </c>
      <c r="I430" s="2" t="s">
        <v>2033</v>
      </c>
      <c r="J430" s="2" t="s">
        <v>1781</v>
      </c>
      <c r="K430" s="2" t="s">
        <v>2034</v>
      </c>
      <c r="L430" s="2" t="s">
        <v>122</v>
      </c>
    </row>
    <row r="431" spans="1:12" ht="34" customHeight="1">
      <c r="A431" s="2" t="s">
        <v>427</v>
      </c>
      <c r="B431" s="2" t="s">
        <v>224</v>
      </c>
      <c r="C431" s="2" t="s">
        <v>425</v>
      </c>
      <c r="D431" s="2" t="s">
        <v>1765</v>
      </c>
      <c r="E431" s="8" t="s">
        <v>426</v>
      </c>
      <c r="F431" s="7" t="s">
        <v>1766</v>
      </c>
      <c r="G431" s="2" t="s">
        <v>180</v>
      </c>
      <c r="H431" s="2" t="s">
        <v>1759</v>
      </c>
      <c r="I431" s="2" t="s">
        <v>1767</v>
      </c>
      <c r="J431" s="2"/>
      <c r="K431" t="s">
        <v>1817</v>
      </c>
    </row>
    <row r="432" spans="1:12" ht="34" customHeight="1">
      <c r="A432" s="2" t="s">
        <v>431</v>
      </c>
      <c r="B432" s="2" t="s">
        <v>224</v>
      </c>
      <c r="C432" s="2" t="s">
        <v>429</v>
      </c>
      <c r="D432" s="2" t="s">
        <v>1757</v>
      </c>
      <c r="E432" s="5">
        <v>0.84</v>
      </c>
      <c r="F432" s="7" t="s">
        <v>1758</v>
      </c>
      <c r="G432" s="2" t="s">
        <v>180</v>
      </c>
      <c r="H432" s="2" t="s">
        <v>1759</v>
      </c>
      <c r="I432" s="2" t="s">
        <v>1776</v>
      </c>
      <c r="J432" s="2" t="s">
        <v>1777</v>
      </c>
      <c r="K432" s="2" t="s">
        <v>2035</v>
      </c>
      <c r="L432" s="2" t="s">
        <v>45</v>
      </c>
    </row>
    <row r="433" spans="1:12" ht="34" customHeight="1">
      <c r="A433" s="2" t="s">
        <v>431</v>
      </c>
      <c r="B433" s="2" t="s">
        <v>224</v>
      </c>
      <c r="C433" s="2" t="s">
        <v>429</v>
      </c>
      <c r="D433" s="2" t="s">
        <v>254</v>
      </c>
      <c r="E433" s="5">
        <v>0.13</v>
      </c>
      <c r="F433" s="7" t="s">
        <v>1758</v>
      </c>
      <c r="G433" s="2" t="s">
        <v>180</v>
      </c>
      <c r="H433" s="2" t="s">
        <v>1759</v>
      </c>
      <c r="I433" s="2" t="s">
        <v>1776</v>
      </c>
      <c r="J433" s="2" t="s">
        <v>1777</v>
      </c>
      <c r="K433" s="2" t="s">
        <v>2035</v>
      </c>
      <c r="L433" s="2" t="s">
        <v>45</v>
      </c>
    </row>
    <row r="434" spans="1:12" ht="34" customHeight="1">
      <c r="A434" s="2" t="s">
        <v>431</v>
      </c>
      <c r="B434" s="2" t="s">
        <v>224</v>
      </c>
      <c r="C434" s="2" t="s">
        <v>429</v>
      </c>
      <c r="D434" s="2" t="s">
        <v>124</v>
      </c>
      <c r="E434" s="4">
        <v>1.5</v>
      </c>
      <c r="F434" s="7" t="s">
        <v>1763</v>
      </c>
      <c r="G434" s="2" t="s">
        <v>180</v>
      </c>
      <c r="H434" s="2" t="s">
        <v>1759</v>
      </c>
      <c r="I434" s="2" t="s">
        <v>1776</v>
      </c>
      <c r="J434" s="2" t="s">
        <v>1777</v>
      </c>
      <c r="K434" s="2" t="s">
        <v>2035</v>
      </c>
      <c r="L434" s="2" t="s">
        <v>45</v>
      </c>
    </row>
    <row r="435" spans="1:12" ht="34" customHeight="1">
      <c r="A435" s="2" t="s">
        <v>431</v>
      </c>
      <c r="B435" s="2" t="s">
        <v>224</v>
      </c>
      <c r="C435" s="2" t="s">
        <v>429</v>
      </c>
      <c r="D435" s="2" t="s">
        <v>65</v>
      </c>
      <c r="E435" s="7"/>
      <c r="F435" s="7" t="s">
        <v>1763</v>
      </c>
      <c r="G435" s="2" t="s">
        <v>180</v>
      </c>
      <c r="H435" s="2" t="s">
        <v>1773</v>
      </c>
      <c r="I435" s="2"/>
      <c r="J435" s="2"/>
      <c r="K435" s="2" t="s">
        <v>2035</v>
      </c>
      <c r="L435" s="2" t="s">
        <v>45</v>
      </c>
    </row>
    <row r="436" spans="1:12" ht="37" customHeight="1">
      <c r="A436" s="2" t="s">
        <v>431</v>
      </c>
      <c r="B436" s="2" t="s">
        <v>224</v>
      </c>
      <c r="C436" s="2" t="s">
        <v>429</v>
      </c>
      <c r="D436" s="2" t="s">
        <v>222</v>
      </c>
      <c r="E436" s="5">
        <v>0.43</v>
      </c>
      <c r="F436" s="7" t="s">
        <v>1764</v>
      </c>
      <c r="G436" s="2" t="s">
        <v>180</v>
      </c>
      <c r="H436" s="2" t="s">
        <v>1759</v>
      </c>
      <c r="I436" s="2" t="s">
        <v>1776</v>
      </c>
      <c r="J436" s="2" t="s">
        <v>1777</v>
      </c>
      <c r="K436" s="2" t="s">
        <v>2035</v>
      </c>
      <c r="L436" s="2" t="s">
        <v>45</v>
      </c>
    </row>
    <row r="437" spans="1:12" ht="37" customHeight="1">
      <c r="A437" s="2" t="s">
        <v>431</v>
      </c>
      <c r="B437" s="2" t="s">
        <v>224</v>
      </c>
      <c r="C437" s="2" t="s">
        <v>429</v>
      </c>
      <c r="D437" s="2" t="s">
        <v>1765</v>
      </c>
      <c r="E437" s="5" t="s">
        <v>430</v>
      </c>
      <c r="F437" s="7" t="s">
        <v>1766</v>
      </c>
      <c r="G437" s="2" t="s">
        <v>180</v>
      </c>
      <c r="H437" s="2" t="s">
        <v>1759</v>
      </c>
      <c r="I437" s="2" t="s">
        <v>1767</v>
      </c>
      <c r="J437" s="2"/>
      <c r="K437" t="s">
        <v>2036</v>
      </c>
    </row>
    <row r="438" spans="1:12" ht="37" customHeight="1">
      <c r="A438" s="2" t="s">
        <v>434</v>
      </c>
      <c r="B438" s="2" t="s">
        <v>224</v>
      </c>
      <c r="C438" s="2" t="s">
        <v>432</v>
      </c>
      <c r="D438" s="2" t="s">
        <v>1757</v>
      </c>
      <c r="E438" s="4">
        <v>0.2</v>
      </c>
      <c r="F438" s="7" t="s">
        <v>1758</v>
      </c>
      <c r="G438" s="2" t="s">
        <v>180</v>
      </c>
      <c r="H438" s="2" t="s">
        <v>1759</v>
      </c>
      <c r="I438" s="2" t="s">
        <v>1776</v>
      </c>
      <c r="J438" s="2" t="s">
        <v>1777</v>
      </c>
      <c r="K438" s="2" t="s">
        <v>2037</v>
      </c>
      <c r="L438" s="2" t="s">
        <v>45</v>
      </c>
    </row>
    <row r="439" spans="1:12" ht="64" customHeight="1">
      <c r="A439" s="2" t="s">
        <v>434</v>
      </c>
      <c r="B439" s="2" t="s">
        <v>224</v>
      </c>
      <c r="C439" s="2" t="s">
        <v>432</v>
      </c>
      <c r="D439" s="2" t="s">
        <v>254</v>
      </c>
      <c r="E439" s="5">
        <v>0.14000000000000001</v>
      </c>
      <c r="F439" s="7" t="s">
        <v>1758</v>
      </c>
      <c r="G439" s="2" t="s">
        <v>180</v>
      </c>
      <c r="H439" s="2" t="s">
        <v>1759</v>
      </c>
      <c r="I439" s="2" t="s">
        <v>1776</v>
      </c>
      <c r="J439" s="2" t="s">
        <v>1777</v>
      </c>
      <c r="K439" s="2" t="s">
        <v>2037</v>
      </c>
      <c r="L439" s="2" t="s">
        <v>45</v>
      </c>
    </row>
    <row r="440" spans="1:12" ht="37" customHeight="1">
      <c r="A440" s="2" t="s">
        <v>434</v>
      </c>
      <c r="B440" s="2" t="s">
        <v>224</v>
      </c>
      <c r="C440" s="2" t="s">
        <v>432</v>
      </c>
      <c r="D440" s="2" t="s">
        <v>124</v>
      </c>
      <c r="E440" s="6">
        <v>2</v>
      </c>
      <c r="F440" s="7" t="s">
        <v>1763</v>
      </c>
      <c r="G440" s="2" t="s">
        <v>180</v>
      </c>
      <c r="H440" s="2" t="s">
        <v>1759</v>
      </c>
      <c r="I440" s="2" t="s">
        <v>1776</v>
      </c>
      <c r="J440" s="2" t="s">
        <v>1777</v>
      </c>
      <c r="K440" s="2" t="s">
        <v>2037</v>
      </c>
      <c r="L440" s="2" t="s">
        <v>45</v>
      </c>
    </row>
    <row r="441" spans="1:12" ht="34" customHeight="1">
      <c r="A441" s="2" t="s">
        <v>434</v>
      </c>
      <c r="B441" s="2" t="s">
        <v>224</v>
      </c>
      <c r="C441" s="2" t="s">
        <v>432</v>
      </c>
      <c r="D441" s="2" t="s">
        <v>65</v>
      </c>
      <c r="E441" s="7"/>
      <c r="F441" s="7" t="s">
        <v>1763</v>
      </c>
      <c r="G441" s="2" t="s">
        <v>180</v>
      </c>
      <c r="H441" s="2" t="s">
        <v>1773</v>
      </c>
      <c r="I441" s="2"/>
      <c r="J441" s="2"/>
      <c r="K441" s="2" t="s">
        <v>2037</v>
      </c>
      <c r="L441" s="2" t="s">
        <v>45</v>
      </c>
    </row>
    <row r="442" spans="1:12" ht="34" customHeight="1">
      <c r="A442" s="2" t="s">
        <v>434</v>
      </c>
      <c r="B442" s="2" t="s">
        <v>224</v>
      </c>
      <c r="C442" s="2" t="s">
        <v>432</v>
      </c>
      <c r="D442" s="2" t="s">
        <v>222</v>
      </c>
      <c r="E442" s="5">
        <v>0.08</v>
      </c>
      <c r="F442" s="7" t="s">
        <v>1764</v>
      </c>
      <c r="G442" s="2" t="s">
        <v>180</v>
      </c>
      <c r="H442" s="2" t="s">
        <v>1759</v>
      </c>
      <c r="I442" s="2" t="s">
        <v>1776</v>
      </c>
      <c r="J442" s="2" t="s">
        <v>1777</v>
      </c>
      <c r="K442" s="2" t="s">
        <v>2037</v>
      </c>
      <c r="L442" s="2" t="s">
        <v>45</v>
      </c>
    </row>
    <row r="443" spans="1:12" ht="34" customHeight="1">
      <c r="A443" s="2" t="s">
        <v>434</v>
      </c>
      <c r="B443" s="2" t="s">
        <v>224</v>
      </c>
      <c r="C443" s="2" t="s">
        <v>432</v>
      </c>
      <c r="D443" s="2" t="s">
        <v>1765</v>
      </c>
      <c r="E443" s="5" t="s">
        <v>433</v>
      </c>
      <c r="F443" s="7" t="s">
        <v>1766</v>
      </c>
      <c r="G443" s="2" t="s">
        <v>180</v>
      </c>
      <c r="H443" s="2" t="s">
        <v>1759</v>
      </c>
      <c r="I443" s="2" t="s">
        <v>1767</v>
      </c>
      <c r="J443" s="2"/>
      <c r="K443" t="s">
        <v>2038</v>
      </c>
    </row>
    <row r="444" spans="1:12" ht="34" customHeight="1">
      <c r="A444" s="2" t="s">
        <v>437</v>
      </c>
      <c r="B444" s="2" t="s">
        <v>224</v>
      </c>
      <c r="C444" s="2" t="s">
        <v>435</v>
      </c>
      <c r="D444" s="2" t="s">
        <v>1757</v>
      </c>
      <c r="E444" s="5">
        <v>0.55000000000000004</v>
      </c>
      <c r="F444" s="7" t="s">
        <v>1758</v>
      </c>
      <c r="G444" s="2" t="s">
        <v>180</v>
      </c>
      <c r="H444" s="2" t="s">
        <v>1759</v>
      </c>
      <c r="I444" s="2" t="s">
        <v>1776</v>
      </c>
      <c r="J444" s="2" t="s">
        <v>1777</v>
      </c>
      <c r="K444" s="2" t="s">
        <v>2039</v>
      </c>
      <c r="L444" s="2" t="s">
        <v>45</v>
      </c>
    </row>
    <row r="445" spans="1:12" ht="34" customHeight="1">
      <c r="A445" s="2" t="s">
        <v>437</v>
      </c>
      <c r="B445" s="2" t="s">
        <v>224</v>
      </c>
      <c r="C445" s="2" t="s">
        <v>435</v>
      </c>
      <c r="D445" s="2" t="s">
        <v>254</v>
      </c>
      <c r="E445" s="5">
        <v>0.45</v>
      </c>
      <c r="F445" s="7" t="s">
        <v>1758</v>
      </c>
      <c r="G445" s="2" t="s">
        <v>180</v>
      </c>
      <c r="H445" s="2" t="s">
        <v>1759</v>
      </c>
      <c r="I445" s="2" t="s">
        <v>1776</v>
      </c>
      <c r="J445" s="2" t="s">
        <v>1777</v>
      </c>
      <c r="K445" s="2" t="s">
        <v>2039</v>
      </c>
      <c r="L445" s="2" t="s">
        <v>45</v>
      </c>
    </row>
    <row r="446" spans="1:12" ht="34" customHeight="1">
      <c r="A446" s="2" t="s">
        <v>437</v>
      </c>
      <c r="B446" s="2" t="s">
        <v>224</v>
      </c>
      <c r="C446" s="2" t="s">
        <v>435</v>
      </c>
      <c r="D446" s="2" t="s">
        <v>124</v>
      </c>
      <c r="E446" s="6">
        <v>3</v>
      </c>
      <c r="F446" s="7" t="s">
        <v>1763</v>
      </c>
      <c r="G446" s="2" t="s">
        <v>180</v>
      </c>
      <c r="H446" s="2" t="s">
        <v>1759</v>
      </c>
      <c r="I446" s="2" t="s">
        <v>1776</v>
      </c>
      <c r="J446" s="2" t="s">
        <v>1777</v>
      </c>
      <c r="K446" s="2" t="s">
        <v>2039</v>
      </c>
      <c r="L446" s="2" t="s">
        <v>45</v>
      </c>
    </row>
    <row r="447" spans="1:12" ht="34" customHeight="1">
      <c r="A447" s="2" t="s">
        <v>437</v>
      </c>
      <c r="B447" s="2" t="s">
        <v>224</v>
      </c>
      <c r="C447" s="2" t="s">
        <v>435</v>
      </c>
      <c r="D447" s="2" t="s">
        <v>65</v>
      </c>
      <c r="E447" s="7"/>
      <c r="F447" s="7" t="s">
        <v>1763</v>
      </c>
      <c r="G447" s="2" t="s">
        <v>180</v>
      </c>
      <c r="H447" s="2" t="s">
        <v>1773</v>
      </c>
      <c r="I447" s="2"/>
      <c r="J447" s="2"/>
      <c r="K447" s="2" t="s">
        <v>2039</v>
      </c>
      <c r="L447" s="2" t="s">
        <v>45</v>
      </c>
    </row>
    <row r="448" spans="1:12" ht="34" customHeight="1">
      <c r="A448" s="2" t="s">
        <v>437</v>
      </c>
      <c r="B448" s="2" t="s">
        <v>224</v>
      </c>
      <c r="C448" s="2" t="s">
        <v>435</v>
      </c>
      <c r="D448" s="2" t="s">
        <v>222</v>
      </c>
      <c r="E448" s="4">
        <v>0.3</v>
      </c>
      <c r="F448" s="7" t="s">
        <v>1764</v>
      </c>
      <c r="G448" s="2" t="s">
        <v>180</v>
      </c>
      <c r="H448" s="2" t="s">
        <v>1759</v>
      </c>
      <c r="I448" s="2" t="s">
        <v>1776</v>
      </c>
      <c r="J448" s="2" t="s">
        <v>1777</v>
      </c>
      <c r="K448" s="2" t="s">
        <v>2039</v>
      </c>
      <c r="L448" s="2" t="s">
        <v>45</v>
      </c>
    </row>
    <row r="449" spans="1:12" ht="34" customHeight="1">
      <c r="A449" s="2" t="s">
        <v>437</v>
      </c>
      <c r="B449" s="2" t="s">
        <v>224</v>
      </c>
      <c r="C449" s="2" t="s">
        <v>435</v>
      </c>
      <c r="D449" s="2" t="s">
        <v>1765</v>
      </c>
      <c r="E449" s="4" t="s">
        <v>436</v>
      </c>
      <c r="F449" s="7" t="s">
        <v>1766</v>
      </c>
      <c r="G449" s="2" t="s">
        <v>180</v>
      </c>
      <c r="H449" s="2" t="s">
        <v>1759</v>
      </c>
      <c r="I449" s="2" t="s">
        <v>1767</v>
      </c>
      <c r="J449" s="2"/>
      <c r="K449" t="s">
        <v>2040</v>
      </c>
    </row>
    <row r="450" spans="1:12" ht="34" customHeight="1">
      <c r="A450" s="2" t="s">
        <v>439</v>
      </c>
      <c r="B450" s="2" t="s">
        <v>224</v>
      </c>
      <c r="C450" s="2" t="s">
        <v>438</v>
      </c>
      <c r="D450" s="2" t="s">
        <v>1757</v>
      </c>
      <c r="E450" s="5">
        <v>0.36</v>
      </c>
      <c r="F450" s="7" t="s">
        <v>1758</v>
      </c>
      <c r="G450" s="2" t="s">
        <v>180</v>
      </c>
      <c r="H450" s="2" t="s">
        <v>1759</v>
      </c>
      <c r="I450" s="2" t="s">
        <v>2041</v>
      </c>
      <c r="J450" s="2" t="s">
        <v>1855</v>
      </c>
      <c r="K450" s="2" t="s">
        <v>2042</v>
      </c>
      <c r="L450" s="2" t="s">
        <v>45</v>
      </c>
    </row>
    <row r="451" spans="1:12" ht="37" customHeight="1">
      <c r="A451" s="2" t="s">
        <v>439</v>
      </c>
      <c r="B451" s="2" t="s">
        <v>224</v>
      </c>
      <c r="C451" s="2" t="s">
        <v>438</v>
      </c>
      <c r="D451" s="2" t="s">
        <v>254</v>
      </c>
      <c r="E451" s="5">
        <v>0.23</v>
      </c>
      <c r="F451" s="7" t="s">
        <v>1758</v>
      </c>
      <c r="G451" s="2" t="s">
        <v>180</v>
      </c>
      <c r="H451" s="2" t="s">
        <v>1759</v>
      </c>
      <c r="I451" s="2" t="s">
        <v>2041</v>
      </c>
      <c r="J451" s="2" t="s">
        <v>1855</v>
      </c>
      <c r="K451" s="2" t="s">
        <v>2042</v>
      </c>
      <c r="L451" s="2" t="s">
        <v>45</v>
      </c>
    </row>
    <row r="452" spans="1:12" ht="37" customHeight="1">
      <c r="A452" s="2" t="s">
        <v>439</v>
      </c>
      <c r="B452" s="2" t="s">
        <v>224</v>
      </c>
      <c r="C452" s="2" t="s">
        <v>438</v>
      </c>
      <c r="D452" s="2" t="s">
        <v>124</v>
      </c>
      <c r="E452" s="7"/>
      <c r="F452" s="7" t="s">
        <v>1763</v>
      </c>
      <c r="G452" s="2" t="s">
        <v>180</v>
      </c>
      <c r="H452" s="2" t="s">
        <v>1773</v>
      </c>
      <c r="I452" s="2"/>
      <c r="J452" s="2"/>
      <c r="K452" s="2" t="s">
        <v>2042</v>
      </c>
      <c r="L452" s="2" t="s">
        <v>45</v>
      </c>
    </row>
    <row r="453" spans="1:12" ht="37" customHeight="1">
      <c r="A453" s="2" t="s">
        <v>439</v>
      </c>
      <c r="B453" s="2" t="s">
        <v>224</v>
      </c>
      <c r="C453" s="2" t="s">
        <v>438</v>
      </c>
      <c r="D453" s="2" t="s">
        <v>65</v>
      </c>
      <c r="E453" s="7"/>
      <c r="F453" s="7" t="s">
        <v>1763</v>
      </c>
      <c r="G453" s="2" t="s">
        <v>180</v>
      </c>
      <c r="H453" s="2" t="s">
        <v>1773</v>
      </c>
      <c r="I453" s="2"/>
      <c r="J453" s="2"/>
      <c r="K453" s="2" t="s">
        <v>2042</v>
      </c>
      <c r="L453" s="2" t="s">
        <v>45</v>
      </c>
    </row>
    <row r="454" spans="1:12" ht="50.5" customHeight="1">
      <c r="A454" s="2" t="s">
        <v>439</v>
      </c>
      <c r="B454" s="2" t="s">
        <v>224</v>
      </c>
      <c r="C454" s="2" t="s">
        <v>438</v>
      </c>
      <c r="D454" s="2" t="s">
        <v>222</v>
      </c>
      <c r="E454" s="4">
        <v>0.2</v>
      </c>
      <c r="F454" s="7" t="s">
        <v>1764</v>
      </c>
      <c r="G454" s="2" t="s">
        <v>180</v>
      </c>
      <c r="H454" s="2" t="s">
        <v>1759</v>
      </c>
      <c r="I454" s="2" t="s">
        <v>2041</v>
      </c>
      <c r="J454" s="2" t="s">
        <v>1855</v>
      </c>
      <c r="K454" s="2" t="s">
        <v>2042</v>
      </c>
      <c r="L454" s="2" t="s">
        <v>45</v>
      </c>
    </row>
    <row r="455" spans="1:12" ht="37" customHeight="1">
      <c r="A455" s="2" t="s">
        <v>439</v>
      </c>
      <c r="B455" s="2" t="s">
        <v>224</v>
      </c>
      <c r="C455" s="2" t="s">
        <v>438</v>
      </c>
      <c r="D455" s="2" t="s">
        <v>1765</v>
      </c>
      <c r="E455" s="4" t="s">
        <v>243</v>
      </c>
      <c r="F455" s="7" t="s">
        <v>1766</v>
      </c>
      <c r="G455" s="2" t="s">
        <v>180</v>
      </c>
      <c r="H455" s="2" t="s">
        <v>1759</v>
      </c>
      <c r="I455" s="2" t="s">
        <v>1767</v>
      </c>
      <c r="J455" s="2"/>
      <c r="K455" t="s">
        <v>2043</v>
      </c>
    </row>
    <row r="456" spans="1:12" ht="37" customHeight="1">
      <c r="A456" s="2" t="s">
        <v>448</v>
      </c>
      <c r="B456" s="2" t="s">
        <v>224</v>
      </c>
      <c r="C456" s="2" t="s">
        <v>441</v>
      </c>
      <c r="D456" s="2" t="s">
        <v>1757</v>
      </c>
      <c r="E456" s="7" t="s">
        <v>442</v>
      </c>
      <c r="F456" s="7" t="s">
        <v>1758</v>
      </c>
      <c r="G456" s="2" t="s">
        <v>71</v>
      </c>
      <c r="H456" s="2" t="s">
        <v>1759</v>
      </c>
      <c r="I456" s="2" t="s">
        <v>2044</v>
      </c>
      <c r="J456" s="2" t="s">
        <v>2045</v>
      </c>
      <c r="K456" s="2" t="s">
        <v>2046</v>
      </c>
      <c r="L456" s="2" t="s">
        <v>130</v>
      </c>
    </row>
    <row r="457" spans="1:12" ht="37" customHeight="1">
      <c r="A457" s="2" t="s">
        <v>448</v>
      </c>
      <c r="B457" s="2" t="s">
        <v>224</v>
      </c>
      <c r="C457" s="2" t="s">
        <v>441</v>
      </c>
      <c r="D457" s="2" t="s">
        <v>254</v>
      </c>
      <c r="E457" s="7" t="s">
        <v>443</v>
      </c>
      <c r="F457" s="7" t="s">
        <v>1758</v>
      </c>
      <c r="G457" s="2" t="s">
        <v>71</v>
      </c>
      <c r="H457" s="2" t="s">
        <v>1759</v>
      </c>
      <c r="I457" s="2" t="s">
        <v>2044</v>
      </c>
      <c r="J457" s="2" t="s">
        <v>2045</v>
      </c>
      <c r="K457" s="2" t="s">
        <v>2046</v>
      </c>
      <c r="L457" s="2" t="s">
        <v>130</v>
      </c>
    </row>
    <row r="458" spans="1:12" ht="50.5" customHeight="1">
      <c r="A458" s="2" t="s">
        <v>448</v>
      </c>
      <c r="B458" s="2" t="s">
        <v>224</v>
      </c>
      <c r="C458" s="2" t="s">
        <v>441</v>
      </c>
      <c r="D458" s="2" t="s">
        <v>124</v>
      </c>
      <c r="E458" s="7" t="s">
        <v>444</v>
      </c>
      <c r="F458" s="7" t="s">
        <v>1763</v>
      </c>
      <c r="G458" s="2" t="s">
        <v>71</v>
      </c>
      <c r="H458" s="2" t="s">
        <v>1759</v>
      </c>
      <c r="I458" s="2" t="s">
        <v>2044</v>
      </c>
      <c r="J458" s="2" t="s">
        <v>2045</v>
      </c>
      <c r="K458" s="2" t="s">
        <v>2046</v>
      </c>
      <c r="L458" s="2" t="s">
        <v>130</v>
      </c>
    </row>
    <row r="459" spans="1:12" ht="50.5" customHeight="1">
      <c r="A459" s="2" t="s">
        <v>448</v>
      </c>
      <c r="B459" s="2" t="s">
        <v>224</v>
      </c>
      <c r="C459" s="2" t="s">
        <v>441</v>
      </c>
      <c r="D459" s="2" t="s">
        <v>65</v>
      </c>
      <c r="E459" s="7"/>
      <c r="F459" s="7" t="s">
        <v>1763</v>
      </c>
      <c r="G459" s="2" t="s">
        <v>71</v>
      </c>
      <c r="H459" s="2" t="s">
        <v>1773</v>
      </c>
      <c r="I459" s="2"/>
      <c r="J459" s="2"/>
      <c r="K459" s="2" t="s">
        <v>2046</v>
      </c>
      <c r="L459" s="2" t="s">
        <v>130</v>
      </c>
    </row>
    <row r="460" spans="1:12" ht="37" customHeight="1">
      <c r="A460" s="2" t="s">
        <v>448</v>
      </c>
      <c r="B460" s="2" t="s">
        <v>224</v>
      </c>
      <c r="C460" s="2" t="s">
        <v>441</v>
      </c>
      <c r="D460" s="2" t="s">
        <v>222</v>
      </c>
      <c r="E460" s="7" t="s">
        <v>445</v>
      </c>
      <c r="F460" s="7" t="s">
        <v>1764</v>
      </c>
      <c r="G460" s="2" t="s">
        <v>71</v>
      </c>
      <c r="H460" s="2" t="s">
        <v>1759</v>
      </c>
      <c r="I460" s="2" t="s">
        <v>2044</v>
      </c>
      <c r="J460" s="2" t="s">
        <v>2045</v>
      </c>
      <c r="K460" s="2" t="s">
        <v>2046</v>
      </c>
      <c r="L460" s="2" t="s">
        <v>130</v>
      </c>
    </row>
    <row r="461" spans="1:12" ht="34" customHeight="1">
      <c r="A461" s="2" t="s">
        <v>448</v>
      </c>
      <c r="B461" s="2" t="s">
        <v>224</v>
      </c>
      <c r="C461" s="2" t="s">
        <v>441</v>
      </c>
      <c r="D461" s="2" t="s">
        <v>1765</v>
      </c>
      <c r="E461" s="7" t="s">
        <v>243</v>
      </c>
      <c r="F461" s="7" t="s">
        <v>1766</v>
      </c>
      <c r="G461" s="2" t="s">
        <v>71</v>
      </c>
      <c r="H461" s="2" t="s">
        <v>1759</v>
      </c>
      <c r="I461" s="2" t="s">
        <v>1767</v>
      </c>
      <c r="J461" s="2"/>
      <c r="K461" t="s">
        <v>2047</v>
      </c>
    </row>
    <row r="462" spans="1:12" ht="34" customHeight="1">
      <c r="A462" s="2" t="s">
        <v>451</v>
      </c>
      <c r="B462" s="2" t="s">
        <v>224</v>
      </c>
      <c r="C462" s="2" t="s">
        <v>450</v>
      </c>
      <c r="D462" s="2" t="s">
        <v>1757</v>
      </c>
      <c r="E462" s="5">
        <v>0.35</v>
      </c>
      <c r="F462" s="7" t="s">
        <v>1758</v>
      </c>
      <c r="G462" s="2" t="s">
        <v>180</v>
      </c>
      <c r="H462" s="2" t="s">
        <v>1759</v>
      </c>
      <c r="I462" s="2" t="s">
        <v>2048</v>
      </c>
      <c r="J462" s="2" t="s">
        <v>1855</v>
      </c>
      <c r="K462" s="2" t="s">
        <v>2049</v>
      </c>
      <c r="L462" s="2" t="s">
        <v>45</v>
      </c>
    </row>
    <row r="463" spans="1:12" ht="34" customHeight="1">
      <c r="A463" s="2" t="s">
        <v>451</v>
      </c>
      <c r="B463" s="2" t="s">
        <v>224</v>
      </c>
      <c r="C463" s="2" t="s">
        <v>450</v>
      </c>
      <c r="D463" s="2" t="s">
        <v>254</v>
      </c>
      <c r="E463" s="4">
        <v>0.2</v>
      </c>
      <c r="F463" s="7" t="s">
        <v>1758</v>
      </c>
      <c r="G463" s="2" t="s">
        <v>180</v>
      </c>
      <c r="H463" s="2" t="s">
        <v>1759</v>
      </c>
      <c r="I463" s="2" t="s">
        <v>2048</v>
      </c>
      <c r="J463" s="2" t="s">
        <v>1855</v>
      </c>
      <c r="K463" s="2" t="s">
        <v>2049</v>
      </c>
      <c r="L463" s="2" t="s">
        <v>45</v>
      </c>
    </row>
    <row r="464" spans="1:12" ht="34" customHeight="1">
      <c r="A464" s="2" t="s">
        <v>451</v>
      </c>
      <c r="B464" s="2" t="s">
        <v>224</v>
      </c>
      <c r="C464" s="2" t="s">
        <v>450</v>
      </c>
      <c r="D464" s="2" t="s">
        <v>124</v>
      </c>
      <c r="E464" s="7"/>
      <c r="F464" s="7" t="s">
        <v>1763</v>
      </c>
      <c r="G464" s="2" t="s">
        <v>180</v>
      </c>
      <c r="H464" s="2" t="s">
        <v>1773</v>
      </c>
      <c r="I464" s="2"/>
      <c r="J464" s="2"/>
      <c r="K464" s="2" t="s">
        <v>2049</v>
      </c>
      <c r="L464" s="2" t="s">
        <v>45</v>
      </c>
    </row>
    <row r="465" spans="1:12" ht="34" customHeight="1">
      <c r="A465" s="2" t="s">
        <v>451</v>
      </c>
      <c r="B465" s="2" t="s">
        <v>224</v>
      </c>
      <c r="C465" s="2" t="s">
        <v>450</v>
      </c>
      <c r="D465" s="2" t="s">
        <v>65</v>
      </c>
      <c r="E465" s="7"/>
      <c r="F465" s="7" t="s">
        <v>1763</v>
      </c>
      <c r="G465" s="2" t="s">
        <v>180</v>
      </c>
      <c r="H465" s="2" t="s">
        <v>1773</v>
      </c>
      <c r="I465" s="2"/>
      <c r="J465" s="2"/>
      <c r="K465" s="2" t="s">
        <v>2049</v>
      </c>
      <c r="L465" s="2" t="s">
        <v>45</v>
      </c>
    </row>
    <row r="466" spans="1:12" ht="37" customHeight="1">
      <c r="A466" s="2" t="s">
        <v>451</v>
      </c>
      <c r="B466" s="2" t="s">
        <v>224</v>
      </c>
      <c r="C466" s="2" t="s">
        <v>450</v>
      </c>
      <c r="D466" s="2" t="s">
        <v>222</v>
      </c>
      <c r="E466" s="4">
        <v>0.1</v>
      </c>
      <c r="F466" s="7" t="s">
        <v>1764</v>
      </c>
      <c r="G466" s="2" t="s">
        <v>180</v>
      </c>
      <c r="H466" s="2" t="s">
        <v>1759</v>
      </c>
      <c r="I466" s="2" t="s">
        <v>2048</v>
      </c>
      <c r="J466" s="2" t="s">
        <v>1855</v>
      </c>
      <c r="K466" s="2" t="s">
        <v>2049</v>
      </c>
      <c r="L466" s="2" t="s">
        <v>45</v>
      </c>
    </row>
    <row r="467" spans="1:12" ht="37" customHeight="1">
      <c r="A467" s="2" t="s">
        <v>451</v>
      </c>
      <c r="B467" s="2" t="s">
        <v>224</v>
      </c>
      <c r="C467" s="2" t="s">
        <v>450</v>
      </c>
      <c r="D467" s="2" t="s">
        <v>1765</v>
      </c>
      <c r="E467" s="4" t="s">
        <v>375</v>
      </c>
      <c r="F467" s="7" t="s">
        <v>1766</v>
      </c>
      <c r="G467" s="2" t="s">
        <v>180</v>
      </c>
      <c r="H467" s="2" t="s">
        <v>1759</v>
      </c>
      <c r="I467" s="2" t="s">
        <v>1767</v>
      </c>
      <c r="J467" s="2"/>
      <c r="K467" t="s">
        <v>2050</v>
      </c>
    </row>
    <row r="468" spans="1:12" ht="37" customHeight="1">
      <c r="A468" s="2" t="s">
        <v>453</v>
      </c>
      <c r="B468" s="2" t="s">
        <v>224</v>
      </c>
      <c r="C468" s="2" t="s">
        <v>452</v>
      </c>
      <c r="D468" s="2" t="s">
        <v>1757</v>
      </c>
      <c r="E468" s="5">
        <v>0.28000000000000003</v>
      </c>
      <c r="F468" s="7" t="s">
        <v>1758</v>
      </c>
      <c r="G468" s="2" t="s">
        <v>60</v>
      </c>
      <c r="H468" s="2" t="s">
        <v>1759</v>
      </c>
      <c r="I468" s="2" t="s">
        <v>2051</v>
      </c>
      <c r="J468" s="2" t="s">
        <v>1781</v>
      </c>
      <c r="K468" s="2" t="s">
        <v>2052</v>
      </c>
      <c r="L468" s="2" t="s">
        <v>122</v>
      </c>
    </row>
    <row r="469" spans="1:12" ht="50.5" customHeight="1">
      <c r="A469" s="2" t="s">
        <v>453</v>
      </c>
      <c r="B469" s="2" t="s">
        <v>224</v>
      </c>
      <c r="C469" s="2" t="s">
        <v>452</v>
      </c>
      <c r="D469" s="2" t="s">
        <v>254</v>
      </c>
      <c r="E469" s="7"/>
      <c r="F469" s="7" t="s">
        <v>1758</v>
      </c>
      <c r="G469" s="2" t="s">
        <v>60</v>
      </c>
      <c r="H469" s="2" t="s">
        <v>1773</v>
      </c>
      <c r="I469" s="2"/>
      <c r="J469" s="2"/>
      <c r="K469" s="2" t="s">
        <v>2052</v>
      </c>
      <c r="L469" s="2" t="s">
        <v>122</v>
      </c>
    </row>
    <row r="470" spans="1:12" ht="37" customHeight="1">
      <c r="A470" s="2" t="s">
        <v>453</v>
      </c>
      <c r="B470" s="2" t="s">
        <v>224</v>
      </c>
      <c r="C470" s="2" t="s">
        <v>452</v>
      </c>
      <c r="D470" s="2" t="s">
        <v>124</v>
      </c>
      <c r="E470" s="11">
        <v>1</v>
      </c>
      <c r="F470" s="20" t="s">
        <v>1763</v>
      </c>
      <c r="G470" s="21" t="s">
        <v>60</v>
      </c>
      <c r="H470" s="21" t="s">
        <v>1779</v>
      </c>
      <c r="I470" s="2" t="s">
        <v>2053</v>
      </c>
      <c r="J470" s="2" t="s">
        <v>1781</v>
      </c>
      <c r="K470" s="2" t="s">
        <v>2054</v>
      </c>
      <c r="L470" s="2" t="s">
        <v>122</v>
      </c>
    </row>
    <row r="471" spans="1:12" ht="37" customHeight="1">
      <c r="A471" s="2" t="s">
        <v>453</v>
      </c>
      <c r="B471" s="2" t="s">
        <v>224</v>
      </c>
      <c r="C471" s="2" t="s">
        <v>452</v>
      </c>
      <c r="D471" s="2" t="s">
        <v>65</v>
      </c>
      <c r="E471" s="11">
        <v>0</v>
      </c>
      <c r="F471" s="20" t="s">
        <v>1763</v>
      </c>
      <c r="G471" s="21" t="s">
        <v>60</v>
      </c>
      <c r="H471" s="21" t="s">
        <v>1779</v>
      </c>
      <c r="I471" s="2" t="s">
        <v>2053</v>
      </c>
      <c r="J471" s="2" t="s">
        <v>1781</v>
      </c>
      <c r="K471" s="2" t="s">
        <v>2055</v>
      </c>
      <c r="L471" s="2" t="s">
        <v>122</v>
      </c>
    </row>
    <row r="472" spans="1:12" ht="37" customHeight="1">
      <c r="A472" s="2" t="s">
        <v>453</v>
      </c>
      <c r="B472" s="2" t="s">
        <v>224</v>
      </c>
      <c r="C472" s="2" t="s">
        <v>452</v>
      </c>
      <c r="D472" s="2" t="s">
        <v>222</v>
      </c>
      <c r="E472" s="7"/>
      <c r="F472" s="7" t="s">
        <v>1764</v>
      </c>
      <c r="G472" s="2" t="s">
        <v>60</v>
      </c>
      <c r="H472" s="2" t="s">
        <v>1773</v>
      </c>
      <c r="I472" s="2"/>
      <c r="J472" s="2"/>
      <c r="K472" s="2" t="s">
        <v>2052</v>
      </c>
      <c r="L472" s="2" t="s">
        <v>122</v>
      </c>
    </row>
    <row r="473" spans="1:12" ht="37" customHeight="1">
      <c r="A473" s="2" t="s">
        <v>453</v>
      </c>
      <c r="B473" s="2" t="s">
        <v>224</v>
      </c>
      <c r="C473" s="2" t="s">
        <v>452</v>
      </c>
      <c r="D473" s="2" t="s">
        <v>1765</v>
      </c>
      <c r="E473" s="7" t="s">
        <v>194</v>
      </c>
      <c r="F473" s="7" t="s">
        <v>1766</v>
      </c>
      <c r="G473" s="2" t="s">
        <v>60</v>
      </c>
      <c r="H473" s="2" t="s">
        <v>1759</v>
      </c>
      <c r="I473" s="2" t="s">
        <v>1767</v>
      </c>
      <c r="J473" s="2"/>
      <c r="K473" t="s">
        <v>2056</v>
      </c>
    </row>
    <row r="474" spans="1:12" ht="37" customHeight="1">
      <c r="A474" s="2" t="s">
        <v>456</v>
      </c>
      <c r="B474" s="2" t="s">
        <v>224</v>
      </c>
      <c r="C474" s="2" t="s">
        <v>454</v>
      </c>
      <c r="D474" s="2" t="s">
        <v>1757</v>
      </c>
      <c r="E474" s="4">
        <v>0.4</v>
      </c>
      <c r="F474" s="7" t="s">
        <v>1758</v>
      </c>
      <c r="G474" s="2" t="s">
        <v>60</v>
      </c>
      <c r="H474" s="2" t="s">
        <v>1759</v>
      </c>
      <c r="I474" s="2" t="s">
        <v>2057</v>
      </c>
      <c r="J474" s="2" t="s">
        <v>1781</v>
      </c>
      <c r="K474" s="2" t="s">
        <v>2058</v>
      </c>
      <c r="L474" s="2" t="s">
        <v>122</v>
      </c>
    </row>
    <row r="475" spans="1:12" ht="37" customHeight="1">
      <c r="A475" s="2" t="s">
        <v>456</v>
      </c>
      <c r="B475" s="2" t="s">
        <v>224</v>
      </c>
      <c r="C475" s="2" t="s">
        <v>454</v>
      </c>
      <c r="D475" s="2" t="s">
        <v>254</v>
      </c>
      <c r="E475" s="5">
        <v>0.09</v>
      </c>
      <c r="F475" s="7" t="s">
        <v>1758</v>
      </c>
      <c r="G475" s="2" t="s">
        <v>60</v>
      </c>
      <c r="H475" s="2" t="s">
        <v>1759</v>
      </c>
      <c r="I475" s="2" t="s">
        <v>2057</v>
      </c>
      <c r="J475" s="2" t="s">
        <v>1781</v>
      </c>
      <c r="K475" s="2" t="s">
        <v>2058</v>
      </c>
      <c r="L475" s="2" t="s">
        <v>122</v>
      </c>
    </row>
    <row r="476" spans="1:12" ht="34" customHeight="1">
      <c r="A476" s="2" t="s">
        <v>456</v>
      </c>
      <c r="B476" s="2" t="s">
        <v>224</v>
      </c>
      <c r="C476" s="2" t="s">
        <v>454</v>
      </c>
      <c r="D476" s="2" t="s">
        <v>124</v>
      </c>
      <c r="E476" s="11">
        <v>1</v>
      </c>
      <c r="F476" s="20" t="s">
        <v>1763</v>
      </c>
      <c r="G476" s="21" t="s">
        <v>60</v>
      </c>
      <c r="H476" s="21" t="s">
        <v>1779</v>
      </c>
      <c r="I476" s="2" t="s">
        <v>2059</v>
      </c>
      <c r="J476" s="2" t="s">
        <v>1781</v>
      </c>
      <c r="K476" s="2" t="s">
        <v>2060</v>
      </c>
      <c r="L476" s="2" t="s">
        <v>122</v>
      </c>
    </row>
    <row r="477" spans="1:12" ht="34" customHeight="1">
      <c r="A477" s="2" t="s">
        <v>456</v>
      </c>
      <c r="B477" s="2" t="s">
        <v>224</v>
      </c>
      <c r="C477" s="2" t="s">
        <v>454</v>
      </c>
      <c r="D477" s="2" t="s">
        <v>65</v>
      </c>
      <c r="E477" s="11">
        <v>0</v>
      </c>
      <c r="F477" s="20" t="s">
        <v>1763</v>
      </c>
      <c r="G477" s="21" t="s">
        <v>60</v>
      </c>
      <c r="H477" s="21" t="s">
        <v>1779</v>
      </c>
      <c r="I477" s="2" t="s">
        <v>2059</v>
      </c>
      <c r="J477" s="2" t="s">
        <v>1781</v>
      </c>
      <c r="K477" s="2" t="s">
        <v>2061</v>
      </c>
      <c r="L477" s="2" t="s">
        <v>122</v>
      </c>
    </row>
    <row r="478" spans="1:12" ht="37" customHeight="1">
      <c r="A478" s="2" t="s">
        <v>456</v>
      </c>
      <c r="B478" s="2" t="s">
        <v>224</v>
      </c>
      <c r="C478" s="2" t="s">
        <v>454</v>
      </c>
      <c r="D478" s="2" t="s">
        <v>222</v>
      </c>
      <c r="E478" s="5">
        <v>0.03</v>
      </c>
      <c r="F478" s="7" t="s">
        <v>1764</v>
      </c>
      <c r="G478" s="2" t="s">
        <v>60</v>
      </c>
      <c r="H478" s="2" t="s">
        <v>1759</v>
      </c>
      <c r="I478" s="2" t="s">
        <v>2057</v>
      </c>
      <c r="J478" s="2" t="s">
        <v>1781</v>
      </c>
      <c r="K478" s="2" t="s">
        <v>2058</v>
      </c>
      <c r="L478" s="2" t="s">
        <v>122</v>
      </c>
    </row>
    <row r="479" spans="1:12" ht="37" customHeight="1">
      <c r="A479" s="2" t="s">
        <v>456</v>
      </c>
      <c r="B479" s="2" t="s">
        <v>224</v>
      </c>
      <c r="C479" s="2" t="s">
        <v>454</v>
      </c>
      <c r="D479" s="2" t="s">
        <v>1765</v>
      </c>
      <c r="E479" s="5" t="s">
        <v>455</v>
      </c>
      <c r="F479" s="7" t="s">
        <v>1766</v>
      </c>
      <c r="G479" s="2" t="s">
        <v>60</v>
      </c>
      <c r="H479" s="2" t="s">
        <v>1759</v>
      </c>
      <c r="I479" s="2" t="s">
        <v>1767</v>
      </c>
      <c r="J479" s="2"/>
      <c r="K479" t="s">
        <v>1817</v>
      </c>
    </row>
    <row r="480" spans="1:12" ht="34" customHeight="1">
      <c r="A480" s="2" t="s">
        <v>461</v>
      </c>
      <c r="B480" s="2" t="s">
        <v>224</v>
      </c>
      <c r="C480" s="2" t="s">
        <v>458</v>
      </c>
      <c r="D480" s="2" t="s">
        <v>1757</v>
      </c>
      <c r="E480" s="5">
        <v>0.65</v>
      </c>
      <c r="F480" s="7" t="s">
        <v>1758</v>
      </c>
      <c r="G480" s="2" t="s">
        <v>60</v>
      </c>
      <c r="H480" s="2" t="s">
        <v>1759</v>
      </c>
      <c r="I480" s="2" t="s">
        <v>1776</v>
      </c>
      <c r="J480" s="2" t="s">
        <v>1777</v>
      </c>
      <c r="K480" s="2" t="s">
        <v>1778</v>
      </c>
      <c r="L480" s="2" t="s">
        <v>45</v>
      </c>
    </row>
    <row r="481" spans="1:12" ht="37" customHeight="1">
      <c r="A481" s="2" t="s">
        <v>461</v>
      </c>
      <c r="B481" s="2" t="s">
        <v>224</v>
      </c>
      <c r="C481" s="2" t="s">
        <v>458</v>
      </c>
      <c r="D481" s="2" t="s">
        <v>254</v>
      </c>
      <c r="E481" s="4">
        <v>0.2</v>
      </c>
      <c r="F481" s="7" t="s">
        <v>1758</v>
      </c>
      <c r="G481" s="2" t="s">
        <v>60</v>
      </c>
      <c r="H481" s="2" t="s">
        <v>1759</v>
      </c>
      <c r="I481" s="2" t="s">
        <v>1776</v>
      </c>
      <c r="J481" s="2" t="s">
        <v>1777</v>
      </c>
      <c r="K481" s="2" t="s">
        <v>1778</v>
      </c>
      <c r="L481" s="2" t="s">
        <v>45</v>
      </c>
    </row>
    <row r="482" spans="1:12" ht="37" customHeight="1">
      <c r="A482" s="2" t="s">
        <v>461</v>
      </c>
      <c r="B482" s="2" t="s">
        <v>224</v>
      </c>
      <c r="C482" s="2" t="s">
        <v>458</v>
      </c>
      <c r="D482" s="2" t="s">
        <v>124</v>
      </c>
      <c r="E482" s="6">
        <v>1</v>
      </c>
      <c r="F482" s="7" t="s">
        <v>1763</v>
      </c>
      <c r="G482" s="2" t="s">
        <v>60</v>
      </c>
      <c r="H482" s="2" t="s">
        <v>1759</v>
      </c>
      <c r="I482" s="2" t="s">
        <v>1776</v>
      </c>
      <c r="J482" s="2" t="s">
        <v>1777</v>
      </c>
      <c r="K482" s="2" t="s">
        <v>1778</v>
      </c>
      <c r="L482" s="2" t="s">
        <v>45</v>
      </c>
    </row>
    <row r="483" spans="1:12" ht="37" customHeight="1">
      <c r="A483" s="2" t="s">
        <v>461</v>
      </c>
      <c r="B483" s="2" t="s">
        <v>224</v>
      </c>
      <c r="C483" s="2" t="s">
        <v>458</v>
      </c>
      <c r="D483" s="2" t="s">
        <v>65</v>
      </c>
      <c r="E483" s="11">
        <v>0</v>
      </c>
      <c r="F483" s="20" t="s">
        <v>1763</v>
      </c>
      <c r="G483" s="21" t="s">
        <v>60</v>
      </c>
      <c r="H483" s="21" t="s">
        <v>1779</v>
      </c>
      <c r="I483" s="2" t="s">
        <v>2062</v>
      </c>
      <c r="J483" s="2" t="s">
        <v>1781</v>
      </c>
      <c r="K483" s="2" t="s">
        <v>1782</v>
      </c>
      <c r="L483" s="2" t="s">
        <v>45</v>
      </c>
    </row>
    <row r="484" spans="1:12" ht="37" customHeight="1">
      <c r="A484" s="2" t="s">
        <v>461</v>
      </c>
      <c r="B484" s="2" t="s">
        <v>224</v>
      </c>
      <c r="C484" s="2" t="s">
        <v>458</v>
      </c>
      <c r="D484" s="2" t="s">
        <v>222</v>
      </c>
      <c r="E484" s="5">
        <v>0.15</v>
      </c>
      <c r="F484" s="7" t="s">
        <v>1764</v>
      </c>
      <c r="G484" s="2" t="s">
        <v>60</v>
      </c>
      <c r="H484" s="2" t="s">
        <v>1759</v>
      </c>
      <c r="I484" s="2" t="s">
        <v>1776</v>
      </c>
      <c r="J484" s="2" t="s">
        <v>1777</v>
      </c>
      <c r="K484" s="2" t="s">
        <v>1778</v>
      </c>
      <c r="L484" s="2" t="s">
        <v>45</v>
      </c>
    </row>
    <row r="485" spans="1:12" ht="37" customHeight="1">
      <c r="A485" s="2" t="s">
        <v>461</v>
      </c>
      <c r="B485" s="2" t="s">
        <v>224</v>
      </c>
      <c r="C485" s="2" t="s">
        <v>458</v>
      </c>
      <c r="D485" s="2" t="s">
        <v>1765</v>
      </c>
      <c r="E485" s="5" t="s">
        <v>459</v>
      </c>
      <c r="F485" s="7" t="s">
        <v>1766</v>
      </c>
      <c r="G485" s="2" t="s">
        <v>60</v>
      </c>
      <c r="H485" s="2" t="s">
        <v>1759</v>
      </c>
      <c r="I485" s="2" t="s">
        <v>1767</v>
      </c>
      <c r="J485" s="2"/>
      <c r="K485" t="s">
        <v>1783</v>
      </c>
    </row>
    <row r="486" spans="1:12" ht="37" customHeight="1">
      <c r="A486" s="2" t="s">
        <v>469</v>
      </c>
      <c r="B486" s="2" t="s">
        <v>462</v>
      </c>
      <c r="C486" s="2" t="s">
        <v>463</v>
      </c>
      <c r="D486" s="2" t="s">
        <v>1757</v>
      </c>
      <c r="E486" s="7" t="s">
        <v>464</v>
      </c>
      <c r="F486" s="7" t="s">
        <v>1758</v>
      </c>
      <c r="G486" s="2" t="s">
        <v>29</v>
      </c>
      <c r="H486" s="2" t="s">
        <v>1759</v>
      </c>
      <c r="I486" s="2" t="s">
        <v>2063</v>
      </c>
      <c r="J486" s="2" t="s">
        <v>2064</v>
      </c>
      <c r="K486" s="2" t="s">
        <v>2065</v>
      </c>
      <c r="L486" s="2" t="s">
        <v>45</v>
      </c>
    </row>
    <row r="487" spans="1:12" ht="50.5" customHeight="1">
      <c r="A487" s="2" t="s">
        <v>469</v>
      </c>
      <c r="B487" s="2" t="s">
        <v>462</v>
      </c>
      <c r="C487" s="2" t="s">
        <v>463</v>
      </c>
      <c r="D487" s="2" t="s">
        <v>254</v>
      </c>
      <c r="E487" s="7" t="s">
        <v>465</v>
      </c>
      <c r="F487" s="7" t="s">
        <v>1758</v>
      </c>
      <c r="G487" s="2" t="s">
        <v>29</v>
      </c>
      <c r="H487" s="2" t="s">
        <v>1759</v>
      </c>
      <c r="I487" s="2" t="s">
        <v>2063</v>
      </c>
      <c r="J487" s="2" t="s">
        <v>2064</v>
      </c>
      <c r="K487" s="2" t="s">
        <v>2065</v>
      </c>
      <c r="L487" s="2" t="s">
        <v>45</v>
      </c>
    </row>
    <row r="488" spans="1:12" ht="37" customHeight="1">
      <c r="A488" s="2" t="s">
        <v>469</v>
      </c>
      <c r="B488" s="2" t="s">
        <v>462</v>
      </c>
      <c r="C488" s="2" t="s">
        <v>463</v>
      </c>
      <c r="D488" s="2" t="s">
        <v>124</v>
      </c>
      <c r="E488" s="7" t="s">
        <v>466</v>
      </c>
      <c r="F488" s="7" t="s">
        <v>1763</v>
      </c>
      <c r="G488" s="2" t="s">
        <v>29</v>
      </c>
      <c r="H488" s="2" t="s">
        <v>1759</v>
      </c>
      <c r="I488" s="2" t="s">
        <v>2063</v>
      </c>
      <c r="J488" s="2" t="s">
        <v>2064</v>
      </c>
      <c r="K488" s="2" t="s">
        <v>2065</v>
      </c>
      <c r="L488" s="2" t="s">
        <v>45</v>
      </c>
    </row>
    <row r="489" spans="1:12" ht="37" customHeight="1">
      <c r="A489" s="2" t="s">
        <v>469</v>
      </c>
      <c r="B489" s="2" t="s">
        <v>462</v>
      </c>
      <c r="C489" s="2" t="s">
        <v>463</v>
      </c>
      <c r="D489" s="2" t="s">
        <v>65</v>
      </c>
      <c r="E489" s="7"/>
      <c r="F489" s="7" t="s">
        <v>1763</v>
      </c>
      <c r="G489" s="2" t="s">
        <v>29</v>
      </c>
      <c r="H489" s="2" t="s">
        <v>1773</v>
      </c>
      <c r="I489" s="2"/>
      <c r="J489" s="2"/>
      <c r="K489" s="2" t="s">
        <v>2065</v>
      </c>
      <c r="L489" s="2" t="s">
        <v>45</v>
      </c>
    </row>
    <row r="490" spans="1:12" ht="37" customHeight="1">
      <c r="A490" s="2" t="s">
        <v>469</v>
      </c>
      <c r="B490" s="2" t="s">
        <v>462</v>
      </c>
      <c r="C490" s="2" t="s">
        <v>463</v>
      </c>
      <c r="D490" s="2" t="s">
        <v>222</v>
      </c>
      <c r="E490" s="7" t="s">
        <v>467</v>
      </c>
      <c r="F490" s="7" t="s">
        <v>1764</v>
      </c>
      <c r="G490" s="2" t="s">
        <v>29</v>
      </c>
      <c r="H490" s="2" t="s">
        <v>1759</v>
      </c>
      <c r="I490" s="2" t="s">
        <v>2063</v>
      </c>
      <c r="J490" s="2" t="s">
        <v>2064</v>
      </c>
      <c r="K490" s="2" t="s">
        <v>2065</v>
      </c>
      <c r="L490" s="2" t="s">
        <v>45</v>
      </c>
    </row>
    <row r="491" spans="1:12" ht="37" customHeight="1">
      <c r="A491" s="2" t="s">
        <v>469</v>
      </c>
      <c r="B491" s="2" t="s">
        <v>462</v>
      </c>
      <c r="C491" s="2" t="s">
        <v>463</v>
      </c>
      <c r="D491" s="2" t="s">
        <v>1765</v>
      </c>
      <c r="E491" s="7" t="s">
        <v>243</v>
      </c>
      <c r="F491" s="7" t="s">
        <v>1766</v>
      </c>
      <c r="G491" s="2" t="s">
        <v>29</v>
      </c>
      <c r="H491" s="2" t="s">
        <v>1759</v>
      </c>
      <c r="I491" s="2" t="s">
        <v>1767</v>
      </c>
      <c r="J491" s="2"/>
      <c r="K491" t="s">
        <v>1889</v>
      </c>
    </row>
    <row r="492" spans="1:12" ht="37" customHeight="1">
      <c r="A492" s="2" t="s">
        <v>475</v>
      </c>
      <c r="B492" s="2" t="s">
        <v>462</v>
      </c>
      <c r="C492" s="2" t="s">
        <v>472</v>
      </c>
      <c r="D492" s="2" t="s">
        <v>1757</v>
      </c>
      <c r="E492" s="7" t="s">
        <v>466</v>
      </c>
      <c r="F492" s="7" t="s">
        <v>1758</v>
      </c>
      <c r="G492" s="2" t="s">
        <v>29</v>
      </c>
      <c r="H492" s="2" t="s">
        <v>1759</v>
      </c>
      <c r="I492" s="2" t="s">
        <v>2066</v>
      </c>
      <c r="J492" s="2" t="s">
        <v>2064</v>
      </c>
      <c r="K492" s="2" t="s">
        <v>2067</v>
      </c>
      <c r="L492" s="2" t="s">
        <v>45</v>
      </c>
    </row>
    <row r="493" spans="1:12" ht="50.5" customHeight="1">
      <c r="A493" s="2" t="s">
        <v>475</v>
      </c>
      <c r="B493" s="2" t="s">
        <v>462</v>
      </c>
      <c r="C493" s="2" t="s">
        <v>472</v>
      </c>
      <c r="D493" s="2" t="s">
        <v>254</v>
      </c>
      <c r="E493" s="7" t="s">
        <v>473</v>
      </c>
      <c r="F493" s="7" t="s">
        <v>1758</v>
      </c>
      <c r="G493" s="2" t="s">
        <v>29</v>
      </c>
      <c r="H493" s="2" t="s">
        <v>1759</v>
      </c>
      <c r="I493" s="2" t="s">
        <v>2066</v>
      </c>
      <c r="J493" s="2" t="s">
        <v>2064</v>
      </c>
      <c r="K493" s="2" t="s">
        <v>2067</v>
      </c>
      <c r="L493" s="2" t="s">
        <v>45</v>
      </c>
    </row>
    <row r="494" spans="1:12" ht="50.5" customHeight="1">
      <c r="A494" s="2" t="s">
        <v>475</v>
      </c>
      <c r="B494" s="2" t="s">
        <v>462</v>
      </c>
      <c r="C494" s="2" t="s">
        <v>472</v>
      </c>
      <c r="D494" s="2" t="s">
        <v>124</v>
      </c>
      <c r="E494" s="7" t="s">
        <v>466</v>
      </c>
      <c r="F494" s="7" t="s">
        <v>1763</v>
      </c>
      <c r="G494" s="2" t="s">
        <v>29</v>
      </c>
      <c r="H494" s="2" t="s">
        <v>1759</v>
      </c>
      <c r="I494" s="2" t="s">
        <v>2066</v>
      </c>
      <c r="J494" s="2" t="s">
        <v>2064</v>
      </c>
      <c r="K494" s="2" t="s">
        <v>2067</v>
      </c>
      <c r="L494" s="2" t="s">
        <v>45</v>
      </c>
    </row>
    <row r="495" spans="1:12" ht="37" customHeight="1">
      <c r="A495" s="2" t="s">
        <v>475</v>
      </c>
      <c r="B495" s="2" t="s">
        <v>462</v>
      </c>
      <c r="C495" s="2" t="s">
        <v>472</v>
      </c>
      <c r="D495" s="2" t="s">
        <v>65</v>
      </c>
      <c r="E495" s="7"/>
      <c r="F495" s="7" t="s">
        <v>1763</v>
      </c>
      <c r="G495" s="2" t="s">
        <v>29</v>
      </c>
      <c r="H495" s="2" t="s">
        <v>1773</v>
      </c>
      <c r="I495" s="2"/>
      <c r="J495" s="2"/>
      <c r="K495" s="2" t="s">
        <v>2067</v>
      </c>
      <c r="L495" s="2" t="s">
        <v>45</v>
      </c>
    </row>
    <row r="496" spans="1:12" ht="37" customHeight="1">
      <c r="A496" s="2" t="s">
        <v>475</v>
      </c>
      <c r="B496" s="2" t="s">
        <v>462</v>
      </c>
      <c r="C496" s="2" t="s">
        <v>472</v>
      </c>
      <c r="D496" s="2" t="s">
        <v>222</v>
      </c>
      <c r="E496" s="7" t="s">
        <v>474</v>
      </c>
      <c r="F496" s="7" t="s">
        <v>1764</v>
      </c>
      <c r="G496" s="2" t="s">
        <v>29</v>
      </c>
      <c r="H496" s="2" t="s">
        <v>1759</v>
      </c>
      <c r="I496" s="2" t="s">
        <v>2066</v>
      </c>
      <c r="J496" s="2" t="s">
        <v>2064</v>
      </c>
      <c r="K496" s="2" t="s">
        <v>2067</v>
      </c>
      <c r="L496" s="2" t="s">
        <v>45</v>
      </c>
    </row>
    <row r="497" spans="1:12" ht="37" customHeight="1">
      <c r="A497" s="2" t="s">
        <v>475</v>
      </c>
      <c r="B497" s="2" t="s">
        <v>462</v>
      </c>
      <c r="C497" s="2" t="s">
        <v>472</v>
      </c>
      <c r="D497" s="2" t="s">
        <v>1765</v>
      </c>
      <c r="E497" s="7" t="s">
        <v>243</v>
      </c>
      <c r="F497" s="7" t="s">
        <v>1766</v>
      </c>
      <c r="G497" s="2" t="s">
        <v>29</v>
      </c>
      <c r="H497" s="2" t="s">
        <v>1759</v>
      </c>
      <c r="I497" s="2" t="s">
        <v>1767</v>
      </c>
      <c r="J497" s="2"/>
      <c r="K497" t="s">
        <v>1889</v>
      </c>
    </row>
    <row r="498" spans="1:12" ht="37" customHeight="1">
      <c r="A498" s="2" t="s">
        <v>481</v>
      </c>
      <c r="B498" s="2" t="s">
        <v>462</v>
      </c>
      <c r="C498" s="2" t="s">
        <v>477</v>
      </c>
      <c r="D498" s="2" t="s">
        <v>1757</v>
      </c>
      <c r="E498" s="4">
        <v>6.8</v>
      </c>
      <c r="F498" s="7" t="s">
        <v>1758</v>
      </c>
      <c r="G498" s="2" t="s">
        <v>29</v>
      </c>
      <c r="H498" s="2" t="s">
        <v>1759</v>
      </c>
      <c r="I498" s="2" t="s">
        <v>2068</v>
      </c>
      <c r="J498" s="2" t="s">
        <v>2069</v>
      </c>
      <c r="K498" s="2" t="s">
        <v>2070</v>
      </c>
      <c r="L498" s="2" t="s">
        <v>45</v>
      </c>
    </row>
    <row r="499" spans="1:12" ht="37" customHeight="1">
      <c r="A499" s="2" t="s">
        <v>481</v>
      </c>
      <c r="B499" s="2" t="s">
        <v>462</v>
      </c>
      <c r="C499" s="2" t="s">
        <v>477</v>
      </c>
      <c r="D499" s="2" t="s">
        <v>254</v>
      </c>
      <c r="E499" s="4">
        <v>2.1</v>
      </c>
      <c r="F499" s="7" t="s">
        <v>1758</v>
      </c>
      <c r="G499" s="2" t="s">
        <v>29</v>
      </c>
      <c r="H499" s="2" t="s">
        <v>1759</v>
      </c>
      <c r="I499" s="2" t="s">
        <v>2068</v>
      </c>
      <c r="J499" s="2" t="s">
        <v>2069</v>
      </c>
      <c r="K499" s="2" t="s">
        <v>2070</v>
      </c>
      <c r="L499" s="2" t="s">
        <v>45</v>
      </c>
    </row>
    <row r="500" spans="1:12" ht="37" customHeight="1">
      <c r="A500" s="2" t="s">
        <v>481</v>
      </c>
      <c r="B500" s="2" t="s">
        <v>462</v>
      </c>
      <c r="C500" s="2" t="s">
        <v>477</v>
      </c>
      <c r="D500" s="2" t="s">
        <v>124</v>
      </c>
      <c r="E500" s="4">
        <v>1.8</v>
      </c>
      <c r="F500" s="7" t="s">
        <v>1763</v>
      </c>
      <c r="G500" s="2" t="s">
        <v>29</v>
      </c>
      <c r="H500" s="2" t="s">
        <v>1759</v>
      </c>
      <c r="I500" s="2" t="s">
        <v>2068</v>
      </c>
      <c r="J500" s="2" t="s">
        <v>2069</v>
      </c>
      <c r="K500" s="2" t="s">
        <v>2070</v>
      </c>
      <c r="L500" s="2" t="s">
        <v>45</v>
      </c>
    </row>
    <row r="501" spans="1:12" ht="34" customHeight="1">
      <c r="A501" s="2" t="s">
        <v>481</v>
      </c>
      <c r="B501" s="2" t="s">
        <v>462</v>
      </c>
      <c r="C501" s="2" t="s">
        <v>477</v>
      </c>
      <c r="D501" s="2" t="s">
        <v>65</v>
      </c>
      <c r="E501" s="8">
        <v>0.625</v>
      </c>
      <c r="F501" s="7" t="s">
        <v>1763</v>
      </c>
      <c r="G501" s="2" t="s">
        <v>29</v>
      </c>
      <c r="H501" s="2" t="s">
        <v>1759</v>
      </c>
      <c r="I501" s="2" t="s">
        <v>2068</v>
      </c>
      <c r="J501" s="2" t="s">
        <v>2069</v>
      </c>
      <c r="K501" s="2" t="s">
        <v>2070</v>
      </c>
      <c r="L501" s="2" t="s">
        <v>45</v>
      </c>
    </row>
    <row r="502" spans="1:12" ht="34" customHeight="1">
      <c r="A502" s="2" t="s">
        <v>481</v>
      </c>
      <c r="B502" s="2" t="s">
        <v>462</v>
      </c>
      <c r="C502" s="2" t="s">
        <v>477</v>
      </c>
      <c r="D502" s="2" t="s">
        <v>222</v>
      </c>
      <c r="E502" s="7" t="s">
        <v>478</v>
      </c>
      <c r="F502" s="7" t="s">
        <v>1764</v>
      </c>
      <c r="G502" s="2" t="s">
        <v>29</v>
      </c>
      <c r="H502" s="2" t="s">
        <v>1759</v>
      </c>
      <c r="I502" s="2" t="s">
        <v>2068</v>
      </c>
      <c r="J502" s="2" t="s">
        <v>2069</v>
      </c>
      <c r="K502" s="2" t="s">
        <v>2070</v>
      </c>
      <c r="L502" s="2" t="s">
        <v>45</v>
      </c>
    </row>
    <row r="503" spans="1:12" ht="34" customHeight="1">
      <c r="A503" s="2" t="s">
        <v>481</v>
      </c>
      <c r="B503" s="2" t="s">
        <v>462</v>
      </c>
      <c r="C503" s="2" t="s">
        <v>477</v>
      </c>
      <c r="D503" s="2" t="s">
        <v>1765</v>
      </c>
      <c r="E503" s="7" t="s">
        <v>479</v>
      </c>
      <c r="F503" s="7" t="s">
        <v>1766</v>
      </c>
      <c r="G503" s="2" t="s">
        <v>29</v>
      </c>
      <c r="H503" s="2" t="s">
        <v>1759</v>
      </c>
      <c r="I503" s="2" t="s">
        <v>1767</v>
      </c>
      <c r="J503" s="2"/>
      <c r="K503" t="s">
        <v>2071</v>
      </c>
    </row>
    <row r="504" spans="1:12" ht="34" customHeight="1">
      <c r="A504" s="2" t="s">
        <v>489</v>
      </c>
      <c r="B504" s="2" t="s">
        <v>462</v>
      </c>
      <c r="C504" s="2" t="s">
        <v>482</v>
      </c>
      <c r="D504" s="2" t="s">
        <v>1757</v>
      </c>
      <c r="E504" s="7" t="s">
        <v>483</v>
      </c>
      <c r="F504" s="7" t="s">
        <v>1758</v>
      </c>
      <c r="G504" s="2" t="s">
        <v>29</v>
      </c>
      <c r="H504" s="2" t="s">
        <v>1759</v>
      </c>
      <c r="I504" s="2" t="s">
        <v>2072</v>
      </c>
      <c r="J504" s="2" t="s">
        <v>2073</v>
      </c>
      <c r="K504" s="2" t="s">
        <v>2074</v>
      </c>
      <c r="L504" s="2" t="s">
        <v>35</v>
      </c>
    </row>
    <row r="505" spans="1:12" ht="34" customHeight="1">
      <c r="A505" s="2" t="s">
        <v>489</v>
      </c>
      <c r="B505" s="2" t="s">
        <v>462</v>
      </c>
      <c r="C505" s="2" t="s">
        <v>482</v>
      </c>
      <c r="D505" s="2" t="s">
        <v>254</v>
      </c>
      <c r="E505" s="7" t="s">
        <v>484</v>
      </c>
      <c r="F505" s="7" t="s">
        <v>1758</v>
      </c>
      <c r="G505" s="2" t="s">
        <v>29</v>
      </c>
      <c r="H505" s="2" t="s">
        <v>1759</v>
      </c>
      <c r="I505" s="2" t="s">
        <v>2072</v>
      </c>
      <c r="J505" s="2" t="s">
        <v>2073</v>
      </c>
      <c r="K505" s="2" t="s">
        <v>2074</v>
      </c>
      <c r="L505" s="2" t="s">
        <v>35</v>
      </c>
    </row>
    <row r="506" spans="1:12" ht="34" customHeight="1">
      <c r="A506" s="2" t="s">
        <v>489</v>
      </c>
      <c r="B506" s="2" t="s">
        <v>462</v>
      </c>
      <c r="C506" s="2" t="s">
        <v>482</v>
      </c>
      <c r="D506" s="2" t="s">
        <v>124</v>
      </c>
      <c r="E506" s="7" t="s">
        <v>407</v>
      </c>
      <c r="F506" s="7" t="s">
        <v>1763</v>
      </c>
      <c r="G506" s="2" t="s">
        <v>29</v>
      </c>
      <c r="H506" s="2" t="s">
        <v>1759</v>
      </c>
      <c r="I506" s="2" t="s">
        <v>2072</v>
      </c>
      <c r="J506" s="2" t="s">
        <v>2073</v>
      </c>
      <c r="K506" s="2" t="s">
        <v>2074</v>
      </c>
      <c r="L506" s="2" t="s">
        <v>35</v>
      </c>
    </row>
    <row r="507" spans="1:12" ht="34" customHeight="1">
      <c r="A507" s="2" t="s">
        <v>489</v>
      </c>
      <c r="B507" s="2" t="s">
        <v>462</v>
      </c>
      <c r="C507" s="2" t="s">
        <v>482</v>
      </c>
      <c r="D507" s="2" t="s">
        <v>65</v>
      </c>
      <c r="E507" s="7" t="s">
        <v>485</v>
      </c>
      <c r="F507" s="7" t="s">
        <v>1763</v>
      </c>
      <c r="G507" s="2" t="s">
        <v>29</v>
      </c>
      <c r="H507" s="2" t="s">
        <v>1759</v>
      </c>
      <c r="I507" s="2" t="s">
        <v>2072</v>
      </c>
      <c r="J507" s="2" t="s">
        <v>2073</v>
      </c>
      <c r="K507" s="2" t="s">
        <v>2074</v>
      </c>
      <c r="L507" s="2" t="s">
        <v>35</v>
      </c>
    </row>
    <row r="508" spans="1:12" ht="34" customHeight="1">
      <c r="A508" s="2" t="s">
        <v>489</v>
      </c>
      <c r="B508" s="2" t="s">
        <v>462</v>
      </c>
      <c r="C508" s="2" t="s">
        <v>482</v>
      </c>
      <c r="D508" s="2" t="s">
        <v>222</v>
      </c>
      <c r="E508" s="7" t="s">
        <v>486</v>
      </c>
      <c r="F508" s="7" t="s">
        <v>1764</v>
      </c>
      <c r="G508" s="2" t="s">
        <v>29</v>
      </c>
      <c r="H508" s="2" t="s">
        <v>1759</v>
      </c>
      <c r="I508" s="2" t="s">
        <v>2072</v>
      </c>
      <c r="J508" s="2" t="s">
        <v>2073</v>
      </c>
      <c r="K508" s="2" t="s">
        <v>2074</v>
      </c>
      <c r="L508" s="2" t="s">
        <v>35</v>
      </c>
    </row>
    <row r="509" spans="1:12" ht="34" customHeight="1">
      <c r="A509" s="2" t="s">
        <v>489</v>
      </c>
      <c r="B509" s="2" t="s">
        <v>462</v>
      </c>
      <c r="C509" s="2" t="s">
        <v>482</v>
      </c>
      <c r="D509" s="2" t="s">
        <v>1765</v>
      </c>
      <c r="E509" s="7" t="s">
        <v>479</v>
      </c>
      <c r="F509" s="7" t="s">
        <v>1766</v>
      </c>
      <c r="G509" s="2" t="s">
        <v>29</v>
      </c>
      <c r="H509" s="2" t="s">
        <v>1759</v>
      </c>
      <c r="I509" s="2" t="s">
        <v>1767</v>
      </c>
      <c r="J509" s="2"/>
      <c r="K509" t="s">
        <v>2071</v>
      </c>
    </row>
    <row r="510" spans="1:12" ht="34" customHeight="1">
      <c r="A510" s="2" t="s">
        <v>492</v>
      </c>
      <c r="B510" s="2" t="s">
        <v>462</v>
      </c>
      <c r="C510" s="2" t="s">
        <v>491</v>
      </c>
      <c r="D510" s="2" t="s">
        <v>1757</v>
      </c>
      <c r="E510" s="5">
        <v>0.53</v>
      </c>
      <c r="F510" s="7" t="s">
        <v>1758</v>
      </c>
      <c r="G510" s="2" t="s">
        <v>60</v>
      </c>
      <c r="H510" s="2" t="s">
        <v>1759</v>
      </c>
      <c r="I510" s="2" t="s">
        <v>1776</v>
      </c>
      <c r="J510" s="2" t="s">
        <v>1777</v>
      </c>
      <c r="K510" s="2" t="s">
        <v>1778</v>
      </c>
      <c r="L510" s="2" t="s">
        <v>45</v>
      </c>
    </row>
    <row r="511" spans="1:12" ht="37" customHeight="1">
      <c r="A511" s="2" t="s">
        <v>492</v>
      </c>
      <c r="B511" s="2" t="s">
        <v>462</v>
      </c>
      <c r="C511" s="2" t="s">
        <v>491</v>
      </c>
      <c r="D511" s="2" t="s">
        <v>254</v>
      </c>
      <c r="E511" s="5">
        <v>0.14000000000000001</v>
      </c>
      <c r="F511" s="7" t="s">
        <v>1758</v>
      </c>
      <c r="G511" s="2" t="s">
        <v>60</v>
      </c>
      <c r="H511" s="2" t="s">
        <v>1759</v>
      </c>
      <c r="I511" s="2" t="s">
        <v>1776</v>
      </c>
      <c r="J511" s="2" t="s">
        <v>1777</v>
      </c>
      <c r="K511" s="2" t="s">
        <v>1778</v>
      </c>
      <c r="L511" s="2" t="s">
        <v>45</v>
      </c>
    </row>
    <row r="512" spans="1:12" ht="37" customHeight="1">
      <c r="A512" s="2" t="s">
        <v>492</v>
      </c>
      <c r="B512" s="2" t="s">
        <v>462</v>
      </c>
      <c r="C512" s="2" t="s">
        <v>491</v>
      </c>
      <c r="D512" s="2" t="s">
        <v>124</v>
      </c>
      <c r="E512" s="6">
        <v>1</v>
      </c>
      <c r="F512" s="7" t="s">
        <v>1763</v>
      </c>
      <c r="G512" s="2" t="s">
        <v>60</v>
      </c>
      <c r="H512" s="2" t="s">
        <v>1759</v>
      </c>
      <c r="I512" s="2" t="s">
        <v>1776</v>
      </c>
      <c r="J512" s="2" t="s">
        <v>1777</v>
      </c>
      <c r="K512" s="2" t="s">
        <v>1778</v>
      </c>
      <c r="L512" s="2" t="s">
        <v>45</v>
      </c>
    </row>
    <row r="513" spans="1:12" ht="34" customHeight="1">
      <c r="A513" s="2" t="s">
        <v>492</v>
      </c>
      <c r="B513" s="2" t="s">
        <v>462</v>
      </c>
      <c r="C513" s="2" t="s">
        <v>491</v>
      </c>
      <c r="D513" s="2" t="s">
        <v>65</v>
      </c>
      <c r="E513" s="11">
        <v>0</v>
      </c>
      <c r="F513" s="20" t="s">
        <v>1763</v>
      </c>
      <c r="G513" s="21" t="s">
        <v>60</v>
      </c>
      <c r="H513" s="21" t="s">
        <v>1779</v>
      </c>
      <c r="I513" s="2" t="s">
        <v>2075</v>
      </c>
      <c r="J513" s="2" t="s">
        <v>1781</v>
      </c>
      <c r="K513" s="2" t="s">
        <v>1782</v>
      </c>
      <c r="L513" s="2" t="s">
        <v>45</v>
      </c>
    </row>
    <row r="514" spans="1:12" ht="34" customHeight="1">
      <c r="A514" s="2" t="s">
        <v>492</v>
      </c>
      <c r="B514" s="2" t="s">
        <v>462</v>
      </c>
      <c r="C514" s="2" t="s">
        <v>491</v>
      </c>
      <c r="D514" s="2" t="s">
        <v>222</v>
      </c>
      <c r="E514" s="5">
        <v>0.04</v>
      </c>
      <c r="F514" s="7" t="s">
        <v>1764</v>
      </c>
      <c r="G514" s="2" t="s">
        <v>60</v>
      </c>
      <c r="H514" s="2" t="s">
        <v>1759</v>
      </c>
      <c r="I514" s="2" t="s">
        <v>1776</v>
      </c>
      <c r="J514" s="2" t="s">
        <v>1777</v>
      </c>
      <c r="K514" s="2" t="s">
        <v>1778</v>
      </c>
      <c r="L514" s="2" t="s">
        <v>45</v>
      </c>
    </row>
    <row r="515" spans="1:12" ht="37" customHeight="1">
      <c r="A515" s="2" t="s">
        <v>492</v>
      </c>
      <c r="B515" s="2" t="s">
        <v>462</v>
      </c>
      <c r="C515" s="2" t="s">
        <v>491</v>
      </c>
      <c r="D515" s="2" t="s">
        <v>1765</v>
      </c>
      <c r="E515" s="5" t="s">
        <v>293</v>
      </c>
      <c r="F515" s="7" t="s">
        <v>1766</v>
      </c>
      <c r="G515" s="2" t="s">
        <v>60</v>
      </c>
      <c r="H515" s="2" t="s">
        <v>1759</v>
      </c>
      <c r="I515" s="2" t="s">
        <v>1767</v>
      </c>
      <c r="J515" s="2"/>
      <c r="K515" t="s">
        <v>1783</v>
      </c>
    </row>
    <row r="516" spans="1:12" ht="64" customHeight="1">
      <c r="A516" s="2" t="s">
        <v>496</v>
      </c>
      <c r="B516" s="2" t="s">
        <v>462</v>
      </c>
      <c r="C516" s="2" t="s">
        <v>494</v>
      </c>
      <c r="D516" s="2" t="s">
        <v>1757</v>
      </c>
      <c r="E516" s="4">
        <v>1.8</v>
      </c>
      <c r="F516" s="7" t="s">
        <v>1758</v>
      </c>
      <c r="G516" s="2" t="s">
        <v>29</v>
      </c>
      <c r="H516" s="2" t="s">
        <v>1759</v>
      </c>
      <c r="I516" s="2" t="s">
        <v>2076</v>
      </c>
      <c r="J516" s="2" t="s">
        <v>2077</v>
      </c>
      <c r="K516" s="2" t="s">
        <v>2078</v>
      </c>
      <c r="L516" s="2" t="s">
        <v>45</v>
      </c>
    </row>
    <row r="517" spans="1:12" ht="64" customHeight="1">
      <c r="A517" s="2" t="s">
        <v>496</v>
      </c>
      <c r="B517" s="2" t="s">
        <v>462</v>
      </c>
      <c r="C517" s="2" t="s">
        <v>494</v>
      </c>
      <c r="D517" s="2" t="s">
        <v>254</v>
      </c>
      <c r="E517" s="4">
        <v>0.5</v>
      </c>
      <c r="F517" s="7" t="s">
        <v>1758</v>
      </c>
      <c r="G517" s="2" t="s">
        <v>29</v>
      </c>
      <c r="H517" s="2" t="s">
        <v>1759</v>
      </c>
      <c r="I517" s="2" t="s">
        <v>2076</v>
      </c>
      <c r="J517" s="2" t="s">
        <v>2077</v>
      </c>
      <c r="K517" s="2" t="s">
        <v>2078</v>
      </c>
      <c r="L517" s="2" t="s">
        <v>45</v>
      </c>
    </row>
    <row r="518" spans="1:12" ht="64" customHeight="1">
      <c r="A518" s="2" t="s">
        <v>496</v>
      </c>
      <c r="B518" s="2" t="s">
        <v>462</v>
      </c>
      <c r="C518" s="2" t="s">
        <v>494</v>
      </c>
      <c r="D518" s="2" t="s">
        <v>124</v>
      </c>
      <c r="E518" s="6">
        <v>2</v>
      </c>
      <c r="F518" s="7" t="s">
        <v>1763</v>
      </c>
      <c r="G518" s="2" t="s">
        <v>29</v>
      </c>
      <c r="H518" s="2" t="s">
        <v>1759</v>
      </c>
      <c r="I518" s="2" t="s">
        <v>2076</v>
      </c>
      <c r="J518" s="2" t="s">
        <v>2077</v>
      </c>
      <c r="K518" s="2" t="s">
        <v>2078</v>
      </c>
      <c r="L518" s="2" t="s">
        <v>45</v>
      </c>
    </row>
    <row r="519" spans="1:12" ht="64" customHeight="1">
      <c r="A519" s="2" t="s">
        <v>496</v>
      </c>
      <c r="B519" s="2" t="s">
        <v>462</v>
      </c>
      <c r="C519" s="2" t="s">
        <v>494</v>
      </c>
      <c r="D519" s="2" t="s">
        <v>65</v>
      </c>
      <c r="E519" s="4">
        <v>0.8</v>
      </c>
      <c r="F519" s="7" t="s">
        <v>1763</v>
      </c>
      <c r="G519" s="2" t="s">
        <v>29</v>
      </c>
      <c r="H519" s="2" t="s">
        <v>1759</v>
      </c>
      <c r="I519" s="2" t="s">
        <v>2076</v>
      </c>
      <c r="J519" s="2" t="s">
        <v>2077</v>
      </c>
      <c r="K519" s="2" t="s">
        <v>2078</v>
      </c>
      <c r="L519" s="2" t="s">
        <v>45</v>
      </c>
    </row>
    <row r="520" spans="1:12" ht="64" customHeight="1">
      <c r="A520" s="2" t="s">
        <v>496</v>
      </c>
      <c r="B520" s="2" t="s">
        <v>462</v>
      </c>
      <c r="C520" s="2" t="s">
        <v>494</v>
      </c>
      <c r="D520" s="2" t="s">
        <v>222</v>
      </c>
      <c r="E520" s="6">
        <v>2</v>
      </c>
      <c r="F520" s="7" t="s">
        <v>1764</v>
      </c>
      <c r="G520" s="2" t="s">
        <v>29</v>
      </c>
      <c r="H520" s="2" t="s">
        <v>1759</v>
      </c>
      <c r="I520" s="2" t="s">
        <v>2076</v>
      </c>
      <c r="J520" s="2" t="s">
        <v>2077</v>
      </c>
      <c r="K520" s="2" t="s">
        <v>2078</v>
      </c>
      <c r="L520" s="2" t="s">
        <v>45</v>
      </c>
    </row>
    <row r="521" spans="1:12" ht="34" customHeight="1">
      <c r="A521" s="2" t="s">
        <v>496</v>
      </c>
      <c r="B521" s="2" t="s">
        <v>462</v>
      </c>
      <c r="C521" s="2" t="s">
        <v>494</v>
      </c>
      <c r="D521" s="2" t="s">
        <v>1765</v>
      </c>
      <c r="E521" s="6" t="s">
        <v>70</v>
      </c>
      <c r="F521" s="7" t="s">
        <v>1766</v>
      </c>
      <c r="G521" s="2" t="s">
        <v>29</v>
      </c>
      <c r="H521" s="2" t="s">
        <v>1759</v>
      </c>
      <c r="I521" s="2" t="s">
        <v>1767</v>
      </c>
      <c r="J521" s="2"/>
      <c r="K521" t="s">
        <v>2079</v>
      </c>
    </row>
    <row r="522" spans="1:12" ht="34" customHeight="1">
      <c r="A522" s="2" t="s">
        <v>499</v>
      </c>
      <c r="B522" s="2" t="s">
        <v>462</v>
      </c>
      <c r="C522" s="2" t="s">
        <v>498</v>
      </c>
      <c r="D522" s="2" t="s">
        <v>1757</v>
      </c>
      <c r="E522" s="5">
        <v>0.27</v>
      </c>
      <c r="F522" s="7" t="s">
        <v>1758</v>
      </c>
      <c r="G522" s="2" t="s">
        <v>60</v>
      </c>
      <c r="H522" s="2" t="s">
        <v>1759</v>
      </c>
      <c r="I522" s="2" t="s">
        <v>1776</v>
      </c>
      <c r="J522" s="2" t="s">
        <v>1777</v>
      </c>
      <c r="K522" s="2" t="s">
        <v>1778</v>
      </c>
      <c r="L522" s="2" t="s">
        <v>45</v>
      </c>
    </row>
    <row r="523" spans="1:12" ht="37" customHeight="1">
      <c r="A523" s="2" t="s">
        <v>499</v>
      </c>
      <c r="B523" s="2" t="s">
        <v>462</v>
      </c>
      <c r="C523" s="2" t="s">
        <v>498</v>
      </c>
      <c r="D523" s="2" t="s">
        <v>254</v>
      </c>
      <c r="E523" s="5">
        <v>0.05</v>
      </c>
      <c r="F523" s="7" t="s">
        <v>1758</v>
      </c>
      <c r="G523" s="2" t="s">
        <v>60</v>
      </c>
      <c r="H523" s="2" t="s">
        <v>1759</v>
      </c>
      <c r="I523" s="2" t="s">
        <v>1776</v>
      </c>
      <c r="J523" s="2" t="s">
        <v>1777</v>
      </c>
      <c r="K523" s="2" t="s">
        <v>1778</v>
      </c>
      <c r="L523" s="2" t="s">
        <v>45</v>
      </c>
    </row>
    <row r="524" spans="1:12" ht="34" customHeight="1">
      <c r="A524" s="2" t="s">
        <v>499</v>
      </c>
      <c r="B524" s="2" t="s">
        <v>462</v>
      </c>
      <c r="C524" s="2" t="s">
        <v>498</v>
      </c>
      <c r="D524" s="2" t="s">
        <v>124</v>
      </c>
      <c r="E524" s="6">
        <v>1</v>
      </c>
      <c r="F524" s="7" t="s">
        <v>1763</v>
      </c>
      <c r="G524" s="2" t="s">
        <v>60</v>
      </c>
      <c r="H524" s="2" t="s">
        <v>1759</v>
      </c>
      <c r="I524" s="2" t="s">
        <v>1776</v>
      </c>
      <c r="J524" s="2" t="s">
        <v>1777</v>
      </c>
      <c r="K524" s="2" t="s">
        <v>1778</v>
      </c>
      <c r="L524" s="2" t="s">
        <v>45</v>
      </c>
    </row>
    <row r="525" spans="1:12" ht="34" customHeight="1">
      <c r="A525" s="2" t="s">
        <v>499</v>
      </c>
      <c r="B525" s="2" t="s">
        <v>462</v>
      </c>
      <c r="C525" s="2" t="s">
        <v>498</v>
      </c>
      <c r="D525" s="2" t="s">
        <v>65</v>
      </c>
      <c r="E525" s="11">
        <v>0</v>
      </c>
      <c r="F525" s="20" t="s">
        <v>1763</v>
      </c>
      <c r="G525" s="21" t="s">
        <v>60</v>
      </c>
      <c r="H525" s="21" t="s">
        <v>1779</v>
      </c>
      <c r="I525" s="2" t="s">
        <v>2080</v>
      </c>
      <c r="J525" s="2" t="s">
        <v>1781</v>
      </c>
      <c r="K525" s="2" t="s">
        <v>1782</v>
      </c>
      <c r="L525" s="2" t="s">
        <v>45</v>
      </c>
    </row>
    <row r="526" spans="1:12" ht="37" customHeight="1">
      <c r="A526" s="2" t="s">
        <v>499</v>
      </c>
      <c r="B526" s="2" t="s">
        <v>462</v>
      </c>
      <c r="C526" s="2" t="s">
        <v>498</v>
      </c>
      <c r="D526" s="2" t="s">
        <v>222</v>
      </c>
      <c r="E526" s="8">
        <v>1.4999999999999999E-2</v>
      </c>
      <c r="F526" s="7" t="s">
        <v>1764</v>
      </c>
      <c r="G526" s="2" t="s">
        <v>60</v>
      </c>
      <c r="H526" s="2" t="s">
        <v>1759</v>
      </c>
      <c r="I526" s="2" t="s">
        <v>1776</v>
      </c>
      <c r="J526" s="2" t="s">
        <v>1777</v>
      </c>
      <c r="K526" s="2" t="s">
        <v>1778</v>
      </c>
      <c r="L526" s="2" t="s">
        <v>45</v>
      </c>
    </row>
    <row r="527" spans="1:12" ht="37" customHeight="1">
      <c r="A527" s="2" t="s">
        <v>499</v>
      </c>
      <c r="B527" s="2" t="s">
        <v>462</v>
      </c>
      <c r="C527" s="2" t="s">
        <v>498</v>
      </c>
      <c r="D527" s="2" t="s">
        <v>1765</v>
      </c>
      <c r="E527" s="8" t="s">
        <v>172</v>
      </c>
      <c r="F527" s="7" t="s">
        <v>1766</v>
      </c>
      <c r="G527" s="2" t="s">
        <v>60</v>
      </c>
      <c r="H527" s="2" t="s">
        <v>1759</v>
      </c>
      <c r="I527" s="2" t="s">
        <v>1767</v>
      </c>
      <c r="J527" s="2"/>
      <c r="K527" t="s">
        <v>1783</v>
      </c>
    </row>
    <row r="528" spans="1:12" ht="37" customHeight="1">
      <c r="A528" s="2" t="s">
        <v>504</v>
      </c>
      <c r="B528" s="2" t="s">
        <v>462</v>
      </c>
      <c r="C528" s="2" t="s">
        <v>501</v>
      </c>
      <c r="D528" s="2" t="s">
        <v>1757</v>
      </c>
      <c r="E528" s="4">
        <v>1.4</v>
      </c>
      <c r="F528" s="7" t="s">
        <v>1758</v>
      </c>
      <c r="G528" s="2" t="s">
        <v>29</v>
      </c>
      <c r="H528" s="2" t="s">
        <v>1759</v>
      </c>
      <c r="I528" s="2" t="s">
        <v>2081</v>
      </c>
      <c r="J528" s="2" t="s">
        <v>2082</v>
      </c>
      <c r="K528" s="2" t="s">
        <v>2083</v>
      </c>
      <c r="L528" s="2" t="s">
        <v>45</v>
      </c>
    </row>
    <row r="529" spans="1:12" ht="64" customHeight="1">
      <c r="A529" s="2" t="s">
        <v>504</v>
      </c>
      <c r="B529" s="2" t="s">
        <v>462</v>
      </c>
      <c r="C529" s="2" t="s">
        <v>501</v>
      </c>
      <c r="D529" s="2" t="s">
        <v>254</v>
      </c>
      <c r="E529" s="5">
        <v>0.25</v>
      </c>
      <c r="F529" s="7" t="s">
        <v>1758</v>
      </c>
      <c r="G529" s="2" t="s">
        <v>29</v>
      </c>
      <c r="H529" s="2" t="s">
        <v>1759</v>
      </c>
      <c r="I529" s="2" t="s">
        <v>2081</v>
      </c>
      <c r="J529" s="2" t="s">
        <v>2082</v>
      </c>
      <c r="K529" s="2" t="s">
        <v>2083</v>
      </c>
      <c r="L529" s="2" t="s">
        <v>45</v>
      </c>
    </row>
    <row r="530" spans="1:12" ht="37" customHeight="1">
      <c r="A530" s="2" t="s">
        <v>504</v>
      </c>
      <c r="B530" s="2" t="s">
        <v>462</v>
      </c>
      <c r="C530" s="2" t="s">
        <v>501</v>
      </c>
      <c r="D530" s="2" t="s">
        <v>124</v>
      </c>
      <c r="E530" s="4">
        <v>1.8</v>
      </c>
      <c r="F530" s="7" t="s">
        <v>1763</v>
      </c>
      <c r="G530" s="2" t="s">
        <v>29</v>
      </c>
      <c r="H530" s="2" t="s">
        <v>1759</v>
      </c>
      <c r="I530" s="2" t="s">
        <v>2081</v>
      </c>
      <c r="J530" s="2" t="s">
        <v>2082</v>
      </c>
      <c r="K530" s="2" t="s">
        <v>2083</v>
      </c>
      <c r="L530" s="2" t="s">
        <v>45</v>
      </c>
    </row>
    <row r="531" spans="1:12" ht="37" customHeight="1">
      <c r="A531" s="2" t="s">
        <v>504</v>
      </c>
      <c r="B531" s="2" t="s">
        <v>462</v>
      </c>
      <c r="C531" s="2" t="s">
        <v>501</v>
      </c>
      <c r="D531" s="2" t="s">
        <v>65</v>
      </c>
      <c r="E531" s="4">
        <v>0.6</v>
      </c>
      <c r="F531" s="7" t="s">
        <v>1763</v>
      </c>
      <c r="G531" s="2" t="s">
        <v>29</v>
      </c>
      <c r="H531" s="2" t="s">
        <v>1759</v>
      </c>
      <c r="I531" s="2" t="s">
        <v>2081</v>
      </c>
      <c r="J531" s="2" t="s">
        <v>2082</v>
      </c>
      <c r="K531" s="2" t="s">
        <v>2083</v>
      </c>
      <c r="L531" s="2" t="s">
        <v>45</v>
      </c>
    </row>
    <row r="532" spans="1:12" ht="37" customHeight="1">
      <c r="A532" s="2" t="s">
        <v>504</v>
      </c>
      <c r="B532" s="2" t="s">
        <v>462</v>
      </c>
      <c r="C532" s="2" t="s">
        <v>501</v>
      </c>
      <c r="D532" s="2" t="s">
        <v>222</v>
      </c>
      <c r="E532" s="4">
        <v>0.5</v>
      </c>
      <c r="F532" s="7" t="s">
        <v>1764</v>
      </c>
      <c r="G532" s="2" t="s">
        <v>29</v>
      </c>
      <c r="H532" s="2" t="s">
        <v>1759</v>
      </c>
      <c r="I532" s="2" t="s">
        <v>2081</v>
      </c>
      <c r="J532" s="2" t="s">
        <v>2082</v>
      </c>
      <c r="K532" s="2" t="s">
        <v>2083</v>
      </c>
      <c r="L532" s="2" t="s">
        <v>45</v>
      </c>
    </row>
    <row r="533" spans="1:12" ht="50.5" customHeight="1">
      <c r="A533" s="2" t="s">
        <v>504</v>
      </c>
      <c r="B533" s="2" t="s">
        <v>462</v>
      </c>
      <c r="C533" s="2" t="s">
        <v>501</v>
      </c>
      <c r="D533" s="2" t="s">
        <v>1765</v>
      </c>
      <c r="E533" s="4" t="s">
        <v>76</v>
      </c>
      <c r="F533" s="7" t="s">
        <v>1766</v>
      </c>
      <c r="G533" s="2" t="s">
        <v>29</v>
      </c>
      <c r="H533" s="2" t="s">
        <v>1759</v>
      </c>
      <c r="I533" s="2" t="s">
        <v>1767</v>
      </c>
      <c r="J533" s="2"/>
      <c r="K533" t="s">
        <v>2084</v>
      </c>
    </row>
    <row r="534" spans="1:12" ht="64" customHeight="1">
      <c r="A534" s="2" t="s">
        <v>508</v>
      </c>
      <c r="B534" s="2" t="s">
        <v>462</v>
      </c>
      <c r="C534" s="2" t="s">
        <v>507</v>
      </c>
      <c r="D534" s="2" t="s">
        <v>1757</v>
      </c>
      <c r="E534" s="5">
        <v>0.45</v>
      </c>
      <c r="F534" s="7" t="s">
        <v>1758</v>
      </c>
      <c r="G534" s="2" t="s">
        <v>180</v>
      </c>
      <c r="H534" s="2" t="s">
        <v>1759</v>
      </c>
      <c r="I534" s="2" t="s">
        <v>2085</v>
      </c>
      <c r="J534" s="2" t="s">
        <v>1855</v>
      </c>
      <c r="K534" s="2" t="s">
        <v>2086</v>
      </c>
      <c r="L534" s="2" t="s">
        <v>45</v>
      </c>
    </row>
    <row r="535" spans="1:12" ht="37" customHeight="1">
      <c r="A535" s="2" t="s">
        <v>508</v>
      </c>
      <c r="B535" s="2" t="s">
        <v>462</v>
      </c>
      <c r="C535" s="2" t="s">
        <v>507</v>
      </c>
      <c r="D535" s="2" t="s">
        <v>254</v>
      </c>
      <c r="E535" s="5">
        <v>0.33</v>
      </c>
      <c r="F535" s="7" t="s">
        <v>1758</v>
      </c>
      <c r="G535" s="2" t="s">
        <v>180</v>
      </c>
      <c r="H535" s="2" t="s">
        <v>1759</v>
      </c>
      <c r="I535" s="2" t="s">
        <v>2085</v>
      </c>
      <c r="J535" s="2" t="s">
        <v>1855</v>
      </c>
      <c r="K535" s="2" t="s">
        <v>2086</v>
      </c>
      <c r="L535" s="2" t="s">
        <v>45</v>
      </c>
    </row>
    <row r="536" spans="1:12" ht="50.5" customHeight="1">
      <c r="A536" s="2" t="s">
        <v>508</v>
      </c>
      <c r="B536" s="2" t="s">
        <v>462</v>
      </c>
      <c r="C536" s="2" t="s">
        <v>507</v>
      </c>
      <c r="D536" s="2" t="s">
        <v>124</v>
      </c>
      <c r="E536" s="7"/>
      <c r="F536" s="7" t="s">
        <v>1763</v>
      </c>
      <c r="G536" s="2" t="s">
        <v>180</v>
      </c>
      <c r="H536" s="2" t="s">
        <v>1773</v>
      </c>
      <c r="I536" s="2"/>
      <c r="J536" s="2"/>
      <c r="K536" s="2" t="s">
        <v>2086</v>
      </c>
      <c r="L536" s="2" t="s">
        <v>45</v>
      </c>
    </row>
    <row r="537" spans="1:12" ht="50.5" customHeight="1">
      <c r="A537" s="2" t="s">
        <v>508</v>
      </c>
      <c r="B537" s="2" t="s">
        <v>462</v>
      </c>
      <c r="C537" s="2" t="s">
        <v>507</v>
      </c>
      <c r="D537" s="2" t="s">
        <v>65</v>
      </c>
      <c r="E537" s="7"/>
      <c r="F537" s="7" t="s">
        <v>1763</v>
      </c>
      <c r="G537" s="2" t="s">
        <v>180</v>
      </c>
      <c r="H537" s="2" t="s">
        <v>1773</v>
      </c>
      <c r="I537" s="2"/>
      <c r="J537" s="2"/>
      <c r="K537" s="2" t="s">
        <v>2086</v>
      </c>
      <c r="L537" s="2" t="s">
        <v>45</v>
      </c>
    </row>
    <row r="538" spans="1:12" ht="50.5" customHeight="1">
      <c r="A538" s="2" t="s">
        <v>508</v>
      </c>
      <c r="B538" s="2" t="s">
        <v>462</v>
      </c>
      <c r="C538" s="2" t="s">
        <v>507</v>
      </c>
      <c r="D538" s="2" t="s">
        <v>222</v>
      </c>
      <c r="E538" s="4">
        <v>0.1</v>
      </c>
      <c r="F538" s="7" t="s">
        <v>1764</v>
      </c>
      <c r="G538" s="2" t="s">
        <v>180</v>
      </c>
      <c r="H538" s="2" t="s">
        <v>1759</v>
      </c>
      <c r="I538" s="2" t="s">
        <v>2085</v>
      </c>
      <c r="J538" s="2" t="s">
        <v>1855</v>
      </c>
      <c r="K538" s="2" t="s">
        <v>2086</v>
      </c>
      <c r="L538" s="2" t="s">
        <v>45</v>
      </c>
    </row>
    <row r="539" spans="1:12" ht="50.5" customHeight="1">
      <c r="A539" s="2" t="s">
        <v>508</v>
      </c>
      <c r="B539" s="2" t="s">
        <v>462</v>
      </c>
      <c r="C539" s="2" t="s">
        <v>507</v>
      </c>
      <c r="D539" s="2" t="s">
        <v>1765</v>
      </c>
      <c r="E539" s="4" t="s">
        <v>408</v>
      </c>
      <c r="F539" s="7" t="s">
        <v>1766</v>
      </c>
      <c r="G539" s="2" t="s">
        <v>180</v>
      </c>
      <c r="H539" s="2" t="s">
        <v>1759</v>
      </c>
      <c r="I539" s="2" t="s">
        <v>1767</v>
      </c>
      <c r="J539" s="2"/>
      <c r="K539" t="s">
        <v>1795</v>
      </c>
    </row>
    <row r="540" spans="1:12" ht="50.5" customHeight="1">
      <c r="A540" s="2" t="s">
        <v>513</v>
      </c>
      <c r="B540" s="2" t="s">
        <v>510</v>
      </c>
      <c r="C540" s="2" t="s">
        <v>511</v>
      </c>
      <c r="D540" s="2" t="s">
        <v>1757</v>
      </c>
      <c r="E540" s="5">
        <v>0.75</v>
      </c>
      <c r="F540" s="7" t="s">
        <v>1758</v>
      </c>
      <c r="G540" s="2" t="s">
        <v>60</v>
      </c>
      <c r="H540" s="2" t="s">
        <v>1759</v>
      </c>
      <c r="I540" s="2" t="s">
        <v>1776</v>
      </c>
      <c r="J540" s="2" t="s">
        <v>1777</v>
      </c>
      <c r="K540" s="2" t="s">
        <v>2087</v>
      </c>
      <c r="L540" s="2" t="s">
        <v>45</v>
      </c>
    </row>
    <row r="541" spans="1:12" ht="37" customHeight="1">
      <c r="A541" s="2" t="s">
        <v>513</v>
      </c>
      <c r="B541" s="2" t="s">
        <v>510</v>
      </c>
      <c r="C541" s="2" t="s">
        <v>511</v>
      </c>
      <c r="D541" s="2" t="s">
        <v>254</v>
      </c>
      <c r="E541" s="5">
        <v>0.25</v>
      </c>
      <c r="F541" s="7" t="s">
        <v>1758</v>
      </c>
      <c r="G541" s="2" t="s">
        <v>60</v>
      </c>
      <c r="H541" s="2" t="s">
        <v>1759</v>
      </c>
      <c r="I541" s="2" t="s">
        <v>1776</v>
      </c>
      <c r="J541" s="2" t="s">
        <v>1777</v>
      </c>
      <c r="K541" s="2" t="s">
        <v>2087</v>
      </c>
      <c r="L541" s="2" t="s">
        <v>45</v>
      </c>
    </row>
    <row r="542" spans="1:12" ht="37" customHeight="1">
      <c r="A542" s="2" t="s">
        <v>513</v>
      </c>
      <c r="B542" s="2" t="s">
        <v>510</v>
      </c>
      <c r="C542" s="2" t="s">
        <v>511</v>
      </c>
      <c r="D542" s="2" t="s">
        <v>124</v>
      </c>
      <c r="E542" s="6">
        <v>1</v>
      </c>
      <c r="F542" s="7" t="s">
        <v>1763</v>
      </c>
      <c r="G542" s="2" t="s">
        <v>60</v>
      </c>
      <c r="H542" s="2" t="s">
        <v>1759</v>
      </c>
      <c r="I542" s="2" t="s">
        <v>1776</v>
      </c>
      <c r="J542" s="2" t="s">
        <v>1777</v>
      </c>
      <c r="K542" s="2" t="s">
        <v>2087</v>
      </c>
      <c r="L542" s="2" t="s">
        <v>45</v>
      </c>
    </row>
    <row r="543" spans="1:12" ht="37" customHeight="1">
      <c r="A543" s="2" t="s">
        <v>513</v>
      </c>
      <c r="B543" s="2" t="s">
        <v>510</v>
      </c>
      <c r="C543" s="2" t="s">
        <v>511</v>
      </c>
      <c r="D543" s="2" t="s">
        <v>65</v>
      </c>
      <c r="E543" s="11">
        <v>0</v>
      </c>
      <c r="F543" s="20" t="s">
        <v>1763</v>
      </c>
      <c r="G543" s="21" t="s">
        <v>60</v>
      </c>
      <c r="H543" s="21" t="s">
        <v>1779</v>
      </c>
      <c r="I543" s="2" t="s">
        <v>2088</v>
      </c>
      <c r="J543" s="2" t="s">
        <v>2089</v>
      </c>
      <c r="K543" s="2" t="s">
        <v>2090</v>
      </c>
      <c r="L543" s="2" t="s">
        <v>45</v>
      </c>
    </row>
    <row r="544" spans="1:12" ht="64" customHeight="1">
      <c r="A544" s="2" t="s">
        <v>513</v>
      </c>
      <c r="B544" s="2" t="s">
        <v>510</v>
      </c>
      <c r="C544" s="2" t="s">
        <v>511</v>
      </c>
      <c r="D544" s="2" t="s">
        <v>222</v>
      </c>
      <c r="E544" s="5">
        <v>0.08</v>
      </c>
      <c r="F544" s="7" t="s">
        <v>1764</v>
      </c>
      <c r="G544" s="2" t="s">
        <v>60</v>
      </c>
      <c r="H544" s="2" t="s">
        <v>1759</v>
      </c>
      <c r="I544" s="2" t="s">
        <v>1776</v>
      </c>
      <c r="J544" s="2" t="s">
        <v>1777</v>
      </c>
      <c r="K544" s="2" t="s">
        <v>2087</v>
      </c>
      <c r="L544" s="2" t="s">
        <v>45</v>
      </c>
    </row>
    <row r="545" spans="1:12" ht="37" customHeight="1">
      <c r="A545" s="2" t="s">
        <v>513</v>
      </c>
      <c r="B545" s="2" t="s">
        <v>510</v>
      </c>
      <c r="C545" s="2" t="s">
        <v>511</v>
      </c>
      <c r="D545" s="2" t="s">
        <v>1765</v>
      </c>
      <c r="E545" s="5" t="s">
        <v>172</v>
      </c>
      <c r="F545" s="7" t="s">
        <v>1766</v>
      </c>
      <c r="G545" s="2" t="s">
        <v>60</v>
      </c>
      <c r="H545" s="2" t="s">
        <v>1759</v>
      </c>
      <c r="I545" s="2" t="s">
        <v>1767</v>
      </c>
      <c r="J545" s="2"/>
      <c r="K545" t="s">
        <v>2091</v>
      </c>
    </row>
    <row r="546" spans="1:12" ht="34" customHeight="1">
      <c r="A546" s="2" t="s">
        <v>520</v>
      </c>
      <c r="B546" s="2" t="s">
        <v>510</v>
      </c>
      <c r="C546" s="2" t="s">
        <v>516</v>
      </c>
      <c r="D546" s="2" t="s">
        <v>1757</v>
      </c>
      <c r="E546" s="5">
        <v>0.75</v>
      </c>
      <c r="F546" s="7" t="s">
        <v>1758</v>
      </c>
      <c r="G546" s="2" t="s">
        <v>518</v>
      </c>
      <c r="H546" s="2" t="s">
        <v>1759</v>
      </c>
      <c r="I546" s="2" t="s">
        <v>2092</v>
      </c>
      <c r="J546" s="2" t="s">
        <v>2093</v>
      </c>
      <c r="K546" s="2" t="s">
        <v>2094</v>
      </c>
      <c r="L546" s="2" t="s">
        <v>45</v>
      </c>
    </row>
    <row r="547" spans="1:12" ht="34" customHeight="1">
      <c r="A547" s="2" t="s">
        <v>520</v>
      </c>
      <c r="B547" s="2" t="s">
        <v>510</v>
      </c>
      <c r="C547" s="2" t="s">
        <v>516</v>
      </c>
      <c r="D547" s="2" t="s">
        <v>254</v>
      </c>
      <c r="E547" s="5">
        <v>0.25</v>
      </c>
      <c r="F547" s="7" t="s">
        <v>1758</v>
      </c>
      <c r="G547" s="2" t="s">
        <v>518</v>
      </c>
      <c r="H547" s="2" t="s">
        <v>1759</v>
      </c>
      <c r="I547" s="2" t="s">
        <v>2092</v>
      </c>
      <c r="J547" s="2" t="s">
        <v>2093</v>
      </c>
      <c r="K547" s="2" t="s">
        <v>2094</v>
      </c>
      <c r="L547" s="2" t="s">
        <v>45</v>
      </c>
    </row>
    <row r="548" spans="1:12" ht="34" customHeight="1">
      <c r="A548" s="2" t="s">
        <v>520</v>
      </c>
      <c r="B548" s="2" t="s">
        <v>510</v>
      </c>
      <c r="C548" s="2" t="s">
        <v>516</v>
      </c>
      <c r="D548" s="2" t="s">
        <v>124</v>
      </c>
      <c r="E548" s="11">
        <v>1</v>
      </c>
      <c r="F548" s="20" t="s">
        <v>1763</v>
      </c>
      <c r="G548" s="21" t="s">
        <v>518</v>
      </c>
      <c r="H548" s="21" t="s">
        <v>1779</v>
      </c>
      <c r="I548" s="2" t="s">
        <v>2095</v>
      </c>
      <c r="J548" s="2" t="s">
        <v>2093</v>
      </c>
      <c r="K548" s="2" t="s">
        <v>2096</v>
      </c>
      <c r="L548" s="2" t="s">
        <v>45</v>
      </c>
    </row>
    <row r="549" spans="1:12" ht="34" customHeight="1">
      <c r="A549" s="2" t="s">
        <v>520</v>
      </c>
      <c r="B549" s="2" t="s">
        <v>510</v>
      </c>
      <c r="C549" s="2" t="s">
        <v>516</v>
      </c>
      <c r="D549" s="2" t="s">
        <v>65</v>
      </c>
      <c r="E549" s="11">
        <v>0</v>
      </c>
      <c r="F549" s="20" t="s">
        <v>1763</v>
      </c>
      <c r="G549" s="21" t="s">
        <v>518</v>
      </c>
      <c r="H549" s="21" t="s">
        <v>1779</v>
      </c>
      <c r="I549" s="2" t="s">
        <v>2095</v>
      </c>
      <c r="J549" s="2" t="s">
        <v>2093</v>
      </c>
      <c r="K549" s="2" t="s">
        <v>2097</v>
      </c>
      <c r="L549" s="2" t="s">
        <v>45</v>
      </c>
    </row>
    <row r="550" spans="1:12" ht="34" customHeight="1">
      <c r="A550" s="2" t="s">
        <v>520</v>
      </c>
      <c r="B550" s="2" t="s">
        <v>510</v>
      </c>
      <c r="C550" s="2" t="s">
        <v>516</v>
      </c>
      <c r="D550" s="2" t="s">
        <v>222</v>
      </c>
      <c r="E550" s="7" t="s">
        <v>517</v>
      </c>
      <c r="F550" s="7" t="s">
        <v>1764</v>
      </c>
      <c r="G550" s="2" t="s">
        <v>518</v>
      </c>
      <c r="H550" s="2" t="s">
        <v>1759</v>
      </c>
      <c r="I550" s="2" t="s">
        <v>2092</v>
      </c>
      <c r="J550" s="2" t="s">
        <v>2093</v>
      </c>
      <c r="K550" s="2" t="s">
        <v>2094</v>
      </c>
      <c r="L550" s="2" t="s">
        <v>45</v>
      </c>
    </row>
    <row r="551" spans="1:12" ht="37" customHeight="1">
      <c r="A551" s="2" t="s">
        <v>520</v>
      </c>
      <c r="B551" s="2" t="s">
        <v>510</v>
      </c>
      <c r="C551" s="2" t="s">
        <v>516</v>
      </c>
      <c r="D551" s="2" t="s">
        <v>1765</v>
      </c>
      <c r="E551" s="7" t="s">
        <v>172</v>
      </c>
      <c r="F551" s="7" t="s">
        <v>1766</v>
      </c>
      <c r="G551" s="2" t="s">
        <v>518</v>
      </c>
      <c r="H551" s="2" t="s">
        <v>1759</v>
      </c>
      <c r="I551" s="2" t="s">
        <v>1767</v>
      </c>
      <c r="J551" s="2"/>
      <c r="K551" t="s">
        <v>1795</v>
      </c>
    </row>
    <row r="552" spans="1:12" ht="37" customHeight="1">
      <c r="A552" s="2" t="s">
        <v>528</v>
      </c>
      <c r="B552" s="2" t="s">
        <v>510</v>
      </c>
      <c r="C552" s="2" t="s">
        <v>523</v>
      </c>
      <c r="D552" s="2" t="s">
        <v>1757</v>
      </c>
      <c r="E552" s="7" t="s">
        <v>315</v>
      </c>
      <c r="F552" s="7" t="s">
        <v>1758</v>
      </c>
      <c r="G552" s="2" t="s">
        <v>29</v>
      </c>
      <c r="H552" s="2" t="s">
        <v>1759</v>
      </c>
      <c r="I552" s="2" t="s">
        <v>2098</v>
      </c>
      <c r="J552" s="2" t="s">
        <v>2099</v>
      </c>
      <c r="K552" s="2" t="s">
        <v>2100</v>
      </c>
      <c r="L552" s="2" t="s">
        <v>190</v>
      </c>
    </row>
    <row r="553" spans="1:12" ht="37" customHeight="1">
      <c r="A553" s="2" t="s">
        <v>528</v>
      </c>
      <c r="B553" s="2" t="s">
        <v>510</v>
      </c>
      <c r="C553" s="2" t="s">
        <v>523</v>
      </c>
      <c r="D553" s="2" t="s">
        <v>254</v>
      </c>
      <c r="E553" s="7" t="s">
        <v>524</v>
      </c>
      <c r="F553" s="7" t="s">
        <v>1758</v>
      </c>
      <c r="G553" s="2" t="s">
        <v>29</v>
      </c>
      <c r="H553" s="2" t="s">
        <v>1759</v>
      </c>
      <c r="I553" s="2" t="s">
        <v>2098</v>
      </c>
      <c r="J553" s="2" t="s">
        <v>2099</v>
      </c>
      <c r="K553" s="2" t="s">
        <v>2100</v>
      </c>
      <c r="L553" s="2" t="s">
        <v>190</v>
      </c>
    </row>
    <row r="554" spans="1:12" ht="64" customHeight="1">
      <c r="A554" s="2" t="s">
        <v>528</v>
      </c>
      <c r="B554" s="2" t="s">
        <v>510</v>
      </c>
      <c r="C554" s="2" t="s">
        <v>523</v>
      </c>
      <c r="D554" s="2" t="s">
        <v>124</v>
      </c>
      <c r="E554" s="7"/>
      <c r="F554" s="7" t="s">
        <v>1763</v>
      </c>
      <c r="G554" s="2" t="s">
        <v>29</v>
      </c>
      <c r="H554" s="2" t="s">
        <v>1773</v>
      </c>
      <c r="I554" s="2"/>
      <c r="J554" s="2"/>
      <c r="K554" s="2" t="s">
        <v>2100</v>
      </c>
      <c r="L554" s="2" t="s">
        <v>190</v>
      </c>
    </row>
    <row r="555" spans="1:12" ht="37" customHeight="1">
      <c r="A555" s="2" t="s">
        <v>528</v>
      </c>
      <c r="B555" s="2" t="s">
        <v>510</v>
      </c>
      <c r="C555" s="2" t="s">
        <v>523</v>
      </c>
      <c r="D555" s="2" t="s">
        <v>65</v>
      </c>
      <c r="E555" s="7"/>
      <c r="F555" s="7" t="s">
        <v>1763</v>
      </c>
      <c r="G555" s="2" t="s">
        <v>29</v>
      </c>
      <c r="H555" s="2" t="s">
        <v>1773</v>
      </c>
      <c r="I555" s="2"/>
      <c r="J555" s="2"/>
      <c r="K555" s="2" t="s">
        <v>2100</v>
      </c>
      <c r="L555" s="2" t="s">
        <v>190</v>
      </c>
    </row>
    <row r="556" spans="1:12" ht="37" customHeight="1">
      <c r="A556" s="2" t="s">
        <v>528</v>
      </c>
      <c r="B556" s="2" t="s">
        <v>510</v>
      </c>
      <c r="C556" s="2" t="s">
        <v>523</v>
      </c>
      <c r="D556" s="2" t="s">
        <v>222</v>
      </c>
      <c r="E556" s="7" t="s">
        <v>525</v>
      </c>
      <c r="F556" s="7" t="s">
        <v>1764</v>
      </c>
      <c r="G556" s="2" t="s">
        <v>29</v>
      </c>
      <c r="H556" s="2" t="s">
        <v>1759</v>
      </c>
      <c r="I556" s="2" t="s">
        <v>2098</v>
      </c>
      <c r="J556" s="2" t="s">
        <v>2099</v>
      </c>
      <c r="K556" s="2" t="s">
        <v>2100</v>
      </c>
      <c r="L556" s="2" t="s">
        <v>190</v>
      </c>
    </row>
    <row r="557" spans="1:12" ht="37" customHeight="1">
      <c r="A557" s="2" t="s">
        <v>528</v>
      </c>
      <c r="B557" s="2" t="s">
        <v>510</v>
      </c>
      <c r="C557" s="2" t="s">
        <v>523</v>
      </c>
      <c r="D557" s="2" t="s">
        <v>1765</v>
      </c>
      <c r="E557" s="7" t="s">
        <v>408</v>
      </c>
      <c r="F557" s="7" t="s">
        <v>1766</v>
      </c>
      <c r="G557" s="2" t="s">
        <v>29</v>
      </c>
      <c r="H557" s="2" t="s">
        <v>1759</v>
      </c>
      <c r="I557" s="2" t="s">
        <v>1767</v>
      </c>
      <c r="J557" s="2"/>
      <c r="K557" t="s">
        <v>2101</v>
      </c>
    </row>
    <row r="558" spans="1:12" ht="37" customHeight="1">
      <c r="A558" s="2" t="s">
        <v>532</v>
      </c>
      <c r="B558" s="2" t="s">
        <v>510</v>
      </c>
      <c r="C558" s="2" t="s">
        <v>531</v>
      </c>
      <c r="D558" s="2" t="s">
        <v>1757</v>
      </c>
      <c r="E558" s="4">
        <v>0.3</v>
      </c>
      <c r="F558" s="7" t="s">
        <v>1758</v>
      </c>
      <c r="G558" s="2" t="s">
        <v>60</v>
      </c>
      <c r="H558" s="2" t="s">
        <v>1759</v>
      </c>
      <c r="I558" s="2" t="s">
        <v>1776</v>
      </c>
      <c r="J558" s="2" t="s">
        <v>1777</v>
      </c>
      <c r="K558" s="2" t="s">
        <v>2087</v>
      </c>
      <c r="L558" s="2" t="s">
        <v>45</v>
      </c>
    </row>
    <row r="559" spans="1:12" ht="37" customHeight="1">
      <c r="A559" s="2" t="s">
        <v>532</v>
      </c>
      <c r="B559" s="2" t="s">
        <v>510</v>
      </c>
      <c r="C559" s="2" t="s">
        <v>531</v>
      </c>
      <c r="D559" s="2" t="s">
        <v>254</v>
      </c>
      <c r="E559" s="8">
        <v>7.4999999999999997E-2</v>
      </c>
      <c r="F559" s="7" t="s">
        <v>1758</v>
      </c>
      <c r="G559" s="2" t="s">
        <v>60</v>
      </c>
      <c r="H559" s="2" t="s">
        <v>1759</v>
      </c>
      <c r="I559" s="2" t="s">
        <v>1776</v>
      </c>
      <c r="J559" s="2" t="s">
        <v>1777</v>
      </c>
      <c r="K559" s="2" t="s">
        <v>2087</v>
      </c>
      <c r="L559" s="2" t="s">
        <v>45</v>
      </c>
    </row>
    <row r="560" spans="1:12" ht="37" customHeight="1">
      <c r="A560" s="2" t="s">
        <v>532</v>
      </c>
      <c r="B560" s="2" t="s">
        <v>510</v>
      </c>
      <c r="C560" s="2" t="s">
        <v>531</v>
      </c>
      <c r="D560" s="2" t="s">
        <v>124</v>
      </c>
      <c r="E560" s="6">
        <v>1</v>
      </c>
      <c r="F560" s="7" t="s">
        <v>1763</v>
      </c>
      <c r="G560" s="2" t="s">
        <v>60</v>
      </c>
      <c r="H560" s="2" t="s">
        <v>1759</v>
      </c>
      <c r="I560" s="2" t="s">
        <v>1776</v>
      </c>
      <c r="J560" s="2" t="s">
        <v>1777</v>
      </c>
      <c r="K560" s="2" t="s">
        <v>2087</v>
      </c>
      <c r="L560" s="2" t="s">
        <v>45</v>
      </c>
    </row>
    <row r="561" spans="1:12" ht="64" customHeight="1">
      <c r="A561" s="2" t="s">
        <v>532</v>
      </c>
      <c r="B561" s="2" t="s">
        <v>510</v>
      </c>
      <c r="C561" s="2" t="s">
        <v>531</v>
      </c>
      <c r="D561" s="2" t="s">
        <v>65</v>
      </c>
      <c r="E561" s="11">
        <v>0</v>
      </c>
      <c r="F561" s="20" t="s">
        <v>1763</v>
      </c>
      <c r="G561" s="21" t="s">
        <v>60</v>
      </c>
      <c r="H561" s="21" t="s">
        <v>1779</v>
      </c>
      <c r="I561" s="2" t="s">
        <v>2088</v>
      </c>
      <c r="J561" s="2" t="s">
        <v>2089</v>
      </c>
      <c r="K561" s="2" t="s">
        <v>2090</v>
      </c>
      <c r="L561" s="2" t="s">
        <v>45</v>
      </c>
    </row>
    <row r="562" spans="1:12" ht="64" customHeight="1">
      <c r="A562" s="2" t="s">
        <v>532</v>
      </c>
      <c r="B562" s="2" t="s">
        <v>510</v>
      </c>
      <c r="C562" s="2" t="s">
        <v>531</v>
      </c>
      <c r="D562" s="2" t="s">
        <v>222</v>
      </c>
      <c r="E562" s="8">
        <v>7.4999999999999997E-2</v>
      </c>
      <c r="F562" s="7" t="s">
        <v>1764</v>
      </c>
      <c r="G562" s="2" t="s">
        <v>60</v>
      </c>
      <c r="H562" s="2" t="s">
        <v>1759</v>
      </c>
      <c r="I562" s="2" t="s">
        <v>1776</v>
      </c>
      <c r="J562" s="2" t="s">
        <v>1777</v>
      </c>
      <c r="K562" s="2" t="s">
        <v>2087</v>
      </c>
      <c r="L562" s="2" t="s">
        <v>45</v>
      </c>
    </row>
    <row r="563" spans="1:12" ht="64" customHeight="1">
      <c r="A563" s="2" t="s">
        <v>532</v>
      </c>
      <c r="B563" s="2" t="s">
        <v>510</v>
      </c>
      <c r="C563" s="2" t="s">
        <v>531</v>
      </c>
      <c r="D563" s="2" t="s">
        <v>1765</v>
      </c>
      <c r="E563" s="8" t="s">
        <v>48</v>
      </c>
      <c r="F563" s="7" t="s">
        <v>1766</v>
      </c>
      <c r="G563" s="2" t="s">
        <v>60</v>
      </c>
      <c r="H563" s="2" t="s">
        <v>1759</v>
      </c>
      <c r="I563" s="2" t="s">
        <v>1767</v>
      </c>
      <c r="J563" s="2"/>
      <c r="K563" t="s">
        <v>1783</v>
      </c>
    </row>
    <row r="564" spans="1:12" ht="64" customHeight="1">
      <c r="A564" s="2" t="s">
        <v>537</v>
      </c>
      <c r="B564" s="2" t="s">
        <v>510</v>
      </c>
      <c r="C564" s="2" t="s">
        <v>534</v>
      </c>
      <c r="D564" s="2" t="s">
        <v>1757</v>
      </c>
      <c r="E564" s="5">
        <v>0.28000000000000003</v>
      </c>
      <c r="F564" s="7" t="s">
        <v>1758</v>
      </c>
      <c r="G564" s="2" t="s">
        <v>29</v>
      </c>
      <c r="H564" s="2" t="s">
        <v>1759</v>
      </c>
      <c r="I564" s="2" t="s">
        <v>2102</v>
      </c>
      <c r="J564" s="2" t="s">
        <v>1855</v>
      </c>
      <c r="K564" s="2" t="s">
        <v>2103</v>
      </c>
      <c r="L564" s="2" t="s">
        <v>45</v>
      </c>
    </row>
    <row r="565" spans="1:12" ht="64" customHeight="1">
      <c r="A565" s="2" t="s">
        <v>537</v>
      </c>
      <c r="B565" s="2" t="s">
        <v>510</v>
      </c>
      <c r="C565" s="2" t="s">
        <v>534</v>
      </c>
      <c r="D565" s="2" t="s">
        <v>254</v>
      </c>
      <c r="E565" s="5">
        <v>0.16</v>
      </c>
      <c r="F565" s="7" t="s">
        <v>1758</v>
      </c>
      <c r="G565" s="2" t="s">
        <v>29</v>
      </c>
      <c r="H565" s="2" t="s">
        <v>1759</v>
      </c>
      <c r="I565" s="2" t="s">
        <v>2102</v>
      </c>
      <c r="J565" s="2" t="s">
        <v>1855</v>
      </c>
      <c r="K565" s="2" t="s">
        <v>2103</v>
      </c>
      <c r="L565" s="2" t="s">
        <v>45</v>
      </c>
    </row>
    <row r="566" spans="1:12" ht="34" customHeight="1">
      <c r="A566" s="2" t="s">
        <v>537</v>
      </c>
      <c r="B566" s="2" t="s">
        <v>510</v>
      </c>
      <c r="C566" s="2" t="s">
        <v>534</v>
      </c>
      <c r="D566" s="2" t="s">
        <v>124</v>
      </c>
      <c r="E566" s="7"/>
      <c r="F566" s="7" t="s">
        <v>1763</v>
      </c>
      <c r="G566" s="2" t="s">
        <v>29</v>
      </c>
      <c r="H566" s="2" t="s">
        <v>1773</v>
      </c>
      <c r="I566" s="2"/>
      <c r="J566" s="2"/>
      <c r="K566" s="2" t="s">
        <v>2103</v>
      </c>
      <c r="L566" s="2" t="s">
        <v>45</v>
      </c>
    </row>
    <row r="567" spans="1:12" ht="34" customHeight="1">
      <c r="A567" s="2" t="s">
        <v>537</v>
      </c>
      <c r="B567" s="2" t="s">
        <v>510</v>
      </c>
      <c r="C567" s="2" t="s">
        <v>534</v>
      </c>
      <c r="D567" s="2" t="s">
        <v>65</v>
      </c>
      <c r="E567" s="7"/>
      <c r="F567" s="7" t="s">
        <v>1763</v>
      </c>
      <c r="G567" s="2" t="s">
        <v>29</v>
      </c>
      <c r="H567" s="2" t="s">
        <v>1773</v>
      </c>
      <c r="I567" s="2"/>
      <c r="J567" s="2"/>
      <c r="K567" s="2" t="s">
        <v>2103</v>
      </c>
      <c r="L567" s="2" t="s">
        <v>45</v>
      </c>
    </row>
    <row r="568" spans="1:12" ht="34" customHeight="1">
      <c r="A568" s="2" t="s">
        <v>537</v>
      </c>
      <c r="B568" s="2" t="s">
        <v>510</v>
      </c>
      <c r="C568" s="2" t="s">
        <v>534</v>
      </c>
      <c r="D568" s="2" t="s">
        <v>222</v>
      </c>
      <c r="E568" s="8">
        <v>2.8000000000000001E-2</v>
      </c>
      <c r="F568" s="7" t="s">
        <v>1764</v>
      </c>
      <c r="G568" s="2" t="s">
        <v>29</v>
      </c>
      <c r="H568" s="2" t="s">
        <v>1759</v>
      </c>
      <c r="I568" s="2" t="s">
        <v>2102</v>
      </c>
      <c r="J568" s="2" t="s">
        <v>1855</v>
      </c>
      <c r="K568" s="2" t="s">
        <v>2103</v>
      </c>
      <c r="L568" s="2" t="s">
        <v>45</v>
      </c>
    </row>
    <row r="569" spans="1:12" ht="34" customHeight="1">
      <c r="A569" s="2" t="s">
        <v>537</v>
      </c>
      <c r="B569" s="2" t="s">
        <v>510</v>
      </c>
      <c r="C569" s="2" t="s">
        <v>534</v>
      </c>
      <c r="D569" s="2" t="s">
        <v>1765</v>
      </c>
      <c r="E569" s="8" t="s">
        <v>205</v>
      </c>
      <c r="F569" s="7" t="s">
        <v>1766</v>
      </c>
      <c r="G569" s="2" t="s">
        <v>29</v>
      </c>
      <c r="H569" s="2" t="s">
        <v>1759</v>
      </c>
      <c r="I569" s="2" t="s">
        <v>1767</v>
      </c>
      <c r="J569" s="2"/>
      <c r="K569" t="s">
        <v>1795</v>
      </c>
    </row>
    <row r="570" spans="1:12" ht="34" customHeight="1">
      <c r="A570" s="2" t="s">
        <v>539</v>
      </c>
      <c r="B570" s="2" t="s">
        <v>510</v>
      </c>
      <c r="C570" s="2" t="s">
        <v>538</v>
      </c>
      <c r="D570" s="2" t="s">
        <v>1757</v>
      </c>
      <c r="E570" s="4">
        <v>1.1000000000000001</v>
      </c>
      <c r="F570" s="7" t="s">
        <v>1758</v>
      </c>
      <c r="G570" s="2" t="s">
        <v>60</v>
      </c>
      <c r="H570" s="2" t="s">
        <v>1759</v>
      </c>
      <c r="I570" s="2" t="s">
        <v>2104</v>
      </c>
      <c r="J570" s="2" t="s">
        <v>1855</v>
      </c>
      <c r="K570" s="2" t="s">
        <v>2105</v>
      </c>
      <c r="L570" s="2" t="s">
        <v>45</v>
      </c>
    </row>
    <row r="571" spans="1:12" ht="50.5" customHeight="1">
      <c r="A571" s="2" t="s">
        <v>539</v>
      </c>
      <c r="B571" s="2" t="s">
        <v>510</v>
      </c>
      <c r="C571" s="2" t="s">
        <v>538</v>
      </c>
      <c r="D571" s="2" t="s">
        <v>254</v>
      </c>
      <c r="E571" s="4">
        <v>0.2</v>
      </c>
      <c r="F571" s="7" t="s">
        <v>1758</v>
      </c>
      <c r="G571" s="2" t="s">
        <v>60</v>
      </c>
      <c r="H571" s="2" t="s">
        <v>1759</v>
      </c>
      <c r="I571" s="2" t="s">
        <v>2104</v>
      </c>
      <c r="J571" s="2" t="s">
        <v>1855</v>
      </c>
      <c r="K571" s="2" t="s">
        <v>2105</v>
      </c>
      <c r="L571" s="2" t="s">
        <v>45</v>
      </c>
    </row>
    <row r="572" spans="1:12" ht="50.5" customHeight="1">
      <c r="A572" s="2" t="s">
        <v>539</v>
      </c>
      <c r="B572" s="2" t="s">
        <v>510</v>
      </c>
      <c r="C572" s="2" t="s">
        <v>538</v>
      </c>
      <c r="D572" s="2" t="s">
        <v>124</v>
      </c>
      <c r="E572" s="11">
        <v>1</v>
      </c>
      <c r="F572" s="20" t="s">
        <v>1763</v>
      </c>
      <c r="G572" s="21" t="s">
        <v>60</v>
      </c>
      <c r="H572" s="21" t="s">
        <v>1779</v>
      </c>
      <c r="I572" s="2" t="s">
        <v>2106</v>
      </c>
      <c r="J572" s="2" t="s">
        <v>1855</v>
      </c>
      <c r="K572" s="2" t="s">
        <v>2107</v>
      </c>
      <c r="L572" s="2" t="s">
        <v>45</v>
      </c>
    </row>
    <row r="573" spans="1:12" ht="77.5" customHeight="1">
      <c r="A573" s="2" t="s">
        <v>539</v>
      </c>
      <c r="B573" s="2" t="s">
        <v>510</v>
      </c>
      <c r="C573" s="2" t="s">
        <v>538</v>
      </c>
      <c r="D573" s="2" t="s">
        <v>65</v>
      </c>
      <c r="E573" s="11">
        <v>0</v>
      </c>
      <c r="F573" s="20" t="s">
        <v>1763</v>
      </c>
      <c r="G573" s="21" t="s">
        <v>60</v>
      </c>
      <c r="H573" s="21" t="s">
        <v>1779</v>
      </c>
      <c r="I573" s="2" t="s">
        <v>2106</v>
      </c>
      <c r="J573" s="2" t="s">
        <v>1855</v>
      </c>
      <c r="K573" s="2" t="s">
        <v>2108</v>
      </c>
      <c r="L573" s="2" t="s">
        <v>45</v>
      </c>
    </row>
    <row r="574" spans="1:12" ht="77.5" customHeight="1">
      <c r="A574" s="2" t="s">
        <v>539</v>
      </c>
      <c r="B574" s="2" t="s">
        <v>510</v>
      </c>
      <c r="C574" s="2" t="s">
        <v>538</v>
      </c>
      <c r="D574" s="2" t="s">
        <v>222</v>
      </c>
      <c r="E574" s="4">
        <v>0.1</v>
      </c>
      <c r="F574" s="7" t="s">
        <v>1764</v>
      </c>
      <c r="G574" s="2" t="s">
        <v>60</v>
      </c>
      <c r="H574" s="2" t="s">
        <v>1759</v>
      </c>
      <c r="I574" s="2" t="s">
        <v>2104</v>
      </c>
      <c r="J574" s="2" t="s">
        <v>1855</v>
      </c>
      <c r="K574" s="2" t="s">
        <v>2105</v>
      </c>
      <c r="L574" s="2" t="s">
        <v>45</v>
      </c>
    </row>
    <row r="575" spans="1:12" ht="50.5" customHeight="1">
      <c r="A575" s="2" t="s">
        <v>539</v>
      </c>
      <c r="B575" s="2" t="s">
        <v>510</v>
      </c>
      <c r="C575" s="2" t="s">
        <v>538</v>
      </c>
      <c r="D575" s="2" t="s">
        <v>1765</v>
      </c>
      <c r="E575" s="4" t="s">
        <v>172</v>
      </c>
      <c r="F575" s="7" t="s">
        <v>1766</v>
      </c>
      <c r="G575" s="2" t="s">
        <v>60</v>
      </c>
      <c r="H575" s="2" t="s">
        <v>1759</v>
      </c>
      <c r="I575" s="2" t="s">
        <v>1767</v>
      </c>
      <c r="J575" s="2"/>
      <c r="K575" t="s">
        <v>2109</v>
      </c>
    </row>
    <row r="576" spans="1:12" ht="37" customHeight="1">
      <c r="A576" s="2" t="s">
        <v>546</v>
      </c>
      <c r="B576" s="2" t="s">
        <v>510</v>
      </c>
      <c r="C576" s="2" t="s">
        <v>541</v>
      </c>
      <c r="D576" s="2" t="s">
        <v>1757</v>
      </c>
      <c r="E576" s="4">
        <v>1.1000000000000001</v>
      </c>
      <c r="F576" s="7" t="s">
        <v>1758</v>
      </c>
      <c r="G576" s="2" t="s">
        <v>29</v>
      </c>
      <c r="H576" s="2" t="s">
        <v>1759</v>
      </c>
      <c r="I576" s="2" t="s">
        <v>2110</v>
      </c>
      <c r="J576" s="2" t="s">
        <v>2111</v>
      </c>
      <c r="K576" s="2" t="s">
        <v>2112</v>
      </c>
      <c r="L576" s="2" t="s">
        <v>35</v>
      </c>
    </row>
    <row r="577" spans="1:12" ht="37" customHeight="1">
      <c r="A577" s="2" t="s">
        <v>546</v>
      </c>
      <c r="B577" s="2" t="s">
        <v>510</v>
      </c>
      <c r="C577" s="2" t="s">
        <v>541</v>
      </c>
      <c r="D577" s="2" t="s">
        <v>254</v>
      </c>
      <c r="E577" s="4">
        <v>0.2</v>
      </c>
      <c r="F577" s="7" t="s">
        <v>1758</v>
      </c>
      <c r="G577" s="2" t="s">
        <v>29</v>
      </c>
      <c r="H577" s="2" t="s">
        <v>1759</v>
      </c>
      <c r="I577" s="2" t="s">
        <v>2110</v>
      </c>
      <c r="J577" s="2" t="s">
        <v>2111</v>
      </c>
      <c r="K577" s="2" t="s">
        <v>2112</v>
      </c>
      <c r="L577" s="2" t="s">
        <v>35</v>
      </c>
    </row>
    <row r="578" spans="1:12" ht="37" customHeight="1">
      <c r="A578" s="2" t="s">
        <v>546</v>
      </c>
      <c r="B578" s="2" t="s">
        <v>510</v>
      </c>
      <c r="C578" s="2" t="s">
        <v>541</v>
      </c>
      <c r="D578" s="2" t="s">
        <v>124</v>
      </c>
      <c r="E578" s="7" t="s">
        <v>542</v>
      </c>
      <c r="F578" s="7" t="s">
        <v>1763</v>
      </c>
      <c r="G578" s="2" t="s">
        <v>29</v>
      </c>
      <c r="H578" s="2" t="s">
        <v>1759</v>
      </c>
      <c r="I578" s="2" t="s">
        <v>2110</v>
      </c>
      <c r="J578" s="2" t="s">
        <v>2111</v>
      </c>
      <c r="K578" s="2" t="s">
        <v>2112</v>
      </c>
      <c r="L578" s="2" t="s">
        <v>35</v>
      </c>
    </row>
    <row r="579" spans="1:12" ht="64" customHeight="1">
      <c r="A579" s="2" t="s">
        <v>546</v>
      </c>
      <c r="B579" s="2" t="s">
        <v>510</v>
      </c>
      <c r="C579" s="2" t="s">
        <v>541</v>
      </c>
      <c r="D579" s="2" t="s">
        <v>65</v>
      </c>
      <c r="E579" s="7" t="s">
        <v>543</v>
      </c>
      <c r="F579" s="7" t="s">
        <v>1763</v>
      </c>
      <c r="G579" s="2" t="s">
        <v>29</v>
      </c>
      <c r="H579" s="2" t="s">
        <v>1759</v>
      </c>
      <c r="I579" s="2" t="s">
        <v>2110</v>
      </c>
      <c r="J579" s="2" t="s">
        <v>2111</v>
      </c>
      <c r="K579" s="2" t="s">
        <v>2112</v>
      </c>
      <c r="L579" s="2" t="s">
        <v>35</v>
      </c>
    </row>
    <row r="580" spans="1:12" ht="37" customHeight="1">
      <c r="A580" s="2" t="s">
        <v>546</v>
      </c>
      <c r="B580" s="2" t="s">
        <v>510</v>
      </c>
      <c r="C580" s="2" t="s">
        <v>541</v>
      </c>
      <c r="D580" s="2" t="s">
        <v>222</v>
      </c>
      <c r="E580" s="5">
        <v>0.22</v>
      </c>
      <c r="F580" s="7" t="s">
        <v>1764</v>
      </c>
      <c r="G580" s="2" t="s">
        <v>29</v>
      </c>
      <c r="H580" s="2" t="s">
        <v>1759</v>
      </c>
      <c r="I580" s="2" t="s">
        <v>2110</v>
      </c>
      <c r="J580" s="2" t="s">
        <v>2111</v>
      </c>
      <c r="K580" s="2" t="s">
        <v>2112</v>
      </c>
      <c r="L580" s="2" t="s">
        <v>35</v>
      </c>
    </row>
    <row r="581" spans="1:12" ht="34" customHeight="1">
      <c r="A581" s="2" t="s">
        <v>546</v>
      </c>
      <c r="B581" s="2" t="s">
        <v>510</v>
      </c>
      <c r="C581" s="2" t="s">
        <v>541</v>
      </c>
      <c r="D581" s="2" t="s">
        <v>1765</v>
      </c>
      <c r="E581" s="5" t="s">
        <v>172</v>
      </c>
      <c r="F581" s="7" t="s">
        <v>1766</v>
      </c>
      <c r="G581" s="2" t="s">
        <v>29</v>
      </c>
      <c r="H581" s="2" t="s">
        <v>1759</v>
      </c>
      <c r="I581" s="2" t="s">
        <v>1767</v>
      </c>
      <c r="J581" s="2"/>
      <c r="K581" t="s">
        <v>2109</v>
      </c>
    </row>
    <row r="582" spans="1:12" ht="34" customHeight="1">
      <c r="A582" s="2" t="s">
        <v>552</v>
      </c>
      <c r="B582" s="2" t="s">
        <v>510</v>
      </c>
      <c r="C582" s="2" t="s">
        <v>548</v>
      </c>
      <c r="D582" s="2" t="s">
        <v>1757</v>
      </c>
      <c r="E582" s="5">
        <v>4.42</v>
      </c>
      <c r="F582" s="7" t="s">
        <v>1758</v>
      </c>
      <c r="G582" s="2" t="s">
        <v>250</v>
      </c>
      <c r="H582" s="2" t="s">
        <v>1759</v>
      </c>
      <c r="I582" s="2" t="s">
        <v>2113</v>
      </c>
      <c r="J582" s="2" t="s">
        <v>2114</v>
      </c>
      <c r="K582" s="2" t="s">
        <v>2115</v>
      </c>
      <c r="L582" s="2" t="s">
        <v>45</v>
      </c>
    </row>
    <row r="583" spans="1:12" ht="34" customHeight="1">
      <c r="A583" s="2" t="s">
        <v>552</v>
      </c>
      <c r="B583" s="2" t="s">
        <v>510</v>
      </c>
      <c r="C583" s="2" t="s">
        <v>548</v>
      </c>
      <c r="D583" s="2" t="s">
        <v>254</v>
      </c>
      <c r="E583" s="15">
        <v>1.4733333333333329</v>
      </c>
      <c r="F583" s="20" t="s">
        <v>1758</v>
      </c>
      <c r="G583" s="21" t="s">
        <v>250</v>
      </c>
      <c r="H583" s="21" t="s">
        <v>1779</v>
      </c>
      <c r="I583" s="2" t="s">
        <v>2116</v>
      </c>
      <c r="J583" s="2" t="s">
        <v>2114</v>
      </c>
      <c r="K583" s="2" t="s">
        <v>2117</v>
      </c>
      <c r="L583" s="2" t="s">
        <v>45</v>
      </c>
    </row>
    <row r="584" spans="1:12" ht="34" customHeight="1">
      <c r="A584" s="2" t="s">
        <v>552</v>
      </c>
      <c r="B584" s="2" t="s">
        <v>510</v>
      </c>
      <c r="C584" s="2" t="s">
        <v>548</v>
      </c>
      <c r="D584" s="2" t="s">
        <v>124</v>
      </c>
      <c r="E584" s="4">
        <v>1.7</v>
      </c>
      <c r="F584" s="7" t="s">
        <v>1763</v>
      </c>
      <c r="G584" s="2" t="s">
        <v>250</v>
      </c>
      <c r="H584" s="2" t="s">
        <v>1759</v>
      </c>
      <c r="I584" s="2" t="s">
        <v>2113</v>
      </c>
      <c r="J584" s="2" t="s">
        <v>2114</v>
      </c>
      <c r="K584" s="2" t="s">
        <v>2115</v>
      </c>
      <c r="L584" s="2" t="s">
        <v>45</v>
      </c>
    </row>
    <row r="585" spans="1:12" ht="34" customHeight="1">
      <c r="A585" s="2" t="s">
        <v>552</v>
      </c>
      <c r="B585" s="2" t="s">
        <v>510</v>
      </c>
      <c r="C585" s="2" t="s">
        <v>548</v>
      </c>
      <c r="D585" s="2" t="s">
        <v>65</v>
      </c>
      <c r="E585" s="5">
        <v>0.24</v>
      </c>
      <c r="F585" s="7" t="s">
        <v>1763</v>
      </c>
      <c r="G585" s="2" t="s">
        <v>250</v>
      </c>
      <c r="H585" s="2" t="s">
        <v>1759</v>
      </c>
      <c r="I585" s="2" t="s">
        <v>2113</v>
      </c>
      <c r="J585" s="2" t="s">
        <v>2114</v>
      </c>
      <c r="K585" s="2" t="s">
        <v>2115</v>
      </c>
      <c r="L585" s="2" t="s">
        <v>45</v>
      </c>
    </row>
    <row r="586" spans="1:12" ht="37" customHeight="1">
      <c r="A586" s="2" t="s">
        <v>552</v>
      </c>
      <c r="B586" s="2" t="s">
        <v>510</v>
      </c>
      <c r="C586" s="2" t="s">
        <v>548</v>
      </c>
      <c r="D586" s="2" t="s">
        <v>222</v>
      </c>
      <c r="E586" s="4">
        <v>11.2</v>
      </c>
      <c r="F586" s="7" t="s">
        <v>1764</v>
      </c>
      <c r="G586" s="2" t="s">
        <v>250</v>
      </c>
      <c r="H586" s="2" t="s">
        <v>1759</v>
      </c>
      <c r="I586" s="2" t="s">
        <v>2113</v>
      </c>
      <c r="J586" s="2" t="s">
        <v>2114</v>
      </c>
      <c r="K586" s="2" t="s">
        <v>2115</v>
      </c>
      <c r="L586" s="2" t="s">
        <v>45</v>
      </c>
    </row>
    <row r="587" spans="1:12" ht="37" customHeight="1">
      <c r="A587" s="2" t="s">
        <v>552</v>
      </c>
      <c r="B587" s="2" t="s">
        <v>510</v>
      </c>
      <c r="C587" s="2" t="s">
        <v>548</v>
      </c>
      <c r="D587" s="2" t="s">
        <v>1765</v>
      </c>
      <c r="E587" s="4" t="s">
        <v>549</v>
      </c>
      <c r="F587" s="7" t="s">
        <v>1766</v>
      </c>
      <c r="G587" s="2" t="s">
        <v>250</v>
      </c>
      <c r="H587" s="2" t="s">
        <v>1759</v>
      </c>
      <c r="I587" s="2" t="s">
        <v>1767</v>
      </c>
      <c r="J587" s="2"/>
      <c r="K587" t="s">
        <v>2118</v>
      </c>
    </row>
    <row r="588" spans="1:12" ht="37" customHeight="1">
      <c r="A588" s="2" t="s">
        <v>561</v>
      </c>
      <c r="B588" s="2" t="s">
        <v>556</v>
      </c>
      <c r="C588" s="2" t="s">
        <v>557</v>
      </c>
      <c r="D588" s="2" t="s">
        <v>1757</v>
      </c>
      <c r="E588" s="5">
        <v>0.65</v>
      </c>
      <c r="F588" s="7" t="s">
        <v>1758</v>
      </c>
      <c r="G588" s="2" t="s">
        <v>558</v>
      </c>
      <c r="H588" s="2" t="s">
        <v>1759</v>
      </c>
      <c r="I588" s="2" t="s">
        <v>2119</v>
      </c>
      <c r="J588" s="2" t="s">
        <v>2120</v>
      </c>
      <c r="K588" s="2" t="s">
        <v>2121</v>
      </c>
      <c r="L588" s="2" t="s">
        <v>35</v>
      </c>
    </row>
    <row r="589" spans="1:12" ht="34" customHeight="1">
      <c r="A589" s="2" t="s">
        <v>561</v>
      </c>
      <c r="B589" s="2" t="s">
        <v>556</v>
      </c>
      <c r="C589" s="2" t="s">
        <v>557</v>
      </c>
      <c r="D589" s="2" t="s">
        <v>254</v>
      </c>
      <c r="E589" s="4">
        <v>0.2</v>
      </c>
      <c r="F589" s="7" t="s">
        <v>1758</v>
      </c>
      <c r="G589" s="2" t="s">
        <v>558</v>
      </c>
      <c r="H589" s="2" t="s">
        <v>1759</v>
      </c>
      <c r="I589" s="2" t="s">
        <v>2119</v>
      </c>
      <c r="J589" s="2" t="s">
        <v>2120</v>
      </c>
      <c r="K589" s="2" t="s">
        <v>2121</v>
      </c>
      <c r="L589" s="2" t="s">
        <v>35</v>
      </c>
    </row>
    <row r="590" spans="1:12" ht="37" customHeight="1">
      <c r="A590" s="2" t="s">
        <v>561</v>
      </c>
      <c r="B590" s="2" t="s">
        <v>556</v>
      </c>
      <c r="C590" s="2" t="s">
        <v>557</v>
      </c>
      <c r="D590" s="2" t="s">
        <v>124</v>
      </c>
      <c r="E590" s="11">
        <v>1</v>
      </c>
      <c r="F590" s="20" t="s">
        <v>1763</v>
      </c>
      <c r="G590" s="21" t="s">
        <v>558</v>
      </c>
      <c r="H590" s="21" t="s">
        <v>1779</v>
      </c>
      <c r="I590" s="2" t="s">
        <v>2122</v>
      </c>
      <c r="J590" s="2" t="s">
        <v>2123</v>
      </c>
      <c r="K590" s="2" t="s">
        <v>2124</v>
      </c>
      <c r="L590" s="2" t="s">
        <v>35</v>
      </c>
    </row>
    <row r="591" spans="1:12" ht="34" customHeight="1">
      <c r="A591" s="2" t="s">
        <v>561</v>
      </c>
      <c r="B591" s="2" t="s">
        <v>556</v>
      </c>
      <c r="C591" s="2" t="s">
        <v>557</v>
      </c>
      <c r="D591" s="2" t="s">
        <v>65</v>
      </c>
      <c r="E591" s="11">
        <v>0</v>
      </c>
      <c r="F591" s="20" t="s">
        <v>1763</v>
      </c>
      <c r="G591" s="21" t="s">
        <v>558</v>
      </c>
      <c r="H591" s="21" t="s">
        <v>1779</v>
      </c>
      <c r="I591" s="2" t="s">
        <v>2122</v>
      </c>
      <c r="J591" s="2" t="s">
        <v>2123</v>
      </c>
      <c r="K591" s="2" t="s">
        <v>2125</v>
      </c>
      <c r="L591" s="2" t="s">
        <v>35</v>
      </c>
    </row>
    <row r="592" spans="1:12" ht="34" customHeight="1">
      <c r="A592" s="2" t="s">
        <v>561</v>
      </c>
      <c r="B592" s="2" t="s">
        <v>556</v>
      </c>
      <c r="C592" s="2" t="s">
        <v>557</v>
      </c>
      <c r="D592" s="2" t="s">
        <v>222</v>
      </c>
      <c r="E592" s="4">
        <v>0.1</v>
      </c>
      <c r="F592" s="7" t="s">
        <v>1764</v>
      </c>
      <c r="G592" s="2" t="s">
        <v>558</v>
      </c>
      <c r="H592" s="2" t="s">
        <v>1759</v>
      </c>
      <c r="I592" s="2" t="s">
        <v>2119</v>
      </c>
      <c r="J592" s="2" t="s">
        <v>2120</v>
      </c>
      <c r="K592" s="2" t="s">
        <v>2121</v>
      </c>
      <c r="L592" s="2" t="s">
        <v>35</v>
      </c>
    </row>
    <row r="593" spans="1:12" ht="34" customHeight="1">
      <c r="A593" s="2" t="s">
        <v>561</v>
      </c>
      <c r="B593" s="2" t="s">
        <v>556</v>
      </c>
      <c r="C593" s="2" t="s">
        <v>557</v>
      </c>
      <c r="D593" s="2" t="s">
        <v>1765</v>
      </c>
      <c r="E593" s="4" t="s">
        <v>400</v>
      </c>
      <c r="F593" s="7" t="s">
        <v>1766</v>
      </c>
      <c r="G593" s="2" t="s">
        <v>558</v>
      </c>
      <c r="H593" s="2" t="s">
        <v>1759</v>
      </c>
      <c r="I593" s="2" t="s">
        <v>1767</v>
      </c>
      <c r="J593" s="2"/>
      <c r="K593" t="s">
        <v>2126</v>
      </c>
    </row>
    <row r="594" spans="1:12" ht="34" customHeight="1">
      <c r="A594" s="2" t="s">
        <v>570</v>
      </c>
      <c r="B594" s="2" t="s">
        <v>565</v>
      </c>
      <c r="C594" s="2" t="s">
        <v>566</v>
      </c>
      <c r="D594" s="2" t="s">
        <v>1757</v>
      </c>
      <c r="E594" s="5">
        <v>0.15</v>
      </c>
      <c r="F594" s="7" t="s">
        <v>1758</v>
      </c>
      <c r="G594" s="2" t="s">
        <v>568</v>
      </c>
      <c r="H594" s="2" t="s">
        <v>1759</v>
      </c>
      <c r="I594" s="2" t="s">
        <v>2127</v>
      </c>
      <c r="J594" s="2" t="s">
        <v>2128</v>
      </c>
      <c r="K594" s="2" t="s">
        <v>2129</v>
      </c>
      <c r="L594" s="2" t="s">
        <v>45</v>
      </c>
    </row>
    <row r="595" spans="1:12" ht="34" customHeight="1">
      <c r="A595" s="2" t="s">
        <v>570</v>
      </c>
      <c r="B595" s="2" t="s">
        <v>565</v>
      </c>
      <c r="C595" s="2" t="s">
        <v>566</v>
      </c>
      <c r="D595" s="2" t="s">
        <v>254</v>
      </c>
      <c r="E595" s="5">
        <v>0.09</v>
      </c>
      <c r="F595" s="7" t="s">
        <v>1758</v>
      </c>
      <c r="G595" s="2" t="s">
        <v>568</v>
      </c>
      <c r="H595" s="2" t="s">
        <v>1759</v>
      </c>
      <c r="I595" s="2" t="s">
        <v>2127</v>
      </c>
      <c r="J595" s="2" t="s">
        <v>2128</v>
      </c>
      <c r="K595" s="2" t="s">
        <v>2129</v>
      </c>
      <c r="L595" s="2" t="s">
        <v>45</v>
      </c>
    </row>
    <row r="596" spans="1:12" ht="50.5" customHeight="1">
      <c r="A596" s="2" t="s">
        <v>570</v>
      </c>
      <c r="B596" s="2" t="s">
        <v>565</v>
      </c>
      <c r="C596" s="2" t="s">
        <v>566</v>
      </c>
      <c r="D596" s="2" t="s">
        <v>124</v>
      </c>
      <c r="E596" s="7"/>
      <c r="F596" s="7" t="s">
        <v>1763</v>
      </c>
      <c r="G596" s="2" t="s">
        <v>568</v>
      </c>
      <c r="H596" s="2" t="s">
        <v>1773</v>
      </c>
      <c r="I596" s="2"/>
      <c r="J596" s="2"/>
      <c r="K596" s="2" t="s">
        <v>2129</v>
      </c>
      <c r="L596" s="2" t="s">
        <v>45</v>
      </c>
    </row>
    <row r="597" spans="1:12" ht="50.5" customHeight="1">
      <c r="A597" s="2" t="s">
        <v>570</v>
      </c>
      <c r="B597" s="2" t="s">
        <v>565</v>
      </c>
      <c r="C597" s="2" t="s">
        <v>566</v>
      </c>
      <c r="D597" s="2" t="s">
        <v>65</v>
      </c>
      <c r="E597" s="7"/>
      <c r="F597" s="7" t="s">
        <v>1763</v>
      </c>
      <c r="G597" s="2" t="s">
        <v>568</v>
      </c>
      <c r="H597" s="2" t="s">
        <v>1773</v>
      </c>
      <c r="I597" s="2"/>
      <c r="J597" s="2"/>
      <c r="K597" s="2" t="s">
        <v>2129</v>
      </c>
      <c r="L597" s="2" t="s">
        <v>45</v>
      </c>
    </row>
    <row r="598" spans="1:12" ht="50.5" customHeight="1">
      <c r="A598" s="2" t="s">
        <v>570</v>
      </c>
      <c r="B598" s="2" t="s">
        <v>565</v>
      </c>
      <c r="C598" s="2" t="s">
        <v>566</v>
      </c>
      <c r="D598" s="2" t="s">
        <v>222</v>
      </c>
      <c r="E598" s="7"/>
      <c r="F598" s="7" t="s">
        <v>1764</v>
      </c>
      <c r="G598" s="2" t="s">
        <v>568</v>
      </c>
      <c r="H598" s="2" t="s">
        <v>1773</v>
      </c>
      <c r="I598" s="2"/>
      <c r="J598" s="2"/>
      <c r="K598" s="2" t="s">
        <v>2129</v>
      </c>
      <c r="L598" s="2" t="s">
        <v>45</v>
      </c>
    </row>
    <row r="599" spans="1:12" ht="50.5" customHeight="1">
      <c r="A599" s="2" t="s">
        <v>570</v>
      </c>
      <c r="B599" s="2" t="s">
        <v>565</v>
      </c>
      <c r="C599" s="2" t="s">
        <v>566</v>
      </c>
      <c r="D599" s="2" t="s">
        <v>1765</v>
      </c>
      <c r="E599" s="7" t="s">
        <v>567</v>
      </c>
      <c r="F599" s="7" t="s">
        <v>1766</v>
      </c>
      <c r="G599" s="2" t="s">
        <v>568</v>
      </c>
      <c r="H599" s="2" t="s">
        <v>1759</v>
      </c>
      <c r="I599" s="2" t="s">
        <v>1767</v>
      </c>
      <c r="J599" s="2"/>
      <c r="K599" t="s">
        <v>2130</v>
      </c>
    </row>
    <row r="600" spans="1:12" ht="50.5" customHeight="1">
      <c r="A600" s="2" t="s">
        <v>575</v>
      </c>
      <c r="B600" s="2" t="s">
        <v>565</v>
      </c>
      <c r="C600" s="2" t="s">
        <v>572</v>
      </c>
      <c r="D600" s="2" t="s">
        <v>1757</v>
      </c>
      <c r="E600" s="5">
        <v>0.15</v>
      </c>
      <c r="F600" s="7" t="s">
        <v>1758</v>
      </c>
      <c r="G600" s="2" t="s">
        <v>573</v>
      </c>
      <c r="H600" s="2" t="s">
        <v>1759</v>
      </c>
      <c r="I600" s="2" t="s">
        <v>2131</v>
      </c>
      <c r="J600" s="2" t="s">
        <v>2132</v>
      </c>
      <c r="K600" s="2" t="s">
        <v>2133</v>
      </c>
      <c r="L600" s="2" t="s">
        <v>576</v>
      </c>
    </row>
    <row r="601" spans="1:12" ht="64" customHeight="1">
      <c r="A601" s="2" t="s">
        <v>575</v>
      </c>
      <c r="B601" s="2" t="s">
        <v>565</v>
      </c>
      <c r="C601" s="2" t="s">
        <v>572</v>
      </c>
      <c r="D601" s="2" t="s">
        <v>254</v>
      </c>
      <c r="E601" s="5">
        <v>0.09</v>
      </c>
      <c r="F601" s="7" t="s">
        <v>1758</v>
      </c>
      <c r="G601" s="2" t="s">
        <v>573</v>
      </c>
      <c r="H601" s="2" t="s">
        <v>1759</v>
      </c>
      <c r="I601" s="2" t="s">
        <v>2131</v>
      </c>
      <c r="J601" s="2" t="s">
        <v>2132</v>
      </c>
      <c r="K601" s="2" t="s">
        <v>2133</v>
      </c>
      <c r="L601" s="2" t="s">
        <v>576</v>
      </c>
    </row>
    <row r="602" spans="1:12" ht="64" customHeight="1">
      <c r="A602" s="2" t="s">
        <v>575</v>
      </c>
      <c r="B602" s="2" t="s">
        <v>565</v>
      </c>
      <c r="C602" s="2" t="s">
        <v>572</v>
      </c>
      <c r="D602" s="2" t="s">
        <v>124</v>
      </c>
      <c r="E602" s="7"/>
      <c r="F602" s="7" t="s">
        <v>1763</v>
      </c>
      <c r="G602" s="2" t="s">
        <v>573</v>
      </c>
      <c r="H602" s="2" t="s">
        <v>1773</v>
      </c>
      <c r="I602" s="2"/>
      <c r="J602" s="2"/>
      <c r="K602" s="2" t="s">
        <v>2133</v>
      </c>
      <c r="L602" s="2" t="s">
        <v>576</v>
      </c>
    </row>
    <row r="603" spans="1:12" ht="64" customHeight="1">
      <c r="A603" s="2" t="s">
        <v>575</v>
      </c>
      <c r="B603" s="2" t="s">
        <v>565</v>
      </c>
      <c r="C603" s="2" t="s">
        <v>572</v>
      </c>
      <c r="D603" s="2" t="s">
        <v>65</v>
      </c>
      <c r="E603" s="7"/>
      <c r="F603" s="7" t="s">
        <v>1763</v>
      </c>
      <c r="G603" s="2" t="s">
        <v>573</v>
      </c>
      <c r="H603" s="2" t="s">
        <v>1773</v>
      </c>
      <c r="I603" s="2"/>
      <c r="J603" s="2"/>
      <c r="K603" s="2" t="s">
        <v>2133</v>
      </c>
      <c r="L603" s="2" t="s">
        <v>576</v>
      </c>
    </row>
    <row r="604" spans="1:12" ht="64" customHeight="1">
      <c r="A604" s="2" t="s">
        <v>575</v>
      </c>
      <c r="B604" s="2" t="s">
        <v>565</v>
      </c>
      <c r="C604" s="2" t="s">
        <v>572</v>
      </c>
      <c r="D604" s="2" t="s">
        <v>222</v>
      </c>
      <c r="E604" s="8">
        <v>5.0000000000000001E-3</v>
      </c>
      <c r="F604" s="7" t="s">
        <v>1764</v>
      </c>
      <c r="G604" s="2" t="s">
        <v>573</v>
      </c>
      <c r="H604" s="2" t="s">
        <v>1759</v>
      </c>
      <c r="I604" s="2" t="s">
        <v>2131</v>
      </c>
      <c r="J604" s="2" t="s">
        <v>2132</v>
      </c>
      <c r="K604" s="2" t="s">
        <v>2133</v>
      </c>
      <c r="L604" s="2" t="s">
        <v>576</v>
      </c>
    </row>
    <row r="605" spans="1:12" ht="64" customHeight="1">
      <c r="A605" s="2" t="s">
        <v>575</v>
      </c>
      <c r="B605" s="2" t="s">
        <v>565</v>
      </c>
      <c r="C605" s="2" t="s">
        <v>572</v>
      </c>
      <c r="D605" s="2" t="s">
        <v>1765</v>
      </c>
      <c r="E605" s="8" t="s">
        <v>408</v>
      </c>
      <c r="F605" s="7" t="s">
        <v>1766</v>
      </c>
      <c r="G605" s="2" t="s">
        <v>573</v>
      </c>
      <c r="H605" s="2" t="s">
        <v>1759</v>
      </c>
      <c r="I605" s="2" t="s">
        <v>1767</v>
      </c>
      <c r="J605" s="2"/>
      <c r="K605" t="s">
        <v>2134</v>
      </c>
    </row>
    <row r="606" spans="1:12" ht="34" customHeight="1">
      <c r="A606" s="2" t="s">
        <v>581</v>
      </c>
      <c r="B606" s="2" t="s">
        <v>565</v>
      </c>
      <c r="C606" s="2" t="s">
        <v>577</v>
      </c>
      <c r="D606" s="2" t="s">
        <v>1757</v>
      </c>
      <c r="E606" s="4">
        <v>0.2</v>
      </c>
      <c r="F606" s="7" t="s">
        <v>1758</v>
      </c>
      <c r="G606" s="2" t="s">
        <v>579</v>
      </c>
      <c r="H606" s="2" t="s">
        <v>1759</v>
      </c>
      <c r="I606" s="2" t="s">
        <v>2135</v>
      </c>
      <c r="J606" s="2" t="s">
        <v>1855</v>
      </c>
      <c r="K606" s="2" t="s">
        <v>2136</v>
      </c>
      <c r="L606" s="2" t="s">
        <v>45</v>
      </c>
    </row>
    <row r="607" spans="1:12" ht="34" customHeight="1">
      <c r="A607" s="2" t="s">
        <v>581</v>
      </c>
      <c r="B607" s="2" t="s">
        <v>565</v>
      </c>
      <c r="C607" s="2" t="s">
        <v>577</v>
      </c>
      <c r="D607" s="2" t="s">
        <v>254</v>
      </c>
      <c r="E607" s="4">
        <v>0.1</v>
      </c>
      <c r="F607" s="7" t="s">
        <v>1758</v>
      </c>
      <c r="G607" s="2" t="s">
        <v>579</v>
      </c>
      <c r="H607" s="2" t="s">
        <v>1759</v>
      </c>
      <c r="I607" s="2" t="s">
        <v>2135</v>
      </c>
      <c r="J607" s="2" t="s">
        <v>1855</v>
      </c>
      <c r="K607" s="2" t="s">
        <v>2136</v>
      </c>
      <c r="L607" s="2" t="s">
        <v>45</v>
      </c>
    </row>
    <row r="608" spans="1:12" ht="34" customHeight="1">
      <c r="A608" s="2" t="s">
        <v>581</v>
      </c>
      <c r="B608" s="2" t="s">
        <v>565</v>
      </c>
      <c r="C608" s="2" t="s">
        <v>577</v>
      </c>
      <c r="D608" s="2" t="s">
        <v>124</v>
      </c>
      <c r="E608" s="7"/>
      <c r="F608" s="7" t="s">
        <v>1763</v>
      </c>
      <c r="G608" s="2" t="s">
        <v>579</v>
      </c>
      <c r="H608" s="2" t="s">
        <v>1773</v>
      </c>
      <c r="I608" s="2"/>
      <c r="J608" s="2"/>
      <c r="K608" s="2" t="s">
        <v>2136</v>
      </c>
      <c r="L608" s="2" t="s">
        <v>45</v>
      </c>
    </row>
    <row r="609" spans="1:12" ht="34" customHeight="1">
      <c r="A609" s="2" t="s">
        <v>581</v>
      </c>
      <c r="B609" s="2" t="s">
        <v>565</v>
      </c>
      <c r="C609" s="2" t="s">
        <v>577</v>
      </c>
      <c r="D609" s="2" t="s">
        <v>65</v>
      </c>
      <c r="E609" s="7"/>
      <c r="F609" s="7" t="s">
        <v>1763</v>
      </c>
      <c r="G609" s="2" t="s">
        <v>579</v>
      </c>
      <c r="H609" s="2" t="s">
        <v>1773</v>
      </c>
      <c r="I609" s="2"/>
      <c r="J609" s="2"/>
      <c r="K609" s="2" t="s">
        <v>2136</v>
      </c>
      <c r="L609" s="2" t="s">
        <v>45</v>
      </c>
    </row>
    <row r="610" spans="1:12" ht="34" customHeight="1">
      <c r="A610" s="2" t="s">
        <v>581</v>
      </c>
      <c r="B610" s="2" t="s">
        <v>565</v>
      </c>
      <c r="C610" s="2" t="s">
        <v>577</v>
      </c>
      <c r="D610" s="2" t="s">
        <v>222</v>
      </c>
      <c r="E610" s="8">
        <v>2E-3</v>
      </c>
      <c r="F610" s="7" t="s">
        <v>1764</v>
      </c>
      <c r="G610" s="2" t="s">
        <v>579</v>
      </c>
      <c r="H610" s="2" t="s">
        <v>1759</v>
      </c>
      <c r="I610" s="2" t="s">
        <v>2135</v>
      </c>
      <c r="J610" s="2" t="s">
        <v>1855</v>
      </c>
      <c r="K610" s="2" t="s">
        <v>2136</v>
      </c>
      <c r="L610" s="2" t="s">
        <v>45</v>
      </c>
    </row>
    <row r="611" spans="1:12" ht="34" customHeight="1">
      <c r="A611" s="2" t="s">
        <v>581</v>
      </c>
      <c r="B611" s="2" t="s">
        <v>565</v>
      </c>
      <c r="C611" s="2" t="s">
        <v>577</v>
      </c>
      <c r="D611" s="2" t="s">
        <v>1765</v>
      </c>
      <c r="E611" s="8" t="s">
        <v>578</v>
      </c>
      <c r="F611" s="7" t="s">
        <v>1766</v>
      </c>
      <c r="G611" s="2" t="s">
        <v>579</v>
      </c>
      <c r="H611" s="2" t="s">
        <v>1759</v>
      </c>
      <c r="I611" s="2" t="s">
        <v>1767</v>
      </c>
      <c r="J611" s="2"/>
      <c r="K611" t="s">
        <v>1795</v>
      </c>
    </row>
    <row r="612" spans="1:12" ht="34" customHeight="1">
      <c r="A612" s="2" t="s">
        <v>587</v>
      </c>
      <c r="B612" s="2" t="s">
        <v>565</v>
      </c>
      <c r="C612" s="2" t="s">
        <v>584</v>
      </c>
      <c r="D612" s="2" t="s">
        <v>1757</v>
      </c>
      <c r="E612" s="5">
        <v>0.15</v>
      </c>
      <c r="F612" s="7" t="s">
        <v>1758</v>
      </c>
      <c r="G612" s="2" t="s">
        <v>585</v>
      </c>
      <c r="H612" s="2" t="s">
        <v>1759</v>
      </c>
      <c r="I612" s="2" t="s">
        <v>2137</v>
      </c>
      <c r="J612" s="2" t="s">
        <v>2138</v>
      </c>
      <c r="K612" s="2" t="s">
        <v>2139</v>
      </c>
      <c r="L612" s="2" t="s">
        <v>45</v>
      </c>
    </row>
    <row r="613" spans="1:12" ht="34" customHeight="1">
      <c r="A613" s="2" t="s">
        <v>587</v>
      </c>
      <c r="B613" s="2" t="s">
        <v>565</v>
      </c>
      <c r="C613" s="2" t="s">
        <v>584</v>
      </c>
      <c r="D613" s="2" t="s">
        <v>254</v>
      </c>
      <c r="E613" s="5">
        <v>0.09</v>
      </c>
      <c r="F613" s="7" t="s">
        <v>1758</v>
      </c>
      <c r="G613" s="2" t="s">
        <v>585</v>
      </c>
      <c r="H613" s="2" t="s">
        <v>1759</v>
      </c>
      <c r="I613" s="2" t="s">
        <v>2137</v>
      </c>
      <c r="J613" s="2" t="s">
        <v>2138</v>
      </c>
      <c r="K613" s="2" t="s">
        <v>2139</v>
      </c>
      <c r="L613" s="2" t="s">
        <v>45</v>
      </c>
    </row>
    <row r="614" spans="1:12" ht="34" customHeight="1">
      <c r="A614" s="2" t="s">
        <v>587</v>
      </c>
      <c r="B614" s="2" t="s">
        <v>565</v>
      </c>
      <c r="C614" s="2" t="s">
        <v>584</v>
      </c>
      <c r="D614" s="2" t="s">
        <v>124</v>
      </c>
      <c r="E614" s="7"/>
      <c r="F614" s="7" t="s">
        <v>1763</v>
      </c>
      <c r="G614" s="2" t="s">
        <v>585</v>
      </c>
      <c r="H614" s="2" t="s">
        <v>1773</v>
      </c>
      <c r="I614" s="2"/>
      <c r="J614" s="2"/>
      <c r="K614" s="2" t="s">
        <v>2139</v>
      </c>
      <c r="L614" s="2" t="s">
        <v>45</v>
      </c>
    </row>
    <row r="615" spans="1:12" ht="34" customHeight="1">
      <c r="A615" s="2" t="s">
        <v>587</v>
      </c>
      <c r="B615" s="2" t="s">
        <v>565</v>
      </c>
      <c r="C615" s="2" t="s">
        <v>584</v>
      </c>
      <c r="D615" s="2" t="s">
        <v>65</v>
      </c>
      <c r="E615" s="7"/>
      <c r="F615" s="7" t="s">
        <v>1763</v>
      </c>
      <c r="G615" s="2" t="s">
        <v>585</v>
      </c>
      <c r="H615" s="2" t="s">
        <v>1773</v>
      </c>
      <c r="I615" s="2"/>
      <c r="J615" s="2"/>
      <c r="K615" s="2" t="s">
        <v>2139</v>
      </c>
      <c r="L615" s="2" t="s">
        <v>45</v>
      </c>
    </row>
    <row r="616" spans="1:12" ht="50.5" customHeight="1">
      <c r="A616" s="2" t="s">
        <v>587</v>
      </c>
      <c r="B616" s="2" t="s">
        <v>565</v>
      </c>
      <c r="C616" s="2" t="s">
        <v>584</v>
      </c>
      <c r="D616" s="2" t="s">
        <v>222</v>
      </c>
      <c r="E616" s="8">
        <v>1.4999999999999999E-2</v>
      </c>
      <c r="F616" s="7" t="s">
        <v>1764</v>
      </c>
      <c r="G616" s="2" t="s">
        <v>585</v>
      </c>
      <c r="H616" s="2" t="s">
        <v>1759</v>
      </c>
      <c r="I616" s="2" t="s">
        <v>2137</v>
      </c>
      <c r="J616" s="2" t="s">
        <v>2138</v>
      </c>
      <c r="K616" s="2" t="s">
        <v>2139</v>
      </c>
      <c r="L616" s="2" t="s">
        <v>45</v>
      </c>
    </row>
    <row r="617" spans="1:12" ht="50.5" customHeight="1">
      <c r="A617" s="2" t="s">
        <v>587</v>
      </c>
      <c r="B617" s="2" t="s">
        <v>565</v>
      </c>
      <c r="C617" s="2" t="s">
        <v>584</v>
      </c>
      <c r="D617" s="2" t="s">
        <v>1765</v>
      </c>
      <c r="E617" s="8" t="s">
        <v>408</v>
      </c>
      <c r="F617" s="7" t="s">
        <v>1766</v>
      </c>
      <c r="G617" s="2" t="s">
        <v>585</v>
      </c>
      <c r="H617" s="2" t="s">
        <v>1759</v>
      </c>
      <c r="I617" s="2" t="s">
        <v>1767</v>
      </c>
      <c r="J617" s="2"/>
      <c r="K617" t="s">
        <v>2140</v>
      </c>
    </row>
    <row r="618" spans="1:12" ht="77.5" customHeight="1">
      <c r="A618" s="2" t="s">
        <v>593</v>
      </c>
      <c r="B618" s="2" t="s">
        <v>565</v>
      </c>
      <c r="C618" s="2" t="s">
        <v>589</v>
      </c>
      <c r="D618" s="2" t="s">
        <v>1757</v>
      </c>
      <c r="E618" s="5">
        <v>0.15</v>
      </c>
      <c r="F618" s="7" t="s">
        <v>1758</v>
      </c>
      <c r="G618" s="2" t="s">
        <v>590</v>
      </c>
      <c r="H618" s="2" t="s">
        <v>1759</v>
      </c>
      <c r="I618" s="2" t="s">
        <v>2141</v>
      </c>
      <c r="J618" s="2" t="s">
        <v>2142</v>
      </c>
      <c r="K618" s="2" t="s">
        <v>2143</v>
      </c>
      <c r="L618" s="2" t="s">
        <v>45</v>
      </c>
    </row>
    <row r="619" spans="1:12" ht="77.5" customHeight="1">
      <c r="A619" s="2" t="s">
        <v>593</v>
      </c>
      <c r="B619" s="2" t="s">
        <v>565</v>
      </c>
      <c r="C619" s="2" t="s">
        <v>589</v>
      </c>
      <c r="D619" s="2" t="s">
        <v>254</v>
      </c>
      <c r="E619" s="5">
        <v>0.09</v>
      </c>
      <c r="F619" s="7" t="s">
        <v>1758</v>
      </c>
      <c r="G619" s="2" t="s">
        <v>590</v>
      </c>
      <c r="H619" s="2" t="s">
        <v>1759</v>
      </c>
      <c r="I619" s="2" t="s">
        <v>2141</v>
      </c>
      <c r="J619" s="2" t="s">
        <v>2142</v>
      </c>
      <c r="K619" s="2" t="s">
        <v>2143</v>
      </c>
      <c r="L619" s="2" t="s">
        <v>45</v>
      </c>
    </row>
    <row r="620" spans="1:12" ht="50.5" customHeight="1">
      <c r="A620" s="2" t="s">
        <v>593</v>
      </c>
      <c r="B620" s="2" t="s">
        <v>565</v>
      </c>
      <c r="C620" s="2" t="s">
        <v>589</v>
      </c>
      <c r="D620" s="2" t="s">
        <v>124</v>
      </c>
      <c r="E620" s="4">
        <v>2.2999999999999998</v>
      </c>
      <c r="F620" s="7" t="s">
        <v>1763</v>
      </c>
      <c r="G620" s="2" t="s">
        <v>590</v>
      </c>
      <c r="H620" s="2" t="s">
        <v>1759</v>
      </c>
      <c r="I620" s="2" t="s">
        <v>2141</v>
      </c>
      <c r="J620" s="2" t="s">
        <v>2142</v>
      </c>
      <c r="K620" s="2" t="s">
        <v>2143</v>
      </c>
      <c r="L620" s="2" t="s">
        <v>45</v>
      </c>
    </row>
    <row r="621" spans="1:12" ht="37" customHeight="1">
      <c r="A621" s="2" t="s">
        <v>593</v>
      </c>
      <c r="B621" s="2" t="s">
        <v>565</v>
      </c>
      <c r="C621" s="2" t="s">
        <v>589</v>
      </c>
      <c r="D621" s="2" t="s">
        <v>65</v>
      </c>
      <c r="E621" s="7"/>
      <c r="F621" s="7" t="s">
        <v>1763</v>
      </c>
      <c r="G621" s="2" t="s">
        <v>590</v>
      </c>
      <c r="H621" s="2" t="s">
        <v>1773</v>
      </c>
      <c r="I621" s="2"/>
      <c r="J621" s="2"/>
      <c r="K621" s="2" t="s">
        <v>2143</v>
      </c>
      <c r="L621" s="2" t="s">
        <v>45</v>
      </c>
    </row>
    <row r="622" spans="1:12" ht="37" customHeight="1">
      <c r="A622" s="2" t="s">
        <v>593</v>
      </c>
      <c r="B622" s="2" t="s">
        <v>565</v>
      </c>
      <c r="C622" s="2" t="s">
        <v>589</v>
      </c>
      <c r="D622" s="2" t="s">
        <v>222</v>
      </c>
      <c r="E622" s="8">
        <v>5.3999999999999999E-2</v>
      </c>
      <c r="F622" s="7" t="s">
        <v>1764</v>
      </c>
      <c r="G622" s="2" t="s">
        <v>590</v>
      </c>
      <c r="H622" s="2" t="s">
        <v>1759</v>
      </c>
      <c r="I622" s="2" t="s">
        <v>2141</v>
      </c>
      <c r="J622" s="2" t="s">
        <v>2142</v>
      </c>
      <c r="K622" s="2" t="s">
        <v>2143</v>
      </c>
      <c r="L622" s="2" t="s">
        <v>45</v>
      </c>
    </row>
    <row r="623" spans="1:12" ht="37" customHeight="1">
      <c r="A623" s="2" t="s">
        <v>593</v>
      </c>
      <c r="B623" s="2" t="s">
        <v>565</v>
      </c>
      <c r="C623" s="2" t="s">
        <v>589</v>
      </c>
      <c r="D623" s="2" t="s">
        <v>1765</v>
      </c>
      <c r="E623" s="8" t="s">
        <v>243</v>
      </c>
      <c r="F623" s="7" t="s">
        <v>1766</v>
      </c>
      <c r="G623" s="2" t="s">
        <v>590</v>
      </c>
      <c r="H623" s="2" t="s">
        <v>1759</v>
      </c>
      <c r="I623" s="2" t="s">
        <v>1767</v>
      </c>
      <c r="J623" s="2"/>
      <c r="K623" t="s">
        <v>2144</v>
      </c>
    </row>
    <row r="624" spans="1:12" ht="37" customHeight="1">
      <c r="A624" s="2" t="s">
        <v>597</v>
      </c>
      <c r="B624" s="2" t="s">
        <v>565</v>
      </c>
      <c r="C624" s="2" t="s">
        <v>594</v>
      </c>
      <c r="D624" s="2" t="s">
        <v>1757</v>
      </c>
      <c r="E624" s="4">
        <v>0.5</v>
      </c>
      <c r="F624" s="7" t="s">
        <v>1758</v>
      </c>
      <c r="G624" s="2" t="s">
        <v>595</v>
      </c>
      <c r="H624" s="2" t="s">
        <v>1759</v>
      </c>
      <c r="I624" s="2" t="s">
        <v>2145</v>
      </c>
      <c r="J624" s="2" t="s">
        <v>1855</v>
      </c>
      <c r="K624" s="2" t="s">
        <v>2146</v>
      </c>
      <c r="L624" s="2" t="s">
        <v>598</v>
      </c>
    </row>
    <row r="625" spans="1:12" ht="37" customHeight="1">
      <c r="A625" s="2" t="s">
        <v>597</v>
      </c>
      <c r="B625" s="2" t="s">
        <v>565</v>
      </c>
      <c r="C625" s="2" t="s">
        <v>594</v>
      </c>
      <c r="D625" s="2" t="s">
        <v>254</v>
      </c>
      <c r="E625" s="5">
        <v>0.25</v>
      </c>
      <c r="F625" s="7" t="s">
        <v>1758</v>
      </c>
      <c r="G625" s="2" t="s">
        <v>595</v>
      </c>
      <c r="H625" s="2" t="s">
        <v>1759</v>
      </c>
      <c r="I625" s="2" t="s">
        <v>2145</v>
      </c>
      <c r="J625" s="2" t="s">
        <v>1855</v>
      </c>
      <c r="K625" s="2" t="s">
        <v>2146</v>
      </c>
      <c r="L625" s="2" t="s">
        <v>598</v>
      </c>
    </row>
    <row r="626" spans="1:12" ht="50.5" customHeight="1">
      <c r="A626" s="2" t="s">
        <v>597</v>
      </c>
      <c r="B626" s="2" t="s">
        <v>565</v>
      </c>
      <c r="C626" s="2" t="s">
        <v>594</v>
      </c>
      <c r="D626" s="2" t="s">
        <v>124</v>
      </c>
      <c r="E626" s="6">
        <v>2</v>
      </c>
      <c r="F626" s="7" t="s">
        <v>1763</v>
      </c>
      <c r="G626" s="2" t="s">
        <v>595</v>
      </c>
      <c r="H626" s="2" t="s">
        <v>1759</v>
      </c>
      <c r="I626" s="2" t="s">
        <v>2147</v>
      </c>
      <c r="J626" s="2" t="s">
        <v>2148</v>
      </c>
      <c r="K626" s="2" t="s">
        <v>2146</v>
      </c>
      <c r="L626" s="2" t="s">
        <v>598</v>
      </c>
    </row>
    <row r="627" spans="1:12" ht="50.5" customHeight="1">
      <c r="A627" s="2" t="s">
        <v>597</v>
      </c>
      <c r="B627" s="2" t="s">
        <v>565</v>
      </c>
      <c r="C627" s="2" t="s">
        <v>594</v>
      </c>
      <c r="D627" s="2" t="s">
        <v>65</v>
      </c>
      <c r="E627" s="7"/>
      <c r="F627" s="7" t="s">
        <v>1763</v>
      </c>
      <c r="G627" s="2" t="s">
        <v>595</v>
      </c>
      <c r="H627" s="2" t="s">
        <v>1773</v>
      </c>
      <c r="I627" s="2"/>
      <c r="J627" s="2"/>
      <c r="K627" s="2" t="s">
        <v>2146</v>
      </c>
      <c r="L627" s="2" t="s">
        <v>598</v>
      </c>
    </row>
    <row r="628" spans="1:12" ht="77.5" customHeight="1">
      <c r="A628" s="2" t="s">
        <v>597</v>
      </c>
      <c r="B628" s="2" t="s">
        <v>565</v>
      </c>
      <c r="C628" s="2" t="s">
        <v>594</v>
      </c>
      <c r="D628" s="2" t="s">
        <v>222</v>
      </c>
      <c r="E628" s="5">
        <v>0.31</v>
      </c>
      <c r="F628" s="7" t="s">
        <v>1764</v>
      </c>
      <c r="G628" s="2" t="s">
        <v>595</v>
      </c>
      <c r="H628" s="2" t="s">
        <v>1759</v>
      </c>
      <c r="I628" s="2" t="s">
        <v>2145</v>
      </c>
      <c r="J628" s="2" t="s">
        <v>1855</v>
      </c>
      <c r="K628" s="2" t="s">
        <v>2146</v>
      </c>
      <c r="L628" s="2" t="s">
        <v>598</v>
      </c>
    </row>
    <row r="629" spans="1:12" ht="77.5" customHeight="1">
      <c r="A629" s="2" t="s">
        <v>597</v>
      </c>
      <c r="B629" s="2" t="s">
        <v>565</v>
      </c>
      <c r="C629" s="2" t="s">
        <v>594</v>
      </c>
      <c r="D629" s="2" t="s">
        <v>1765</v>
      </c>
      <c r="E629" s="5" t="s">
        <v>293</v>
      </c>
      <c r="F629" s="7" t="s">
        <v>1766</v>
      </c>
      <c r="G629" s="2" t="s">
        <v>595</v>
      </c>
      <c r="H629" s="2" t="s">
        <v>1759</v>
      </c>
      <c r="I629" s="2" t="s">
        <v>1767</v>
      </c>
      <c r="J629" s="2"/>
      <c r="K629" t="s">
        <v>2149</v>
      </c>
    </row>
    <row r="630" spans="1:12" ht="50.5" customHeight="1">
      <c r="A630" s="2" t="s">
        <v>603</v>
      </c>
      <c r="B630" s="2" t="s">
        <v>599</v>
      </c>
      <c r="C630" s="2" t="s">
        <v>600</v>
      </c>
      <c r="D630" s="2" t="s">
        <v>1757</v>
      </c>
      <c r="E630" s="8">
        <v>0.45500000000000002</v>
      </c>
      <c r="F630" s="7" t="s">
        <v>1758</v>
      </c>
      <c r="G630" s="2" t="s">
        <v>601</v>
      </c>
      <c r="H630" s="2" t="s">
        <v>1759</v>
      </c>
      <c r="I630" s="2" t="s">
        <v>2150</v>
      </c>
      <c r="J630" s="2" t="s">
        <v>1777</v>
      </c>
      <c r="K630" s="2" t="s">
        <v>2151</v>
      </c>
      <c r="L630" s="2" t="s">
        <v>45</v>
      </c>
    </row>
    <row r="631" spans="1:12" ht="37" customHeight="1">
      <c r="A631" s="2" t="s">
        <v>603</v>
      </c>
      <c r="B631" s="2" t="s">
        <v>599</v>
      </c>
      <c r="C631" s="2" t="s">
        <v>600</v>
      </c>
      <c r="D631" s="2" t="s">
        <v>254</v>
      </c>
      <c r="E631" s="8">
        <v>0.126</v>
      </c>
      <c r="F631" s="7" t="s">
        <v>1758</v>
      </c>
      <c r="G631" s="2" t="s">
        <v>601</v>
      </c>
      <c r="H631" s="2" t="s">
        <v>1759</v>
      </c>
      <c r="I631" s="2" t="s">
        <v>2150</v>
      </c>
      <c r="J631" s="2" t="s">
        <v>1777</v>
      </c>
      <c r="K631" s="2" t="s">
        <v>2151</v>
      </c>
      <c r="L631" s="2" t="s">
        <v>45</v>
      </c>
    </row>
    <row r="632" spans="1:12" ht="37" customHeight="1">
      <c r="A632" s="2" t="s">
        <v>603</v>
      </c>
      <c r="B632" s="2" t="s">
        <v>599</v>
      </c>
      <c r="C632" s="2" t="s">
        <v>600</v>
      </c>
      <c r="D632" s="2" t="s">
        <v>124</v>
      </c>
      <c r="E632" s="6">
        <v>1</v>
      </c>
      <c r="F632" s="7" t="s">
        <v>1763</v>
      </c>
      <c r="G632" s="2" t="s">
        <v>601</v>
      </c>
      <c r="H632" s="2" t="s">
        <v>1759</v>
      </c>
      <c r="I632" s="2" t="s">
        <v>2150</v>
      </c>
      <c r="J632" s="2" t="s">
        <v>1777</v>
      </c>
      <c r="K632" s="2" t="s">
        <v>2151</v>
      </c>
      <c r="L632" s="2" t="s">
        <v>45</v>
      </c>
    </row>
    <row r="633" spans="1:12" ht="37" customHeight="1">
      <c r="A633" s="2" t="s">
        <v>603</v>
      </c>
      <c r="B633" s="2" t="s">
        <v>599</v>
      </c>
      <c r="C633" s="2" t="s">
        <v>600</v>
      </c>
      <c r="D633" s="2" t="s">
        <v>65</v>
      </c>
      <c r="E633" s="11">
        <v>0</v>
      </c>
      <c r="F633" s="20" t="s">
        <v>1763</v>
      </c>
      <c r="G633" s="21" t="s">
        <v>601</v>
      </c>
      <c r="H633" s="21" t="s">
        <v>1779</v>
      </c>
      <c r="I633" s="2" t="s">
        <v>2152</v>
      </c>
      <c r="J633" s="2" t="s">
        <v>2153</v>
      </c>
      <c r="K633" s="2" t="s">
        <v>2154</v>
      </c>
      <c r="L633" s="2" t="s">
        <v>45</v>
      </c>
    </row>
    <row r="634" spans="1:12" ht="64" customHeight="1">
      <c r="A634" s="2" t="s">
        <v>603</v>
      </c>
      <c r="B634" s="2" t="s">
        <v>599</v>
      </c>
      <c r="C634" s="2" t="s">
        <v>600</v>
      </c>
      <c r="D634" s="2" t="s">
        <v>222</v>
      </c>
      <c r="E634" s="5">
        <v>0.03</v>
      </c>
      <c r="F634" s="7" t="s">
        <v>1764</v>
      </c>
      <c r="G634" s="2" t="s">
        <v>601</v>
      </c>
      <c r="H634" s="2" t="s">
        <v>1759</v>
      </c>
      <c r="I634" s="2" t="s">
        <v>2150</v>
      </c>
      <c r="J634" s="2" t="s">
        <v>1777</v>
      </c>
      <c r="K634" s="2" t="s">
        <v>2151</v>
      </c>
      <c r="L634" s="2" t="s">
        <v>45</v>
      </c>
    </row>
    <row r="635" spans="1:12" ht="37" customHeight="1">
      <c r="A635" s="2" t="s">
        <v>603</v>
      </c>
      <c r="B635" s="2" t="s">
        <v>599</v>
      </c>
      <c r="C635" s="2" t="s">
        <v>600</v>
      </c>
      <c r="D635" s="2" t="s">
        <v>1765</v>
      </c>
      <c r="E635" s="5" t="s">
        <v>219</v>
      </c>
      <c r="F635" s="7" t="s">
        <v>1766</v>
      </c>
      <c r="G635" s="2" t="s">
        <v>601</v>
      </c>
      <c r="H635" s="2" t="s">
        <v>1759</v>
      </c>
      <c r="I635" s="2" t="s">
        <v>1767</v>
      </c>
      <c r="J635" s="2"/>
      <c r="K635" t="s">
        <v>1933</v>
      </c>
    </row>
    <row r="636" spans="1:12" ht="34" customHeight="1">
      <c r="A636" s="2" t="s">
        <v>609</v>
      </c>
      <c r="B636" s="2" t="s">
        <v>599</v>
      </c>
      <c r="C636" s="2" t="s">
        <v>607</v>
      </c>
      <c r="D636" s="2" t="s">
        <v>1757</v>
      </c>
      <c r="E636" s="8">
        <v>0.45600000000000002</v>
      </c>
      <c r="F636" s="7" t="s">
        <v>1758</v>
      </c>
      <c r="G636" s="2" t="s">
        <v>608</v>
      </c>
      <c r="H636" s="2" t="s">
        <v>1759</v>
      </c>
      <c r="I636" s="2" t="s">
        <v>2155</v>
      </c>
      <c r="J636" s="2" t="s">
        <v>1855</v>
      </c>
      <c r="K636" s="2" t="s">
        <v>2156</v>
      </c>
      <c r="L636" s="2" t="s">
        <v>45</v>
      </c>
    </row>
    <row r="637" spans="1:12" ht="34" customHeight="1">
      <c r="A637" s="2" t="s">
        <v>609</v>
      </c>
      <c r="B637" s="2" t="s">
        <v>599</v>
      </c>
      <c r="C637" s="2" t="s">
        <v>607</v>
      </c>
      <c r="D637" s="2" t="s">
        <v>254</v>
      </c>
      <c r="E637" s="8">
        <v>0.126</v>
      </c>
      <c r="F637" s="7" t="s">
        <v>1758</v>
      </c>
      <c r="G637" s="2" t="s">
        <v>608</v>
      </c>
      <c r="H637" s="2" t="s">
        <v>1759</v>
      </c>
      <c r="I637" s="2" t="s">
        <v>2155</v>
      </c>
      <c r="J637" s="2" t="s">
        <v>1855</v>
      </c>
      <c r="K637" s="2" t="s">
        <v>2156</v>
      </c>
      <c r="L637" s="2" t="s">
        <v>45</v>
      </c>
    </row>
    <row r="638" spans="1:12" ht="34" customHeight="1">
      <c r="A638" s="2" t="s">
        <v>609</v>
      </c>
      <c r="B638" s="2" t="s">
        <v>599</v>
      </c>
      <c r="C638" s="2" t="s">
        <v>607</v>
      </c>
      <c r="D638" s="2" t="s">
        <v>124</v>
      </c>
      <c r="E638" s="11">
        <v>1</v>
      </c>
      <c r="F638" s="20" t="s">
        <v>1763</v>
      </c>
      <c r="G638" s="21" t="s">
        <v>608</v>
      </c>
      <c r="H638" s="21" t="s">
        <v>1779</v>
      </c>
      <c r="I638" s="2" t="s">
        <v>2157</v>
      </c>
      <c r="J638" s="2" t="s">
        <v>1855</v>
      </c>
      <c r="K638" s="2" t="s">
        <v>2158</v>
      </c>
      <c r="L638" s="2" t="s">
        <v>45</v>
      </c>
    </row>
    <row r="639" spans="1:12" ht="34" customHeight="1">
      <c r="A639" s="2" t="s">
        <v>609</v>
      </c>
      <c r="B639" s="2" t="s">
        <v>599</v>
      </c>
      <c r="C639" s="2" t="s">
        <v>607</v>
      </c>
      <c r="D639" s="2" t="s">
        <v>65</v>
      </c>
      <c r="E639" s="11">
        <v>0</v>
      </c>
      <c r="F639" s="20" t="s">
        <v>1763</v>
      </c>
      <c r="G639" s="21" t="s">
        <v>608</v>
      </c>
      <c r="H639" s="21" t="s">
        <v>1779</v>
      </c>
      <c r="I639" s="2" t="s">
        <v>2157</v>
      </c>
      <c r="J639" s="2" t="s">
        <v>1855</v>
      </c>
      <c r="K639" s="2" t="s">
        <v>2159</v>
      </c>
      <c r="L639" s="2" t="s">
        <v>45</v>
      </c>
    </row>
    <row r="640" spans="1:12" ht="34" customHeight="1">
      <c r="A640" s="2" t="s">
        <v>609</v>
      </c>
      <c r="B640" s="2" t="s">
        <v>599</v>
      </c>
      <c r="C640" s="2" t="s">
        <v>607</v>
      </c>
      <c r="D640" s="2" t="s">
        <v>222</v>
      </c>
      <c r="E640" s="8">
        <v>3.5000000000000003E-2</v>
      </c>
      <c r="F640" s="7" t="s">
        <v>1764</v>
      </c>
      <c r="G640" s="2" t="s">
        <v>608</v>
      </c>
      <c r="H640" s="2" t="s">
        <v>1759</v>
      </c>
      <c r="I640" s="2" t="s">
        <v>2155</v>
      </c>
      <c r="J640" s="2" t="s">
        <v>1855</v>
      </c>
      <c r="K640" s="2" t="s">
        <v>2156</v>
      </c>
      <c r="L640" s="2" t="s">
        <v>45</v>
      </c>
    </row>
    <row r="641" spans="1:12" ht="37" customHeight="1">
      <c r="A641" s="2" t="s">
        <v>609</v>
      </c>
      <c r="B641" s="2" t="s">
        <v>599</v>
      </c>
      <c r="C641" s="2" t="s">
        <v>607</v>
      </c>
      <c r="D641" s="2" t="s">
        <v>1765</v>
      </c>
      <c r="E641" s="8" t="s">
        <v>219</v>
      </c>
      <c r="F641" s="7" t="s">
        <v>1766</v>
      </c>
      <c r="G641" s="2" t="s">
        <v>608</v>
      </c>
      <c r="H641" s="2" t="s">
        <v>1759</v>
      </c>
      <c r="I641" s="2" t="s">
        <v>1767</v>
      </c>
      <c r="J641" s="2"/>
      <c r="K641" t="s">
        <v>2160</v>
      </c>
    </row>
    <row r="642" spans="1:12" ht="37" customHeight="1">
      <c r="A642" s="2" t="s">
        <v>617</v>
      </c>
      <c r="B642" s="2" t="s">
        <v>599</v>
      </c>
      <c r="C642" s="2" t="s">
        <v>613</v>
      </c>
      <c r="D642" s="2" t="s">
        <v>1757</v>
      </c>
      <c r="E642" s="5">
        <v>0.36</v>
      </c>
      <c r="F642" s="7" t="s">
        <v>1758</v>
      </c>
      <c r="G642" s="2" t="s">
        <v>614</v>
      </c>
      <c r="H642" s="2" t="s">
        <v>1759</v>
      </c>
      <c r="I642" s="2" t="s">
        <v>2150</v>
      </c>
      <c r="J642" s="2" t="s">
        <v>1777</v>
      </c>
      <c r="K642" s="2" t="s">
        <v>2161</v>
      </c>
      <c r="L642" s="2" t="s">
        <v>45</v>
      </c>
    </row>
    <row r="643" spans="1:12" ht="64" customHeight="1">
      <c r="A643" s="2" t="s">
        <v>617</v>
      </c>
      <c r="B643" s="2" t="s">
        <v>599</v>
      </c>
      <c r="C643" s="2" t="s">
        <v>613</v>
      </c>
      <c r="D643" s="2" t="s">
        <v>254</v>
      </c>
      <c r="E643" s="5">
        <v>7.0000000000000007E-2</v>
      </c>
      <c r="F643" s="7" t="s">
        <v>1758</v>
      </c>
      <c r="G643" s="2" t="s">
        <v>614</v>
      </c>
      <c r="H643" s="2" t="s">
        <v>1759</v>
      </c>
      <c r="I643" s="2" t="s">
        <v>2150</v>
      </c>
      <c r="J643" s="2" t="s">
        <v>1777</v>
      </c>
      <c r="K643" s="2" t="s">
        <v>2161</v>
      </c>
      <c r="L643" s="2" t="s">
        <v>45</v>
      </c>
    </row>
    <row r="644" spans="1:12" ht="64" customHeight="1">
      <c r="A644" s="2" t="s">
        <v>617</v>
      </c>
      <c r="B644" s="2" t="s">
        <v>599</v>
      </c>
      <c r="C644" s="2" t="s">
        <v>613</v>
      </c>
      <c r="D644" s="2" t="s">
        <v>124</v>
      </c>
      <c r="E644" s="4">
        <v>2.8</v>
      </c>
      <c r="F644" s="7" t="s">
        <v>1763</v>
      </c>
      <c r="G644" s="2" t="s">
        <v>614</v>
      </c>
      <c r="H644" s="2" t="s">
        <v>1759</v>
      </c>
      <c r="I644" s="2" t="s">
        <v>2150</v>
      </c>
      <c r="J644" s="2" t="s">
        <v>1777</v>
      </c>
      <c r="K644" s="2" t="s">
        <v>2161</v>
      </c>
      <c r="L644" s="2" t="s">
        <v>45</v>
      </c>
    </row>
    <row r="645" spans="1:12" ht="37" customHeight="1">
      <c r="A645" s="2" t="s">
        <v>617</v>
      </c>
      <c r="B645" s="2" t="s">
        <v>599</v>
      </c>
      <c r="C645" s="2" t="s">
        <v>613</v>
      </c>
      <c r="D645" s="2" t="s">
        <v>65</v>
      </c>
      <c r="E645" s="7"/>
      <c r="F645" s="7" t="s">
        <v>1763</v>
      </c>
      <c r="G645" s="2" t="s">
        <v>614</v>
      </c>
      <c r="H645" s="2" t="s">
        <v>1773</v>
      </c>
      <c r="I645" s="2"/>
      <c r="J645" s="2"/>
      <c r="K645" s="2" t="s">
        <v>2161</v>
      </c>
      <c r="L645" s="2" t="s">
        <v>45</v>
      </c>
    </row>
    <row r="646" spans="1:12" ht="37" customHeight="1">
      <c r="A646" s="2" t="s">
        <v>617</v>
      </c>
      <c r="B646" s="2" t="s">
        <v>599</v>
      </c>
      <c r="C646" s="2" t="s">
        <v>613</v>
      </c>
      <c r="D646" s="2" t="s">
        <v>222</v>
      </c>
      <c r="E646" s="8">
        <v>3.5000000000000003E-2</v>
      </c>
      <c r="F646" s="7" t="s">
        <v>1764</v>
      </c>
      <c r="G646" s="2" t="s">
        <v>614</v>
      </c>
      <c r="H646" s="2" t="s">
        <v>1759</v>
      </c>
      <c r="I646" s="2" t="s">
        <v>2150</v>
      </c>
      <c r="J646" s="2" t="s">
        <v>1777</v>
      </c>
      <c r="K646" s="2" t="s">
        <v>2161</v>
      </c>
      <c r="L646" s="2" t="s">
        <v>45</v>
      </c>
    </row>
    <row r="647" spans="1:12" ht="37" customHeight="1">
      <c r="A647" s="2" t="s">
        <v>617</v>
      </c>
      <c r="B647" s="2" t="s">
        <v>599</v>
      </c>
      <c r="C647" s="2" t="s">
        <v>613</v>
      </c>
      <c r="D647" s="2" t="s">
        <v>1765</v>
      </c>
      <c r="E647" s="8" t="s">
        <v>400</v>
      </c>
      <c r="F647" s="7" t="s">
        <v>1766</v>
      </c>
      <c r="G647" s="2" t="s">
        <v>614</v>
      </c>
      <c r="H647" s="2" t="s">
        <v>1759</v>
      </c>
      <c r="I647" s="2" t="s">
        <v>1767</v>
      </c>
      <c r="J647" s="2"/>
      <c r="K647" t="s">
        <v>2162</v>
      </c>
    </row>
    <row r="648" spans="1:12" ht="34" customHeight="1">
      <c r="A648" s="2" t="s">
        <v>622</v>
      </c>
      <c r="B648" s="2" t="s">
        <v>599</v>
      </c>
      <c r="C648" s="2" t="s">
        <v>620</v>
      </c>
      <c r="D648" s="2" t="s">
        <v>1757</v>
      </c>
      <c r="E648" s="5">
        <v>0.45</v>
      </c>
      <c r="F648" s="7" t="s">
        <v>1758</v>
      </c>
      <c r="G648" s="2" t="s">
        <v>601</v>
      </c>
      <c r="H648" s="2" t="s">
        <v>1759</v>
      </c>
      <c r="I648" s="2" t="s">
        <v>2150</v>
      </c>
      <c r="J648" s="2" t="s">
        <v>1777</v>
      </c>
      <c r="K648" s="2" t="s">
        <v>2163</v>
      </c>
      <c r="L648" s="2" t="s">
        <v>45</v>
      </c>
    </row>
    <row r="649" spans="1:12" ht="34" customHeight="1">
      <c r="A649" s="2" t="s">
        <v>622</v>
      </c>
      <c r="B649" s="2" t="s">
        <v>599</v>
      </c>
      <c r="C649" s="2" t="s">
        <v>620</v>
      </c>
      <c r="D649" s="2" t="s">
        <v>254</v>
      </c>
      <c r="E649" s="8">
        <v>0.125</v>
      </c>
      <c r="F649" s="7" t="s">
        <v>1758</v>
      </c>
      <c r="G649" s="2" t="s">
        <v>601</v>
      </c>
      <c r="H649" s="2" t="s">
        <v>1759</v>
      </c>
      <c r="I649" s="2" t="s">
        <v>2150</v>
      </c>
      <c r="J649" s="2" t="s">
        <v>1777</v>
      </c>
      <c r="K649" s="2" t="s">
        <v>2163</v>
      </c>
      <c r="L649" s="2" t="s">
        <v>45</v>
      </c>
    </row>
    <row r="650" spans="1:12" ht="37" customHeight="1">
      <c r="A650" s="2" t="s">
        <v>622</v>
      </c>
      <c r="B650" s="2" t="s">
        <v>599</v>
      </c>
      <c r="C650" s="2" t="s">
        <v>620</v>
      </c>
      <c r="D650" s="2" t="s">
        <v>124</v>
      </c>
      <c r="E650" s="6">
        <v>1</v>
      </c>
      <c r="F650" s="7" t="s">
        <v>1763</v>
      </c>
      <c r="G650" s="2" t="s">
        <v>601</v>
      </c>
      <c r="H650" s="2" t="s">
        <v>1759</v>
      </c>
      <c r="I650" s="2" t="s">
        <v>2150</v>
      </c>
      <c r="J650" s="2" t="s">
        <v>1777</v>
      </c>
      <c r="K650" s="2" t="s">
        <v>2163</v>
      </c>
      <c r="L650" s="2" t="s">
        <v>45</v>
      </c>
    </row>
    <row r="651" spans="1:12" ht="37" customHeight="1">
      <c r="A651" s="2" t="s">
        <v>622</v>
      </c>
      <c r="B651" s="2" t="s">
        <v>599</v>
      </c>
      <c r="C651" s="2" t="s">
        <v>620</v>
      </c>
      <c r="D651" s="2" t="s">
        <v>65</v>
      </c>
      <c r="E651" s="11">
        <v>0</v>
      </c>
      <c r="F651" s="20" t="s">
        <v>1763</v>
      </c>
      <c r="G651" s="21" t="s">
        <v>601</v>
      </c>
      <c r="H651" s="21" t="s">
        <v>1779</v>
      </c>
      <c r="I651" s="2" t="s">
        <v>2164</v>
      </c>
      <c r="J651" s="2" t="s">
        <v>1855</v>
      </c>
      <c r="K651" s="2" t="s">
        <v>2165</v>
      </c>
      <c r="L651" s="2" t="s">
        <v>45</v>
      </c>
    </row>
    <row r="652" spans="1:12" ht="37" customHeight="1">
      <c r="A652" s="2" t="s">
        <v>622</v>
      </c>
      <c r="B652" s="2" t="s">
        <v>599</v>
      </c>
      <c r="C652" s="2" t="s">
        <v>620</v>
      </c>
      <c r="D652" s="2" t="s">
        <v>222</v>
      </c>
      <c r="E652" s="5">
        <v>0.04</v>
      </c>
      <c r="F652" s="7" t="s">
        <v>1764</v>
      </c>
      <c r="G652" s="2" t="s">
        <v>601</v>
      </c>
      <c r="H652" s="2" t="s">
        <v>1759</v>
      </c>
      <c r="I652" s="2" t="s">
        <v>2150</v>
      </c>
      <c r="J652" s="2" t="s">
        <v>1777</v>
      </c>
      <c r="K652" s="2" t="s">
        <v>2163</v>
      </c>
      <c r="L652" s="2" t="s">
        <v>45</v>
      </c>
    </row>
    <row r="653" spans="1:12" ht="34" customHeight="1">
      <c r="A653" s="2" t="s">
        <v>622</v>
      </c>
      <c r="B653" s="2" t="s">
        <v>599</v>
      </c>
      <c r="C653" s="2" t="s">
        <v>620</v>
      </c>
      <c r="D653" s="2" t="s">
        <v>1765</v>
      </c>
      <c r="E653" s="5" t="s">
        <v>400</v>
      </c>
      <c r="F653" s="7" t="s">
        <v>1766</v>
      </c>
      <c r="G653" s="2" t="s">
        <v>601</v>
      </c>
      <c r="H653" s="2" t="s">
        <v>1759</v>
      </c>
      <c r="I653" s="2" t="s">
        <v>1767</v>
      </c>
      <c r="J653" s="2"/>
      <c r="K653" t="s">
        <v>2166</v>
      </c>
    </row>
    <row r="654" spans="1:12" ht="34" customHeight="1">
      <c r="A654" s="2" t="s">
        <v>632</v>
      </c>
      <c r="B654" s="2" t="s">
        <v>626</v>
      </c>
      <c r="C654" s="2" t="s">
        <v>627</v>
      </c>
      <c r="D654" s="2" t="s">
        <v>1757</v>
      </c>
      <c r="E654" s="4">
        <v>0.9</v>
      </c>
      <c r="F654" s="7" t="s">
        <v>1758</v>
      </c>
      <c r="G654" s="2" t="s">
        <v>629</v>
      </c>
      <c r="H654" s="2" t="s">
        <v>1759</v>
      </c>
      <c r="I654" s="2" t="s">
        <v>2167</v>
      </c>
      <c r="J654" s="2" t="s">
        <v>2168</v>
      </c>
      <c r="K654" s="2" t="s">
        <v>2169</v>
      </c>
      <c r="L654" s="2" t="s">
        <v>633</v>
      </c>
    </row>
    <row r="655" spans="1:12" ht="37" customHeight="1">
      <c r="A655" s="2" t="s">
        <v>632</v>
      </c>
      <c r="B655" s="2" t="s">
        <v>626</v>
      </c>
      <c r="C655" s="2" t="s">
        <v>627</v>
      </c>
      <c r="D655" s="2" t="s">
        <v>254</v>
      </c>
      <c r="E655" s="5">
        <v>0.45</v>
      </c>
      <c r="F655" s="7" t="s">
        <v>1758</v>
      </c>
      <c r="G655" s="2" t="s">
        <v>629</v>
      </c>
      <c r="H655" s="2" t="s">
        <v>1759</v>
      </c>
      <c r="I655" s="2" t="s">
        <v>2167</v>
      </c>
      <c r="J655" s="2" t="s">
        <v>2168</v>
      </c>
      <c r="K655" s="2" t="s">
        <v>2169</v>
      </c>
      <c r="L655" s="2" t="s">
        <v>633</v>
      </c>
    </row>
    <row r="656" spans="1:12" ht="37" customHeight="1">
      <c r="A656" s="2" t="s">
        <v>632</v>
      </c>
      <c r="B656" s="2" t="s">
        <v>626</v>
      </c>
      <c r="C656" s="2" t="s">
        <v>627</v>
      </c>
      <c r="D656" s="2" t="s">
        <v>124</v>
      </c>
      <c r="E656" s="4">
        <v>1.7</v>
      </c>
      <c r="F656" s="7" t="s">
        <v>1763</v>
      </c>
      <c r="G656" s="2" t="s">
        <v>629</v>
      </c>
      <c r="H656" s="2" t="s">
        <v>1759</v>
      </c>
      <c r="I656" s="2" t="s">
        <v>2167</v>
      </c>
      <c r="J656" s="2" t="s">
        <v>2168</v>
      </c>
      <c r="K656" s="2" t="s">
        <v>2169</v>
      </c>
      <c r="L656" s="2" t="s">
        <v>633</v>
      </c>
    </row>
    <row r="657" spans="1:12" ht="37" customHeight="1">
      <c r="A657" s="2" t="s">
        <v>632</v>
      </c>
      <c r="B657" s="2" t="s">
        <v>626</v>
      </c>
      <c r="C657" s="2" t="s">
        <v>627</v>
      </c>
      <c r="D657" s="2" t="s">
        <v>65</v>
      </c>
      <c r="E657" s="7" t="s">
        <v>628</v>
      </c>
      <c r="F657" s="7" t="s">
        <v>1763</v>
      </c>
      <c r="G657" s="2" t="s">
        <v>629</v>
      </c>
      <c r="H657" s="2" t="s">
        <v>1759</v>
      </c>
      <c r="I657" s="2" t="s">
        <v>2167</v>
      </c>
      <c r="J657" s="2" t="s">
        <v>2168</v>
      </c>
      <c r="K657" s="2" t="s">
        <v>2169</v>
      </c>
      <c r="L657" s="2" t="s">
        <v>633</v>
      </c>
    </row>
    <row r="658" spans="1:12" ht="37" customHeight="1">
      <c r="A658" s="2" t="s">
        <v>632</v>
      </c>
      <c r="B658" s="2" t="s">
        <v>626</v>
      </c>
      <c r="C658" s="2" t="s">
        <v>627</v>
      </c>
      <c r="D658" s="2" t="s">
        <v>222</v>
      </c>
      <c r="E658" s="5">
        <v>0.75</v>
      </c>
      <c r="F658" s="7" t="s">
        <v>1764</v>
      </c>
      <c r="G658" s="2" t="s">
        <v>629</v>
      </c>
      <c r="H658" s="2" t="s">
        <v>1759</v>
      </c>
      <c r="I658" s="2" t="s">
        <v>2167</v>
      </c>
      <c r="J658" s="2" t="s">
        <v>2168</v>
      </c>
      <c r="K658" s="2" t="s">
        <v>2169</v>
      </c>
      <c r="L658" s="2" t="s">
        <v>633</v>
      </c>
    </row>
    <row r="659" spans="1:12" ht="37" customHeight="1">
      <c r="A659" s="2" t="s">
        <v>632</v>
      </c>
      <c r="B659" s="2" t="s">
        <v>626</v>
      </c>
      <c r="C659" s="2" t="s">
        <v>627</v>
      </c>
      <c r="D659" s="2" t="s">
        <v>1765</v>
      </c>
      <c r="E659" s="5" t="s">
        <v>117</v>
      </c>
      <c r="F659" s="7" t="s">
        <v>1766</v>
      </c>
      <c r="G659" s="2" t="s">
        <v>629</v>
      </c>
      <c r="H659" s="2" t="s">
        <v>1759</v>
      </c>
      <c r="I659" s="2" t="s">
        <v>1767</v>
      </c>
      <c r="J659" s="2"/>
      <c r="K659" t="s">
        <v>1931</v>
      </c>
    </row>
    <row r="660" spans="1:12" ht="37" customHeight="1">
      <c r="A660" s="2" t="s">
        <v>637</v>
      </c>
      <c r="B660" s="2" t="s">
        <v>635</v>
      </c>
      <c r="C660" s="2" t="s">
        <v>636</v>
      </c>
      <c r="D660" s="2" t="s">
        <v>1757</v>
      </c>
      <c r="E660" s="8">
        <v>0.22500000000000001</v>
      </c>
      <c r="F660" s="7" t="s">
        <v>1758</v>
      </c>
      <c r="G660" s="2" t="s">
        <v>601</v>
      </c>
      <c r="H660" s="2" t="s">
        <v>1759</v>
      </c>
      <c r="I660" s="2" t="s">
        <v>2150</v>
      </c>
      <c r="J660" s="2" t="s">
        <v>1777</v>
      </c>
      <c r="K660" s="2" t="s">
        <v>2170</v>
      </c>
      <c r="L660" s="2" t="s">
        <v>45</v>
      </c>
    </row>
    <row r="661" spans="1:12" ht="37" customHeight="1">
      <c r="A661" s="2" t="s">
        <v>637</v>
      </c>
      <c r="B661" s="2" t="s">
        <v>635</v>
      </c>
      <c r="C661" s="2" t="s">
        <v>636</v>
      </c>
      <c r="D661" s="2" t="s">
        <v>254</v>
      </c>
      <c r="E661" s="8">
        <v>4.1000000000000002E-2</v>
      </c>
      <c r="F661" s="7" t="s">
        <v>1758</v>
      </c>
      <c r="G661" s="2" t="s">
        <v>601</v>
      </c>
      <c r="H661" s="2" t="s">
        <v>1759</v>
      </c>
      <c r="I661" s="2" t="s">
        <v>2150</v>
      </c>
      <c r="J661" s="2" t="s">
        <v>1777</v>
      </c>
      <c r="K661" s="2" t="s">
        <v>2170</v>
      </c>
      <c r="L661" s="2" t="s">
        <v>45</v>
      </c>
    </row>
    <row r="662" spans="1:12" ht="37" customHeight="1">
      <c r="A662" s="2" t="s">
        <v>637</v>
      </c>
      <c r="B662" s="2" t="s">
        <v>635</v>
      </c>
      <c r="C662" s="2" t="s">
        <v>636</v>
      </c>
      <c r="D662" s="2" t="s">
        <v>124</v>
      </c>
      <c r="E662" s="6">
        <v>1</v>
      </c>
      <c r="F662" s="7" t="s">
        <v>1763</v>
      </c>
      <c r="G662" s="2" t="s">
        <v>601</v>
      </c>
      <c r="H662" s="2" t="s">
        <v>1759</v>
      </c>
      <c r="I662" s="2" t="s">
        <v>2150</v>
      </c>
      <c r="J662" s="2" t="s">
        <v>1777</v>
      </c>
      <c r="K662" s="2" t="s">
        <v>2170</v>
      </c>
      <c r="L662" s="2" t="s">
        <v>45</v>
      </c>
    </row>
    <row r="663" spans="1:12" ht="64" customHeight="1">
      <c r="A663" s="2" t="s">
        <v>637</v>
      </c>
      <c r="B663" s="2" t="s">
        <v>635</v>
      </c>
      <c r="C663" s="2" t="s">
        <v>636</v>
      </c>
      <c r="D663" s="2" t="s">
        <v>65</v>
      </c>
      <c r="E663" s="11">
        <v>0</v>
      </c>
      <c r="F663" s="20" t="s">
        <v>1763</v>
      </c>
      <c r="G663" s="21" t="s">
        <v>601</v>
      </c>
      <c r="H663" s="21" t="s">
        <v>1779</v>
      </c>
      <c r="I663" s="2" t="s">
        <v>2171</v>
      </c>
      <c r="J663" s="2" t="s">
        <v>1781</v>
      </c>
      <c r="K663" s="2" t="s">
        <v>2172</v>
      </c>
      <c r="L663" s="2" t="s">
        <v>45</v>
      </c>
    </row>
    <row r="664" spans="1:12" ht="64" customHeight="1">
      <c r="A664" s="2" t="s">
        <v>637</v>
      </c>
      <c r="B664" s="2" t="s">
        <v>635</v>
      </c>
      <c r="C664" s="2" t="s">
        <v>636</v>
      </c>
      <c r="D664" s="2" t="s">
        <v>222</v>
      </c>
      <c r="E664" s="8">
        <v>1.4999999999999999E-2</v>
      </c>
      <c r="F664" s="7" t="s">
        <v>1764</v>
      </c>
      <c r="G664" s="2" t="s">
        <v>601</v>
      </c>
      <c r="H664" s="2" t="s">
        <v>1759</v>
      </c>
      <c r="I664" s="2" t="s">
        <v>2150</v>
      </c>
      <c r="J664" s="2" t="s">
        <v>1777</v>
      </c>
      <c r="K664" s="2" t="s">
        <v>2170</v>
      </c>
      <c r="L664" s="2" t="s">
        <v>45</v>
      </c>
    </row>
    <row r="665" spans="1:12" ht="37" customHeight="1">
      <c r="A665" s="2" t="s">
        <v>637</v>
      </c>
      <c r="B665" s="2" t="s">
        <v>635</v>
      </c>
      <c r="C665" s="2" t="s">
        <v>636</v>
      </c>
      <c r="D665" s="2" t="s">
        <v>1765</v>
      </c>
      <c r="E665" s="8" t="s">
        <v>172</v>
      </c>
      <c r="F665" s="7" t="s">
        <v>1766</v>
      </c>
      <c r="G665" s="2" t="s">
        <v>601</v>
      </c>
      <c r="H665" s="2" t="s">
        <v>1759</v>
      </c>
      <c r="I665" s="2" t="s">
        <v>1767</v>
      </c>
      <c r="J665" s="2"/>
      <c r="K665" t="s">
        <v>2173</v>
      </c>
    </row>
    <row r="666" spans="1:12" ht="37" customHeight="1">
      <c r="A666" s="2" t="s">
        <v>644</v>
      </c>
      <c r="B666" s="2" t="s">
        <v>640</v>
      </c>
      <c r="C666" s="2" t="s">
        <v>641</v>
      </c>
      <c r="D666" s="2" t="s">
        <v>1757</v>
      </c>
      <c r="E666" s="4">
        <v>3.2</v>
      </c>
      <c r="F666" s="7" t="s">
        <v>1758</v>
      </c>
      <c r="G666" s="2" t="s">
        <v>642</v>
      </c>
      <c r="H666" s="2" t="s">
        <v>1759</v>
      </c>
      <c r="I666" s="2" t="s">
        <v>2174</v>
      </c>
      <c r="J666" s="2" t="s">
        <v>2175</v>
      </c>
      <c r="K666" s="2" t="s">
        <v>2176</v>
      </c>
      <c r="L666" s="2" t="s">
        <v>45</v>
      </c>
    </row>
    <row r="667" spans="1:12" ht="37" customHeight="1">
      <c r="A667" s="2" t="s">
        <v>644</v>
      </c>
      <c r="B667" s="2" t="s">
        <v>640</v>
      </c>
      <c r="C667" s="2" t="s">
        <v>641</v>
      </c>
      <c r="D667" s="2" t="s">
        <v>254</v>
      </c>
      <c r="E667" s="6">
        <v>1</v>
      </c>
      <c r="F667" s="7" t="s">
        <v>1758</v>
      </c>
      <c r="G667" s="2" t="s">
        <v>642</v>
      </c>
      <c r="H667" s="2" t="s">
        <v>1759</v>
      </c>
      <c r="I667" s="2" t="s">
        <v>2174</v>
      </c>
      <c r="J667" s="2" t="s">
        <v>2175</v>
      </c>
      <c r="K667" s="2" t="s">
        <v>2176</v>
      </c>
      <c r="L667" s="2" t="s">
        <v>45</v>
      </c>
    </row>
    <row r="668" spans="1:12" ht="64" customHeight="1">
      <c r="A668" s="2" t="s">
        <v>644</v>
      </c>
      <c r="B668" s="2" t="s">
        <v>640</v>
      </c>
      <c r="C668" s="2" t="s">
        <v>641</v>
      </c>
      <c r="D668" s="2" t="s">
        <v>124</v>
      </c>
      <c r="E668" s="6">
        <v>2</v>
      </c>
      <c r="F668" s="7" t="s">
        <v>1763</v>
      </c>
      <c r="G668" s="2" t="s">
        <v>642</v>
      </c>
      <c r="H668" s="2" t="s">
        <v>1759</v>
      </c>
      <c r="I668" s="2" t="s">
        <v>2174</v>
      </c>
      <c r="J668" s="2" t="s">
        <v>2175</v>
      </c>
      <c r="K668" s="2" t="s">
        <v>2176</v>
      </c>
      <c r="L668" s="2" t="s">
        <v>45</v>
      </c>
    </row>
    <row r="669" spans="1:12" ht="64" customHeight="1">
      <c r="A669" s="2" t="s">
        <v>644</v>
      </c>
      <c r="B669" s="2" t="s">
        <v>640</v>
      </c>
      <c r="C669" s="2" t="s">
        <v>641</v>
      </c>
      <c r="D669" s="2" t="s">
        <v>65</v>
      </c>
      <c r="E669" s="4">
        <v>0.5</v>
      </c>
      <c r="F669" s="7" t="s">
        <v>1763</v>
      </c>
      <c r="G669" s="2" t="s">
        <v>642</v>
      </c>
      <c r="H669" s="2" t="s">
        <v>1759</v>
      </c>
      <c r="I669" s="2" t="s">
        <v>2174</v>
      </c>
      <c r="J669" s="2" t="s">
        <v>2175</v>
      </c>
      <c r="K669" s="2" t="s">
        <v>2176</v>
      </c>
      <c r="L669" s="2" t="s">
        <v>45</v>
      </c>
    </row>
    <row r="670" spans="1:12" ht="37" customHeight="1">
      <c r="A670" s="2" t="s">
        <v>644</v>
      </c>
      <c r="B670" s="2" t="s">
        <v>640</v>
      </c>
      <c r="C670" s="2" t="s">
        <v>641</v>
      </c>
      <c r="D670" s="2" t="s">
        <v>222</v>
      </c>
      <c r="E670" s="5">
        <v>5.05</v>
      </c>
      <c r="F670" s="7" t="s">
        <v>1764</v>
      </c>
      <c r="G670" s="2" t="s">
        <v>642</v>
      </c>
      <c r="H670" s="2" t="s">
        <v>1759</v>
      </c>
      <c r="I670" s="2" t="s">
        <v>2174</v>
      </c>
      <c r="J670" s="2" t="s">
        <v>2175</v>
      </c>
      <c r="K670" s="2" t="s">
        <v>2176</v>
      </c>
      <c r="L670" s="2" t="s">
        <v>45</v>
      </c>
    </row>
    <row r="671" spans="1:12" ht="37" customHeight="1">
      <c r="A671" s="2" t="s">
        <v>644</v>
      </c>
      <c r="B671" s="2" t="s">
        <v>640</v>
      </c>
      <c r="C671" s="2" t="s">
        <v>641</v>
      </c>
      <c r="D671" s="2" t="s">
        <v>1765</v>
      </c>
      <c r="E671" s="5" t="s">
        <v>39</v>
      </c>
      <c r="F671" s="7" t="s">
        <v>1766</v>
      </c>
      <c r="G671" s="2" t="s">
        <v>642</v>
      </c>
      <c r="H671" s="2" t="s">
        <v>1759</v>
      </c>
      <c r="I671" s="2" t="s">
        <v>1767</v>
      </c>
      <c r="J671" s="2"/>
      <c r="K671" t="s">
        <v>2177</v>
      </c>
    </row>
    <row r="672" spans="1:12" ht="37" customHeight="1">
      <c r="A672" s="2" t="s">
        <v>651</v>
      </c>
      <c r="B672" s="2" t="s">
        <v>640</v>
      </c>
      <c r="C672" s="2" t="s">
        <v>647</v>
      </c>
      <c r="D672" s="2" t="s">
        <v>1757</v>
      </c>
      <c r="E672" s="4">
        <v>7.8</v>
      </c>
      <c r="F672" s="7" t="s">
        <v>1758</v>
      </c>
      <c r="G672" s="2" t="s">
        <v>649</v>
      </c>
      <c r="H672" s="2" t="s">
        <v>1759</v>
      </c>
      <c r="I672" s="2" t="s">
        <v>2178</v>
      </c>
      <c r="J672" s="2" t="s">
        <v>2179</v>
      </c>
      <c r="K672" s="2" t="s">
        <v>2180</v>
      </c>
      <c r="L672" s="2" t="s">
        <v>35</v>
      </c>
    </row>
    <row r="673" spans="1:12" ht="64" customHeight="1">
      <c r="A673" s="2" t="s">
        <v>651</v>
      </c>
      <c r="B673" s="2" t="s">
        <v>640</v>
      </c>
      <c r="C673" s="2" t="s">
        <v>647</v>
      </c>
      <c r="D673" s="2" t="s">
        <v>254</v>
      </c>
      <c r="E673" s="4">
        <v>1.5</v>
      </c>
      <c r="F673" s="7" t="s">
        <v>1758</v>
      </c>
      <c r="G673" s="2" t="s">
        <v>649</v>
      </c>
      <c r="H673" s="2" t="s">
        <v>1759</v>
      </c>
      <c r="I673" s="2" t="s">
        <v>2178</v>
      </c>
      <c r="J673" s="2" t="s">
        <v>2179</v>
      </c>
      <c r="K673" s="2" t="s">
        <v>2180</v>
      </c>
      <c r="L673" s="2" t="s">
        <v>35</v>
      </c>
    </row>
    <row r="674" spans="1:12" ht="64" customHeight="1">
      <c r="A674" s="2" t="s">
        <v>651</v>
      </c>
      <c r="B674" s="2" t="s">
        <v>640</v>
      </c>
      <c r="C674" s="2" t="s">
        <v>647</v>
      </c>
      <c r="D674" s="2" t="s">
        <v>124</v>
      </c>
      <c r="E674" s="5">
        <v>1.85</v>
      </c>
      <c r="F674" s="7" t="s">
        <v>1763</v>
      </c>
      <c r="G674" s="2" t="s">
        <v>649</v>
      </c>
      <c r="H674" s="2" t="s">
        <v>1759</v>
      </c>
      <c r="I674" s="2" t="s">
        <v>2178</v>
      </c>
      <c r="J674" s="2" t="s">
        <v>2179</v>
      </c>
      <c r="K674" s="2" t="s">
        <v>2180</v>
      </c>
      <c r="L674" s="2" t="s">
        <v>35</v>
      </c>
    </row>
    <row r="675" spans="1:12" ht="37" customHeight="1">
      <c r="A675" s="2" t="s">
        <v>651</v>
      </c>
      <c r="B675" s="2" t="s">
        <v>640</v>
      </c>
      <c r="C675" s="2" t="s">
        <v>647</v>
      </c>
      <c r="D675" s="2" t="s">
        <v>65</v>
      </c>
      <c r="E675" s="7"/>
      <c r="F675" s="7" t="s">
        <v>1763</v>
      </c>
      <c r="G675" s="2" t="s">
        <v>649</v>
      </c>
      <c r="H675" s="2" t="s">
        <v>1773</v>
      </c>
      <c r="I675" s="2"/>
      <c r="J675" s="2"/>
      <c r="K675" s="2" t="s">
        <v>2180</v>
      </c>
      <c r="L675" s="2" t="s">
        <v>35</v>
      </c>
    </row>
    <row r="676" spans="1:12" ht="37" customHeight="1">
      <c r="A676" s="2" t="s">
        <v>651</v>
      </c>
      <c r="B676" s="2" t="s">
        <v>640</v>
      </c>
      <c r="C676" s="2" t="s">
        <v>647</v>
      </c>
      <c r="D676" s="2" t="s">
        <v>222</v>
      </c>
      <c r="E676" s="6">
        <v>10</v>
      </c>
      <c r="F676" s="7" t="s">
        <v>1764</v>
      </c>
      <c r="G676" s="2" t="s">
        <v>649</v>
      </c>
      <c r="H676" s="2" t="s">
        <v>1759</v>
      </c>
      <c r="I676" s="2" t="s">
        <v>2178</v>
      </c>
      <c r="J676" s="2" t="s">
        <v>2179</v>
      </c>
      <c r="K676" s="2" t="s">
        <v>2180</v>
      </c>
      <c r="L676" s="2" t="s">
        <v>35</v>
      </c>
    </row>
    <row r="677" spans="1:12" ht="37" customHeight="1">
      <c r="A677" s="2" t="s">
        <v>651</v>
      </c>
      <c r="B677" s="2" t="s">
        <v>640</v>
      </c>
      <c r="C677" s="2" t="s">
        <v>647</v>
      </c>
      <c r="D677" s="2" t="s">
        <v>1765</v>
      </c>
      <c r="E677" s="6" t="s">
        <v>648</v>
      </c>
      <c r="F677" s="7" t="s">
        <v>1766</v>
      </c>
      <c r="G677" s="2" t="s">
        <v>649</v>
      </c>
      <c r="H677" s="2" t="s">
        <v>1759</v>
      </c>
      <c r="I677" s="2" t="s">
        <v>1767</v>
      </c>
      <c r="J677" s="2"/>
      <c r="K677" t="s">
        <v>2181</v>
      </c>
    </row>
    <row r="678" spans="1:12" ht="64" customHeight="1">
      <c r="A678" s="2" t="s">
        <v>658</v>
      </c>
      <c r="B678" s="2" t="s">
        <v>640</v>
      </c>
      <c r="C678" s="2" t="s">
        <v>654</v>
      </c>
      <c r="D678" s="2" t="s">
        <v>1757</v>
      </c>
      <c r="E678" s="4">
        <v>0.5</v>
      </c>
      <c r="F678" s="7" t="s">
        <v>1758</v>
      </c>
      <c r="G678" s="2" t="s">
        <v>655</v>
      </c>
      <c r="H678" s="2" t="s">
        <v>1759</v>
      </c>
      <c r="I678" s="2" t="s">
        <v>2182</v>
      </c>
      <c r="J678" s="2" t="s">
        <v>2183</v>
      </c>
      <c r="K678" s="2" t="s">
        <v>2184</v>
      </c>
      <c r="L678" s="2" t="s">
        <v>45</v>
      </c>
    </row>
    <row r="679" spans="1:12" ht="64" customHeight="1">
      <c r="A679" s="2" t="s">
        <v>658</v>
      </c>
      <c r="B679" s="2" t="s">
        <v>640</v>
      </c>
      <c r="C679" s="2" t="s">
        <v>654</v>
      </c>
      <c r="D679" s="2" t="s">
        <v>254</v>
      </c>
      <c r="E679" s="4">
        <v>0.3</v>
      </c>
      <c r="F679" s="7" t="s">
        <v>1758</v>
      </c>
      <c r="G679" s="2" t="s">
        <v>655</v>
      </c>
      <c r="H679" s="2" t="s">
        <v>1759</v>
      </c>
      <c r="I679" s="2" t="s">
        <v>2182</v>
      </c>
      <c r="J679" s="2" t="s">
        <v>2183</v>
      </c>
      <c r="K679" s="2" t="s">
        <v>2184</v>
      </c>
      <c r="L679" s="2" t="s">
        <v>45</v>
      </c>
    </row>
    <row r="680" spans="1:12" ht="37" customHeight="1">
      <c r="A680" s="2" t="s">
        <v>658</v>
      </c>
      <c r="B680" s="2" t="s">
        <v>640</v>
      </c>
      <c r="C680" s="2" t="s">
        <v>654</v>
      </c>
      <c r="D680" s="2" t="s">
        <v>124</v>
      </c>
      <c r="E680" s="5">
        <v>2.75</v>
      </c>
      <c r="F680" s="7" t="s">
        <v>1763</v>
      </c>
      <c r="G680" s="2" t="s">
        <v>655</v>
      </c>
      <c r="H680" s="2" t="s">
        <v>1759</v>
      </c>
      <c r="I680" s="2" t="s">
        <v>2182</v>
      </c>
      <c r="J680" s="2" t="s">
        <v>2183</v>
      </c>
      <c r="K680" s="2" t="s">
        <v>2184</v>
      </c>
      <c r="L680" s="2" t="s">
        <v>45</v>
      </c>
    </row>
    <row r="681" spans="1:12" ht="37" customHeight="1">
      <c r="A681" s="2" t="s">
        <v>658</v>
      </c>
      <c r="B681" s="2" t="s">
        <v>640</v>
      </c>
      <c r="C681" s="2" t="s">
        <v>654</v>
      </c>
      <c r="D681" s="2" t="s">
        <v>65</v>
      </c>
      <c r="E681" s="4">
        <v>0.5</v>
      </c>
      <c r="F681" s="7" t="s">
        <v>1763</v>
      </c>
      <c r="G681" s="2" t="s">
        <v>655</v>
      </c>
      <c r="H681" s="2" t="s">
        <v>1759</v>
      </c>
      <c r="I681" s="2" t="s">
        <v>2182</v>
      </c>
      <c r="J681" s="2" t="s">
        <v>2183</v>
      </c>
      <c r="K681" s="2" t="s">
        <v>2184</v>
      </c>
      <c r="L681" s="2" t="s">
        <v>45</v>
      </c>
    </row>
    <row r="682" spans="1:12" ht="37" customHeight="1">
      <c r="A682" s="2" t="s">
        <v>658</v>
      </c>
      <c r="B682" s="2" t="s">
        <v>640</v>
      </c>
      <c r="C682" s="2" t="s">
        <v>654</v>
      </c>
      <c r="D682" s="2" t="s">
        <v>222</v>
      </c>
      <c r="E682" s="4">
        <v>1.5</v>
      </c>
      <c r="F682" s="7" t="s">
        <v>1764</v>
      </c>
      <c r="G682" s="2" t="s">
        <v>655</v>
      </c>
      <c r="H682" s="2" t="s">
        <v>1759</v>
      </c>
      <c r="I682" s="2" t="s">
        <v>2182</v>
      </c>
      <c r="J682" s="2" t="s">
        <v>2183</v>
      </c>
      <c r="K682" s="2" t="s">
        <v>2184</v>
      </c>
      <c r="L682" s="2" t="s">
        <v>45</v>
      </c>
    </row>
    <row r="683" spans="1:12" ht="64" customHeight="1">
      <c r="A683" s="2" t="s">
        <v>658</v>
      </c>
      <c r="B683" s="2" t="s">
        <v>640</v>
      </c>
      <c r="C683" s="2" t="s">
        <v>654</v>
      </c>
      <c r="D683" s="2" t="s">
        <v>1765</v>
      </c>
      <c r="E683" s="4" t="s">
        <v>172</v>
      </c>
      <c r="F683" s="7" t="s">
        <v>1766</v>
      </c>
      <c r="G683" s="2" t="s">
        <v>655</v>
      </c>
      <c r="H683" s="2" t="s">
        <v>1759</v>
      </c>
      <c r="I683" s="2" t="s">
        <v>1767</v>
      </c>
      <c r="J683" s="2"/>
      <c r="K683" t="s">
        <v>2185</v>
      </c>
    </row>
    <row r="684" spans="1:12" ht="64" customHeight="1">
      <c r="A684" s="2" t="s">
        <v>666</v>
      </c>
      <c r="B684" s="2" t="s">
        <v>640</v>
      </c>
      <c r="C684" s="2" t="s">
        <v>661</v>
      </c>
      <c r="D684" s="2" t="s">
        <v>1757</v>
      </c>
      <c r="E684" s="5">
        <v>0.63</v>
      </c>
      <c r="F684" s="7" t="s">
        <v>1758</v>
      </c>
      <c r="G684" s="2" t="s">
        <v>663</v>
      </c>
      <c r="H684" s="2" t="s">
        <v>1759</v>
      </c>
      <c r="I684" s="2" t="s">
        <v>2186</v>
      </c>
      <c r="J684" s="2" t="s">
        <v>1781</v>
      </c>
      <c r="K684" s="2" t="s">
        <v>2187</v>
      </c>
      <c r="L684" s="2" t="s">
        <v>122</v>
      </c>
    </row>
    <row r="685" spans="1:12" ht="37" customHeight="1">
      <c r="A685" s="2" t="s">
        <v>666</v>
      </c>
      <c r="B685" s="2" t="s">
        <v>640</v>
      </c>
      <c r="C685" s="2" t="s">
        <v>661</v>
      </c>
      <c r="D685" s="2" t="s">
        <v>254</v>
      </c>
      <c r="E685" s="4">
        <v>0.2</v>
      </c>
      <c r="F685" s="7" t="s">
        <v>1758</v>
      </c>
      <c r="G685" s="2" t="s">
        <v>663</v>
      </c>
      <c r="H685" s="2" t="s">
        <v>1759</v>
      </c>
      <c r="I685" s="2" t="s">
        <v>2186</v>
      </c>
      <c r="J685" s="2" t="s">
        <v>1781</v>
      </c>
      <c r="K685" s="2" t="s">
        <v>2187</v>
      </c>
      <c r="L685" s="2" t="s">
        <v>122</v>
      </c>
    </row>
    <row r="686" spans="1:12" ht="37" customHeight="1">
      <c r="A686" s="2" t="s">
        <v>666</v>
      </c>
      <c r="B686" s="2" t="s">
        <v>640</v>
      </c>
      <c r="C686" s="2" t="s">
        <v>661</v>
      </c>
      <c r="D686" s="2" t="s">
        <v>124</v>
      </c>
      <c r="E686" s="11">
        <v>1</v>
      </c>
      <c r="F686" s="20" t="s">
        <v>1763</v>
      </c>
      <c r="G686" s="21" t="s">
        <v>663</v>
      </c>
      <c r="H686" s="21" t="s">
        <v>1779</v>
      </c>
      <c r="I686" s="2" t="s">
        <v>2188</v>
      </c>
      <c r="J686" s="2" t="s">
        <v>1781</v>
      </c>
      <c r="K686" s="2" t="s">
        <v>2189</v>
      </c>
      <c r="L686" s="2" t="s">
        <v>122</v>
      </c>
    </row>
    <row r="687" spans="1:12" ht="37" customHeight="1">
      <c r="A687" s="2" t="s">
        <v>666</v>
      </c>
      <c r="B687" s="2" t="s">
        <v>640</v>
      </c>
      <c r="C687" s="2" t="s">
        <v>661</v>
      </c>
      <c r="D687" s="2" t="s">
        <v>65</v>
      </c>
      <c r="E687" s="11">
        <v>0</v>
      </c>
      <c r="F687" s="20" t="s">
        <v>1763</v>
      </c>
      <c r="G687" s="21" t="s">
        <v>663</v>
      </c>
      <c r="H687" s="21" t="s">
        <v>1779</v>
      </c>
      <c r="I687" s="2" t="s">
        <v>2188</v>
      </c>
      <c r="J687" s="2" t="s">
        <v>1781</v>
      </c>
      <c r="K687" s="2" t="s">
        <v>2190</v>
      </c>
      <c r="L687" s="2" t="s">
        <v>122</v>
      </c>
    </row>
    <row r="688" spans="1:12" ht="64" customHeight="1">
      <c r="A688" s="2" t="s">
        <v>666</v>
      </c>
      <c r="B688" s="2" t="s">
        <v>640</v>
      </c>
      <c r="C688" s="2" t="s">
        <v>661</v>
      </c>
      <c r="D688" s="2" t="s">
        <v>222</v>
      </c>
      <c r="E688" s="8">
        <v>4.4999999999999998E-2</v>
      </c>
      <c r="F688" s="7" t="s">
        <v>1764</v>
      </c>
      <c r="G688" s="2" t="s">
        <v>663</v>
      </c>
      <c r="H688" s="2" t="s">
        <v>1759</v>
      </c>
      <c r="I688" s="2" t="s">
        <v>2186</v>
      </c>
      <c r="J688" s="2" t="s">
        <v>1781</v>
      </c>
      <c r="K688" s="2" t="s">
        <v>2187</v>
      </c>
      <c r="L688" s="2" t="s">
        <v>122</v>
      </c>
    </row>
    <row r="689" spans="1:12" ht="64" customHeight="1">
      <c r="A689" s="2" t="s">
        <v>666</v>
      </c>
      <c r="B689" s="2" t="s">
        <v>640</v>
      </c>
      <c r="C689" s="2" t="s">
        <v>661</v>
      </c>
      <c r="D689" s="2" t="s">
        <v>1765</v>
      </c>
      <c r="E689" s="8" t="s">
        <v>662</v>
      </c>
      <c r="F689" s="7" t="s">
        <v>1766</v>
      </c>
      <c r="G689" s="2" t="s">
        <v>663</v>
      </c>
      <c r="H689" s="2" t="s">
        <v>1759</v>
      </c>
      <c r="I689" s="2" t="s">
        <v>1767</v>
      </c>
      <c r="J689" s="2"/>
      <c r="K689" t="s">
        <v>1817</v>
      </c>
    </row>
    <row r="690" spans="1:12" ht="37" customHeight="1">
      <c r="A690" s="2" t="s">
        <v>673</v>
      </c>
      <c r="B690" s="2" t="s">
        <v>640</v>
      </c>
      <c r="C690" s="2" t="s">
        <v>669</v>
      </c>
      <c r="D690" s="2" t="s">
        <v>1757</v>
      </c>
      <c r="E690" s="5">
        <v>0.55000000000000004</v>
      </c>
      <c r="F690" s="7" t="s">
        <v>1758</v>
      </c>
      <c r="G690" s="2" t="s">
        <v>671</v>
      </c>
      <c r="H690" s="2" t="s">
        <v>1759</v>
      </c>
      <c r="I690" s="2" t="s">
        <v>1867</v>
      </c>
      <c r="J690" s="2" t="s">
        <v>1777</v>
      </c>
      <c r="K690" s="2" t="s">
        <v>2191</v>
      </c>
      <c r="L690" s="2" t="s">
        <v>45</v>
      </c>
    </row>
    <row r="691" spans="1:12" ht="50.5" customHeight="1">
      <c r="A691" s="2" t="s">
        <v>673</v>
      </c>
      <c r="B691" s="2" t="s">
        <v>640</v>
      </c>
      <c r="C691" s="2" t="s">
        <v>669</v>
      </c>
      <c r="D691" s="2" t="s">
        <v>254</v>
      </c>
      <c r="E691" s="5">
        <v>0.08</v>
      </c>
      <c r="F691" s="7" t="s">
        <v>1758</v>
      </c>
      <c r="G691" s="2" t="s">
        <v>671</v>
      </c>
      <c r="H691" s="2" t="s">
        <v>1759</v>
      </c>
      <c r="I691" s="2" t="s">
        <v>1867</v>
      </c>
      <c r="J691" s="2" t="s">
        <v>1777</v>
      </c>
      <c r="K691" s="2" t="s">
        <v>2191</v>
      </c>
      <c r="L691" s="2" t="s">
        <v>45</v>
      </c>
    </row>
    <row r="692" spans="1:12" ht="50.5" customHeight="1">
      <c r="A692" s="2" t="s">
        <v>673</v>
      </c>
      <c r="B692" s="2" t="s">
        <v>640</v>
      </c>
      <c r="C692" s="2" t="s">
        <v>669</v>
      </c>
      <c r="D692" s="2" t="s">
        <v>124</v>
      </c>
      <c r="E692" s="6">
        <v>1</v>
      </c>
      <c r="F692" s="7" t="s">
        <v>1763</v>
      </c>
      <c r="G692" s="2" t="s">
        <v>671</v>
      </c>
      <c r="H692" s="2" t="s">
        <v>1759</v>
      </c>
      <c r="I692" s="2" t="s">
        <v>1867</v>
      </c>
      <c r="J692" s="2" t="s">
        <v>1777</v>
      </c>
      <c r="K692" s="2" t="s">
        <v>2191</v>
      </c>
      <c r="L692" s="2" t="s">
        <v>45</v>
      </c>
    </row>
    <row r="693" spans="1:12" ht="77.5" customHeight="1">
      <c r="A693" s="2" t="s">
        <v>673</v>
      </c>
      <c r="B693" s="2" t="s">
        <v>640</v>
      </c>
      <c r="C693" s="2" t="s">
        <v>669</v>
      </c>
      <c r="D693" s="2" t="s">
        <v>65</v>
      </c>
      <c r="E693" s="11">
        <v>0</v>
      </c>
      <c r="F693" s="20" t="s">
        <v>1763</v>
      </c>
      <c r="G693" s="21" t="s">
        <v>671</v>
      </c>
      <c r="H693" s="21" t="s">
        <v>1779</v>
      </c>
      <c r="I693" s="2" t="s">
        <v>2192</v>
      </c>
      <c r="J693" s="2" t="s">
        <v>2193</v>
      </c>
      <c r="K693" s="2" t="s">
        <v>2194</v>
      </c>
      <c r="L693" s="2" t="s">
        <v>45</v>
      </c>
    </row>
    <row r="694" spans="1:12" ht="77.5" customHeight="1">
      <c r="A694" s="2" t="s">
        <v>673</v>
      </c>
      <c r="B694" s="2" t="s">
        <v>640</v>
      </c>
      <c r="C694" s="2" t="s">
        <v>669</v>
      </c>
      <c r="D694" s="2" t="s">
        <v>222</v>
      </c>
      <c r="E694" s="8">
        <v>2.1999999999999999E-2</v>
      </c>
      <c r="F694" s="7" t="s">
        <v>1764</v>
      </c>
      <c r="G694" s="2" t="s">
        <v>671</v>
      </c>
      <c r="H694" s="2" t="s">
        <v>1759</v>
      </c>
      <c r="I694" s="2" t="s">
        <v>1867</v>
      </c>
      <c r="J694" s="2" t="s">
        <v>1777</v>
      </c>
      <c r="K694" s="2" t="s">
        <v>2191</v>
      </c>
      <c r="L694" s="2" t="s">
        <v>45</v>
      </c>
    </row>
    <row r="695" spans="1:12" ht="50.5" customHeight="1">
      <c r="A695" s="2" t="s">
        <v>673</v>
      </c>
      <c r="B695" s="2" t="s">
        <v>640</v>
      </c>
      <c r="C695" s="2" t="s">
        <v>669</v>
      </c>
      <c r="D695" s="2" t="s">
        <v>1765</v>
      </c>
      <c r="E695" s="8" t="s">
        <v>670</v>
      </c>
      <c r="F695" s="7" t="s">
        <v>1766</v>
      </c>
      <c r="G695" s="2" t="s">
        <v>671</v>
      </c>
      <c r="H695" s="2" t="s">
        <v>1759</v>
      </c>
      <c r="I695" s="2" t="s">
        <v>1767</v>
      </c>
      <c r="J695" s="2"/>
      <c r="K695" t="s">
        <v>2195</v>
      </c>
    </row>
    <row r="696" spans="1:12" ht="37" customHeight="1">
      <c r="A696" s="2" t="s">
        <v>678</v>
      </c>
      <c r="B696" s="2" t="s">
        <v>640</v>
      </c>
      <c r="C696" s="2" t="s">
        <v>676</v>
      </c>
      <c r="D696" s="2" t="s">
        <v>1757</v>
      </c>
      <c r="E696" s="6">
        <v>1</v>
      </c>
      <c r="F696" s="7" t="s">
        <v>1758</v>
      </c>
      <c r="G696" s="2" t="s">
        <v>677</v>
      </c>
      <c r="H696" s="2" t="s">
        <v>1759</v>
      </c>
      <c r="I696" s="2" t="s">
        <v>2196</v>
      </c>
      <c r="J696" s="2" t="s">
        <v>2183</v>
      </c>
      <c r="K696" s="2" t="s">
        <v>2184</v>
      </c>
      <c r="L696" s="2" t="s">
        <v>45</v>
      </c>
    </row>
    <row r="697" spans="1:12" ht="37" customHeight="1">
      <c r="A697" s="2" t="s">
        <v>678</v>
      </c>
      <c r="B697" s="2" t="s">
        <v>640</v>
      </c>
      <c r="C697" s="2" t="s">
        <v>676</v>
      </c>
      <c r="D697" s="2" t="s">
        <v>254</v>
      </c>
      <c r="E697" s="5">
        <v>0.53</v>
      </c>
      <c r="F697" s="7" t="s">
        <v>1758</v>
      </c>
      <c r="G697" s="2" t="s">
        <v>677</v>
      </c>
      <c r="H697" s="2" t="s">
        <v>1759</v>
      </c>
      <c r="I697" s="2" t="s">
        <v>2196</v>
      </c>
      <c r="J697" s="2" t="s">
        <v>2183</v>
      </c>
      <c r="K697" s="2" t="s">
        <v>2184</v>
      </c>
      <c r="L697" s="2" t="s">
        <v>45</v>
      </c>
    </row>
    <row r="698" spans="1:12" ht="64" customHeight="1">
      <c r="A698" s="2" t="s">
        <v>678</v>
      </c>
      <c r="B698" s="2" t="s">
        <v>640</v>
      </c>
      <c r="C698" s="2" t="s">
        <v>676</v>
      </c>
      <c r="D698" s="2" t="s">
        <v>124</v>
      </c>
      <c r="E698" s="4">
        <v>2.5</v>
      </c>
      <c r="F698" s="7" t="s">
        <v>1763</v>
      </c>
      <c r="G698" s="2" t="s">
        <v>677</v>
      </c>
      <c r="H698" s="2" t="s">
        <v>1759</v>
      </c>
      <c r="I698" s="2" t="s">
        <v>2196</v>
      </c>
      <c r="J698" s="2" t="s">
        <v>2183</v>
      </c>
      <c r="K698" s="2" t="s">
        <v>2184</v>
      </c>
      <c r="L698" s="2" t="s">
        <v>45</v>
      </c>
    </row>
    <row r="699" spans="1:12" ht="64" customHeight="1">
      <c r="A699" s="2" t="s">
        <v>678</v>
      </c>
      <c r="B699" s="2" t="s">
        <v>640</v>
      </c>
      <c r="C699" s="2" t="s">
        <v>676</v>
      </c>
      <c r="D699" s="2" t="s">
        <v>65</v>
      </c>
      <c r="E699" s="4">
        <v>0.7</v>
      </c>
      <c r="F699" s="7" t="s">
        <v>1763</v>
      </c>
      <c r="G699" s="2" t="s">
        <v>677</v>
      </c>
      <c r="H699" s="2" t="s">
        <v>1759</v>
      </c>
      <c r="I699" s="2" t="s">
        <v>2196</v>
      </c>
      <c r="J699" s="2" t="s">
        <v>2183</v>
      </c>
      <c r="K699" s="2" t="s">
        <v>2184</v>
      </c>
      <c r="L699" s="2" t="s">
        <v>45</v>
      </c>
    </row>
    <row r="700" spans="1:12" ht="37" customHeight="1">
      <c r="A700" s="2" t="s">
        <v>678</v>
      </c>
      <c r="B700" s="2" t="s">
        <v>640</v>
      </c>
      <c r="C700" s="2" t="s">
        <v>676</v>
      </c>
      <c r="D700" s="2" t="s">
        <v>222</v>
      </c>
      <c r="E700" s="4">
        <v>3.5</v>
      </c>
      <c r="F700" s="7" t="s">
        <v>1764</v>
      </c>
      <c r="G700" s="2" t="s">
        <v>677</v>
      </c>
      <c r="H700" s="2" t="s">
        <v>1759</v>
      </c>
      <c r="I700" s="2" t="s">
        <v>2196</v>
      </c>
      <c r="J700" s="2" t="s">
        <v>2183</v>
      </c>
      <c r="K700" s="2" t="s">
        <v>2184</v>
      </c>
      <c r="L700" s="2" t="s">
        <v>45</v>
      </c>
    </row>
    <row r="701" spans="1:12" ht="37" customHeight="1">
      <c r="A701" s="2" t="s">
        <v>678</v>
      </c>
      <c r="B701" s="2" t="s">
        <v>640</v>
      </c>
      <c r="C701" s="2" t="s">
        <v>676</v>
      </c>
      <c r="D701" s="2" t="s">
        <v>1765</v>
      </c>
      <c r="E701" s="4" t="s">
        <v>172</v>
      </c>
      <c r="F701" s="7" t="s">
        <v>1766</v>
      </c>
      <c r="G701" s="2" t="s">
        <v>677</v>
      </c>
      <c r="H701" s="2" t="s">
        <v>1759</v>
      </c>
      <c r="I701" s="2" t="s">
        <v>1767</v>
      </c>
      <c r="J701" s="2"/>
      <c r="K701" t="s">
        <v>2197</v>
      </c>
    </row>
    <row r="702" spans="1:12" ht="37" customHeight="1">
      <c r="A702" s="2" t="s">
        <v>683</v>
      </c>
      <c r="B702" s="2" t="s">
        <v>640</v>
      </c>
      <c r="C702" s="2" t="s">
        <v>680</v>
      </c>
      <c r="D702" s="2" t="s">
        <v>1757</v>
      </c>
      <c r="E702" s="5">
        <v>0.76</v>
      </c>
      <c r="F702" s="7" t="s">
        <v>1758</v>
      </c>
      <c r="G702" s="2" t="s">
        <v>681</v>
      </c>
      <c r="H702" s="2" t="s">
        <v>1759</v>
      </c>
      <c r="I702" s="2" t="s">
        <v>2198</v>
      </c>
      <c r="J702" s="2" t="s">
        <v>2199</v>
      </c>
      <c r="K702" s="2" t="s">
        <v>2200</v>
      </c>
      <c r="L702" s="2" t="s">
        <v>45</v>
      </c>
    </row>
    <row r="703" spans="1:12" ht="64" customHeight="1">
      <c r="A703" s="2" t="s">
        <v>683</v>
      </c>
      <c r="B703" s="2" t="s">
        <v>640</v>
      </c>
      <c r="C703" s="2" t="s">
        <v>680</v>
      </c>
      <c r="D703" s="2" t="s">
        <v>254</v>
      </c>
      <c r="E703" s="5">
        <v>0.44</v>
      </c>
      <c r="F703" s="7" t="s">
        <v>1758</v>
      </c>
      <c r="G703" s="2" t="s">
        <v>681</v>
      </c>
      <c r="H703" s="2" t="s">
        <v>1759</v>
      </c>
      <c r="I703" s="2" t="s">
        <v>2198</v>
      </c>
      <c r="J703" s="2" t="s">
        <v>2199</v>
      </c>
      <c r="K703" s="2" t="s">
        <v>2200</v>
      </c>
      <c r="L703" s="2" t="s">
        <v>45</v>
      </c>
    </row>
    <row r="704" spans="1:12" ht="64" customHeight="1">
      <c r="A704" s="2" t="s">
        <v>683</v>
      </c>
      <c r="B704" s="2" t="s">
        <v>640</v>
      </c>
      <c r="C704" s="2" t="s">
        <v>680</v>
      </c>
      <c r="D704" s="2" t="s">
        <v>124</v>
      </c>
      <c r="E704" s="4">
        <v>1.8</v>
      </c>
      <c r="F704" s="7" t="s">
        <v>1763</v>
      </c>
      <c r="G704" s="2" t="s">
        <v>681</v>
      </c>
      <c r="H704" s="2" t="s">
        <v>1759</v>
      </c>
      <c r="I704" s="2" t="s">
        <v>2198</v>
      </c>
      <c r="J704" s="2" t="s">
        <v>2199</v>
      </c>
      <c r="K704" s="2" t="s">
        <v>2200</v>
      </c>
      <c r="L704" s="2" t="s">
        <v>45</v>
      </c>
    </row>
    <row r="705" spans="1:12" ht="37" customHeight="1">
      <c r="A705" s="2" t="s">
        <v>683</v>
      </c>
      <c r="B705" s="2" t="s">
        <v>640</v>
      </c>
      <c r="C705" s="2" t="s">
        <v>680</v>
      </c>
      <c r="D705" s="2" t="s">
        <v>65</v>
      </c>
      <c r="E705" s="7"/>
      <c r="F705" s="7" t="s">
        <v>1763</v>
      </c>
      <c r="G705" s="2" t="s">
        <v>681</v>
      </c>
      <c r="H705" s="2" t="s">
        <v>1773</v>
      </c>
      <c r="I705" s="2"/>
      <c r="J705" s="2"/>
      <c r="K705" s="2" t="s">
        <v>2200</v>
      </c>
      <c r="L705" s="2" t="s">
        <v>45</v>
      </c>
    </row>
    <row r="706" spans="1:12" ht="34" customHeight="1">
      <c r="A706" s="2" t="s">
        <v>683</v>
      </c>
      <c r="B706" s="2" t="s">
        <v>640</v>
      </c>
      <c r="C706" s="2" t="s">
        <v>680</v>
      </c>
      <c r="D706" s="2" t="s">
        <v>222</v>
      </c>
      <c r="E706" s="4">
        <v>0.8</v>
      </c>
      <c r="F706" s="7" t="s">
        <v>1764</v>
      </c>
      <c r="G706" s="2" t="s">
        <v>681</v>
      </c>
      <c r="H706" s="2" t="s">
        <v>1759</v>
      </c>
      <c r="I706" s="2" t="s">
        <v>2198</v>
      </c>
      <c r="J706" s="2" t="s">
        <v>2199</v>
      </c>
      <c r="K706" s="2" t="s">
        <v>2200</v>
      </c>
      <c r="L706" s="2" t="s">
        <v>45</v>
      </c>
    </row>
    <row r="707" spans="1:12" ht="34" customHeight="1">
      <c r="A707" s="2" t="s">
        <v>683</v>
      </c>
      <c r="B707" s="2" t="s">
        <v>640</v>
      </c>
      <c r="C707" s="2" t="s">
        <v>680</v>
      </c>
      <c r="D707" s="2" t="s">
        <v>1765</v>
      </c>
      <c r="E707" s="4" t="s">
        <v>172</v>
      </c>
      <c r="F707" s="7" t="s">
        <v>1766</v>
      </c>
      <c r="G707" s="2" t="s">
        <v>681</v>
      </c>
      <c r="H707" s="2" t="s">
        <v>1759</v>
      </c>
      <c r="I707" s="2" t="s">
        <v>1767</v>
      </c>
      <c r="J707" s="2"/>
      <c r="K707" t="s">
        <v>2201</v>
      </c>
    </row>
    <row r="708" spans="1:12" ht="34" customHeight="1">
      <c r="A708" s="2" t="s">
        <v>689</v>
      </c>
      <c r="B708" s="2" t="s">
        <v>640</v>
      </c>
      <c r="C708" s="2" t="s">
        <v>684</v>
      </c>
      <c r="D708" s="2" t="s">
        <v>1757</v>
      </c>
      <c r="E708" s="5">
        <v>0.36</v>
      </c>
      <c r="F708" s="7" t="s">
        <v>1758</v>
      </c>
      <c r="G708" s="2" t="s">
        <v>686</v>
      </c>
      <c r="H708" s="2" t="s">
        <v>1759</v>
      </c>
      <c r="I708" s="2" t="s">
        <v>2202</v>
      </c>
      <c r="J708" s="2" t="s">
        <v>2203</v>
      </c>
      <c r="K708" s="2" t="s">
        <v>2204</v>
      </c>
      <c r="L708" s="2" t="s">
        <v>190</v>
      </c>
    </row>
    <row r="709" spans="1:12" ht="34" customHeight="1">
      <c r="A709" s="2" t="s">
        <v>689</v>
      </c>
      <c r="B709" s="2" t="s">
        <v>640</v>
      </c>
      <c r="C709" s="2" t="s">
        <v>684</v>
      </c>
      <c r="D709" s="2" t="s">
        <v>254</v>
      </c>
      <c r="E709" s="5">
        <v>0.24</v>
      </c>
      <c r="F709" s="7" t="s">
        <v>1758</v>
      </c>
      <c r="G709" s="2" t="s">
        <v>686</v>
      </c>
      <c r="H709" s="2" t="s">
        <v>1759</v>
      </c>
      <c r="I709" s="2" t="s">
        <v>2202</v>
      </c>
      <c r="J709" s="2" t="s">
        <v>2203</v>
      </c>
      <c r="K709" s="2" t="s">
        <v>2204</v>
      </c>
      <c r="L709" s="2" t="s">
        <v>190</v>
      </c>
    </row>
    <row r="710" spans="1:12" ht="34" customHeight="1">
      <c r="A710" s="2" t="s">
        <v>689</v>
      </c>
      <c r="B710" s="2" t="s">
        <v>640</v>
      </c>
      <c r="C710" s="2" t="s">
        <v>684</v>
      </c>
      <c r="D710" s="2" t="s">
        <v>124</v>
      </c>
      <c r="E710" s="4">
        <v>1.8</v>
      </c>
      <c r="F710" s="7" t="s">
        <v>1763</v>
      </c>
      <c r="G710" s="2" t="s">
        <v>686</v>
      </c>
      <c r="H710" s="2" t="s">
        <v>1759</v>
      </c>
      <c r="I710" s="2" t="s">
        <v>2202</v>
      </c>
      <c r="J710" s="2" t="s">
        <v>2203</v>
      </c>
      <c r="K710" s="2" t="s">
        <v>2204</v>
      </c>
      <c r="L710" s="2" t="s">
        <v>190</v>
      </c>
    </row>
    <row r="711" spans="1:12" ht="50.5" customHeight="1">
      <c r="A711" s="2" t="s">
        <v>689</v>
      </c>
      <c r="B711" s="2" t="s">
        <v>640</v>
      </c>
      <c r="C711" s="2" t="s">
        <v>684</v>
      </c>
      <c r="D711" s="2" t="s">
        <v>65</v>
      </c>
      <c r="E711" s="7" t="s">
        <v>685</v>
      </c>
      <c r="F711" s="7" t="s">
        <v>1763</v>
      </c>
      <c r="G711" s="2" t="s">
        <v>686</v>
      </c>
      <c r="H711" s="2" t="s">
        <v>1759</v>
      </c>
      <c r="I711" s="2" t="s">
        <v>2202</v>
      </c>
      <c r="J711" s="2" t="s">
        <v>2203</v>
      </c>
      <c r="K711" s="2" t="s">
        <v>2204</v>
      </c>
      <c r="L711" s="2" t="s">
        <v>190</v>
      </c>
    </row>
    <row r="712" spans="1:12" ht="50.5" customHeight="1">
      <c r="A712" s="2" t="s">
        <v>689</v>
      </c>
      <c r="B712" s="2" t="s">
        <v>640</v>
      </c>
      <c r="C712" s="2" t="s">
        <v>684</v>
      </c>
      <c r="D712" s="2" t="s">
        <v>222</v>
      </c>
      <c r="E712" s="5">
        <v>0.28000000000000003</v>
      </c>
      <c r="F712" s="7" t="s">
        <v>1764</v>
      </c>
      <c r="G712" s="2" t="s">
        <v>686</v>
      </c>
      <c r="H712" s="2" t="s">
        <v>1759</v>
      </c>
      <c r="I712" s="2" t="s">
        <v>2202</v>
      </c>
      <c r="J712" s="2" t="s">
        <v>2203</v>
      </c>
      <c r="K712" s="2" t="s">
        <v>2204</v>
      </c>
      <c r="L712" s="2" t="s">
        <v>190</v>
      </c>
    </row>
    <row r="713" spans="1:12" ht="50.5" customHeight="1">
      <c r="A713" s="2" t="s">
        <v>689</v>
      </c>
      <c r="B713" s="2" t="s">
        <v>640</v>
      </c>
      <c r="C713" s="2" t="s">
        <v>684</v>
      </c>
      <c r="D713" s="2" t="s">
        <v>1765</v>
      </c>
      <c r="E713" s="5" t="s">
        <v>117</v>
      </c>
      <c r="F713" s="7" t="s">
        <v>1766</v>
      </c>
      <c r="G713" s="2" t="s">
        <v>686</v>
      </c>
      <c r="H713" s="2" t="s">
        <v>1759</v>
      </c>
      <c r="I713" s="2" t="s">
        <v>1767</v>
      </c>
      <c r="J713" s="2"/>
      <c r="K713" t="s">
        <v>2205</v>
      </c>
    </row>
    <row r="714" spans="1:12" ht="50.5" customHeight="1">
      <c r="A714" s="2" t="s">
        <v>697</v>
      </c>
      <c r="B714" s="2" t="s">
        <v>640</v>
      </c>
      <c r="C714" s="2" t="s">
        <v>691</v>
      </c>
      <c r="D714" s="2" t="s">
        <v>1757</v>
      </c>
      <c r="E714" s="5">
        <v>0.36</v>
      </c>
      <c r="F714" s="7" t="s">
        <v>1758</v>
      </c>
      <c r="G714" s="2" t="s">
        <v>693</v>
      </c>
      <c r="H714" s="2" t="s">
        <v>1759</v>
      </c>
      <c r="I714" s="2" t="s">
        <v>2206</v>
      </c>
      <c r="J714" s="2" t="s">
        <v>2207</v>
      </c>
      <c r="K714" s="2" t="s">
        <v>2208</v>
      </c>
      <c r="L714" s="2" t="s">
        <v>45</v>
      </c>
    </row>
    <row r="715" spans="1:12" ht="50.5" customHeight="1">
      <c r="A715" s="2" t="s">
        <v>697</v>
      </c>
      <c r="B715" s="2" t="s">
        <v>640</v>
      </c>
      <c r="C715" s="2" t="s">
        <v>691</v>
      </c>
      <c r="D715" s="2" t="s">
        <v>254</v>
      </c>
      <c r="E715" s="5">
        <v>0.24</v>
      </c>
      <c r="F715" s="7" t="s">
        <v>1758</v>
      </c>
      <c r="G715" s="2" t="s">
        <v>693</v>
      </c>
      <c r="H715" s="2" t="s">
        <v>1759</v>
      </c>
      <c r="I715" s="2" t="s">
        <v>2206</v>
      </c>
      <c r="J715" s="2" t="s">
        <v>2207</v>
      </c>
      <c r="K715" s="2" t="s">
        <v>2208</v>
      </c>
      <c r="L715" s="2" t="s">
        <v>45</v>
      </c>
    </row>
    <row r="716" spans="1:12" ht="50.5" customHeight="1">
      <c r="A716" s="2" t="s">
        <v>697</v>
      </c>
      <c r="B716" s="2" t="s">
        <v>640</v>
      </c>
      <c r="C716" s="2" t="s">
        <v>691</v>
      </c>
      <c r="D716" s="2" t="s">
        <v>124</v>
      </c>
      <c r="E716" s="6">
        <v>2</v>
      </c>
      <c r="F716" s="7" t="s">
        <v>1763</v>
      </c>
      <c r="G716" s="2" t="s">
        <v>693</v>
      </c>
      <c r="H716" s="2" t="s">
        <v>1759</v>
      </c>
      <c r="I716" s="2" t="s">
        <v>2206</v>
      </c>
      <c r="J716" s="2" t="s">
        <v>2207</v>
      </c>
      <c r="K716" s="2" t="s">
        <v>2208</v>
      </c>
      <c r="L716" s="2" t="s">
        <v>45</v>
      </c>
    </row>
    <row r="717" spans="1:12" ht="50.5" customHeight="1">
      <c r="A717" s="2" t="s">
        <v>697</v>
      </c>
      <c r="B717" s="2" t="s">
        <v>640</v>
      </c>
      <c r="C717" s="2" t="s">
        <v>691</v>
      </c>
      <c r="D717" s="2" t="s">
        <v>65</v>
      </c>
      <c r="E717" s="4">
        <v>0.5</v>
      </c>
      <c r="F717" s="7" t="s">
        <v>1763</v>
      </c>
      <c r="G717" s="2" t="s">
        <v>693</v>
      </c>
      <c r="H717" s="2" t="s">
        <v>1759</v>
      </c>
      <c r="I717" s="2" t="s">
        <v>2206</v>
      </c>
      <c r="J717" s="2" t="s">
        <v>2207</v>
      </c>
      <c r="K717" s="2" t="s">
        <v>2208</v>
      </c>
      <c r="L717" s="2" t="s">
        <v>45</v>
      </c>
    </row>
    <row r="718" spans="1:12" ht="77.5" customHeight="1">
      <c r="A718" s="2" t="s">
        <v>697</v>
      </c>
      <c r="B718" s="2" t="s">
        <v>640</v>
      </c>
      <c r="C718" s="2" t="s">
        <v>691</v>
      </c>
      <c r="D718" s="2" t="s">
        <v>222</v>
      </c>
      <c r="E718" s="5">
        <v>0.36</v>
      </c>
      <c r="F718" s="7" t="s">
        <v>1764</v>
      </c>
      <c r="G718" s="2" t="s">
        <v>693</v>
      </c>
      <c r="H718" s="2" t="s">
        <v>1759</v>
      </c>
      <c r="I718" s="2" t="s">
        <v>2206</v>
      </c>
      <c r="J718" s="2" t="s">
        <v>2207</v>
      </c>
      <c r="K718" s="2" t="s">
        <v>2208</v>
      </c>
      <c r="L718" s="2" t="s">
        <v>45</v>
      </c>
    </row>
    <row r="719" spans="1:12" ht="77.5" customHeight="1">
      <c r="A719" s="2" t="s">
        <v>697</v>
      </c>
      <c r="B719" s="2" t="s">
        <v>640</v>
      </c>
      <c r="C719" s="2" t="s">
        <v>691</v>
      </c>
      <c r="D719" s="2" t="s">
        <v>1765</v>
      </c>
      <c r="E719" s="5" t="s">
        <v>692</v>
      </c>
      <c r="F719" s="7" t="s">
        <v>1766</v>
      </c>
      <c r="G719" s="2" t="s">
        <v>693</v>
      </c>
      <c r="H719" s="2" t="s">
        <v>1759</v>
      </c>
      <c r="I719" s="2" t="s">
        <v>1767</v>
      </c>
      <c r="J719" s="2"/>
      <c r="K719" t="s">
        <v>1933</v>
      </c>
    </row>
    <row r="720" spans="1:12" ht="50.5" customHeight="1">
      <c r="A720" s="2" t="s">
        <v>702</v>
      </c>
      <c r="B720" s="2" t="s">
        <v>640</v>
      </c>
      <c r="C720" s="2" t="s">
        <v>699</v>
      </c>
      <c r="D720" s="2" t="s">
        <v>1757</v>
      </c>
      <c r="E720" s="8">
        <v>0.16200000000000001</v>
      </c>
      <c r="F720" s="7" t="s">
        <v>1758</v>
      </c>
      <c r="G720" s="2" t="s">
        <v>700</v>
      </c>
      <c r="H720" s="2" t="s">
        <v>1759</v>
      </c>
      <c r="I720" s="2" t="s">
        <v>2209</v>
      </c>
      <c r="J720" s="2" t="s">
        <v>2210</v>
      </c>
      <c r="K720" s="2" t="s">
        <v>2211</v>
      </c>
      <c r="L720" s="2" t="s">
        <v>45</v>
      </c>
    </row>
    <row r="721" spans="1:12" ht="50.5" customHeight="1">
      <c r="A721" s="2" t="s">
        <v>702</v>
      </c>
      <c r="B721" s="2" t="s">
        <v>640</v>
      </c>
      <c r="C721" s="2" t="s">
        <v>699</v>
      </c>
      <c r="D721" s="2" t="s">
        <v>254</v>
      </c>
      <c r="E721" s="8">
        <v>7.9000000000000001E-2</v>
      </c>
      <c r="F721" s="7" t="s">
        <v>1758</v>
      </c>
      <c r="G721" s="2" t="s">
        <v>700</v>
      </c>
      <c r="H721" s="2" t="s">
        <v>1759</v>
      </c>
      <c r="I721" s="2" t="s">
        <v>2209</v>
      </c>
      <c r="J721" s="2" t="s">
        <v>2210</v>
      </c>
      <c r="K721" s="2" t="s">
        <v>2211</v>
      </c>
      <c r="L721" s="2" t="s">
        <v>45</v>
      </c>
    </row>
    <row r="722" spans="1:12" ht="50.5" customHeight="1">
      <c r="A722" s="2" t="s">
        <v>702</v>
      </c>
      <c r="B722" s="2" t="s">
        <v>640</v>
      </c>
      <c r="C722" s="2" t="s">
        <v>699</v>
      </c>
      <c r="D722" s="2" t="s">
        <v>124</v>
      </c>
      <c r="E722" s="5">
        <v>1.33</v>
      </c>
      <c r="F722" s="7" t="s">
        <v>1763</v>
      </c>
      <c r="G722" s="2" t="s">
        <v>700</v>
      </c>
      <c r="H722" s="2" t="s">
        <v>1759</v>
      </c>
      <c r="I722" s="2" t="s">
        <v>2209</v>
      </c>
      <c r="J722" s="2" t="s">
        <v>2210</v>
      </c>
      <c r="K722" s="2" t="s">
        <v>2211</v>
      </c>
      <c r="L722" s="2" t="s">
        <v>45</v>
      </c>
    </row>
    <row r="723" spans="1:12" ht="77.5" customHeight="1">
      <c r="A723" s="2" t="s">
        <v>702</v>
      </c>
      <c r="B723" s="2" t="s">
        <v>640</v>
      </c>
      <c r="C723" s="2" t="s">
        <v>699</v>
      </c>
      <c r="D723" s="2" t="s">
        <v>65</v>
      </c>
      <c r="E723" s="5">
        <v>0.08</v>
      </c>
      <c r="F723" s="7" t="s">
        <v>1763</v>
      </c>
      <c r="G723" s="2" t="s">
        <v>700</v>
      </c>
      <c r="H723" s="2" t="s">
        <v>1759</v>
      </c>
      <c r="I723" s="2" t="s">
        <v>2209</v>
      </c>
      <c r="J723" s="2" t="s">
        <v>2210</v>
      </c>
      <c r="K723" s="2" t="s">
        <v>2211</v>
      </c>
      <c r="L723" s="2" t="s">
        <v>45</v>
      </c>
    </row>
    <row r="724" spans="1:12" ht="77.5" customHeight="1">
      <c r="A724" s="2" t="s">
        <v>702</v>
      </c>
      <c r="B724" s="2" t="s">
        <v>640</v>
      </c>
      <c r="C724" s="2" t="s">
        <v>699</v>
      </c>
      <c r="D724" s="2" t="s">
        <v>222</v>
      </c>
      <c r="E724" s="8">
        <v>2.5000000000000001E-2</v>
      </c>
      <c r="F724" s="7" t="s">
        <v>1764</v>
      </c>
      <c r="G724" s="2" t="s">
        <v>700</v>
      </c>
      <c r="H724" s="2" t="s">
        <v>1759</v>
      </c>
      <c r="I724" s="2" t="s">
        <v>2209</v>
      </c>
      <c r="J724" s="2" t="s">
        <v>2210</v>
      </c>
      <c r="K724" s="2" t="s">
        <v>2211</v>
      </c>
      <c r="L724" s="2" t="s">
        <v>45</v>
      </c>
    </row>
    <row r="725" spans="1:12" ht="50.5" customHeight="1">
      <c r="A725" s="2" t="s">
        <v>702</v>
      </c>
      <c r="B725" s="2" t="s">
        <v>640</v>
      </c>
      <c r="C725" s="2" t="s">
        <v>699</v>
      </c>
      <c r="D725" s="2" t="s">
        <v>1765</v>
      </c>
      <c r="E725" s="8" t="s">
        <v>172</v>
      </c>
      <c r="F725" s="7" t="s">
        <v>1766</v>
      </c>
      <c r="G725" s="2" t="s">
        <v>700</v>
      </c>
      <c r="H725" s="2" t="s">
        <v>1759</v>
      </c>
      <c r="I725" s="2" t="s">
        <v>1767</v>
      </c>
      <c r="J725" s="2"/>
      <c r="K725" t="s">
        <v>1931</v>
      </c>
    </row>
    <row r="726" spans="1:12" ht="50.5" customHeight="1">
      <c r="A726" s="2" t="s">
        <v>709</v>
      </c>
      <c r="B726" s="2" t="s">
        <v>640</v>
      </c>
      <c r="C726" s="2" t="s">
        <v>704</v>
      </c>
      <c r="D726" s="2" t="s">
        <v>1757</v>
      </c>
      <c r="E726" s="5">
        <v>1.32</v>
      </c>
      <c r="F726" s="7" t="s">
        <v>1758</v>
      </c>
      <c r="G726" s="2" t="s">
        <v>706</v>
      </c>
      <c r="H726" s="2" t="s">
        <v>1759</v>
      </c>
      <c r="I726" s="2" t="s">
        <v>2212</v>
      </c>
      <c r="J726" s="2" t="s">
        <v>2213</v>
      </c>
      <c r="K726" s="2" t="s">
        <v>2214</v>
      </c>
      <c r="L726" s="2" t="s">
        <v>190</v>
      </c>
    </row>
    <row r="727" spans="1:12" ht="50.5" customHeight="1">
      <c r="A727" s="2" t="s">
        <v>709</v>
      </c>
      <c r="B727" s="2" t="s">
        <v>640</v>
      </c>
      <c r="C727" s="2" t="s">
        <v>704</v>
      </c>
      <c r="D727" s="2" t="s">
        <v>254</v>
      </c>
      <c r="E727" s="5">
        <v>0.47</v>
      </c>
      <c r="F727" s="7" t="s">
        <v>1758</v>
      </c>
      <c r="G727" s="2" t="s">
        <v>706</v>
      </c>
      <c r="H727" s="2" t="s">
        <v>1759</v>
      </c>
      <c r="I727" s="2" t="s">
        <v>2212</v>
      </c>
      <c r="J727" s="2" t="s">
        <v>2213</v>
      </c>
      <c r="K727" s="2" t="s">
        <v>2214</v>
      </c>
      <c r="L727" s="2" t="s">
        <v>190</v>
      </c>
    </row>
    <row r="728" spans="1:12" ht="77.5" customHeight="1">
      <c r="A728" s="2" t="s">
        <v>709</v>
      </c>
      <c r="B728" s="2" t="s">
        <v>640</v>
      </c>
      <c r="C728" s="2" t="s">
        <v>704</v>
      </c>
      <c r="D728" s="2" t="s">
        <v>124</v>
      </c>
      <c r="E728" s="5">
        <v>1.83</v>
      </c>
      <c r="F728" s="7" t="s">
        <v>1763</v>
      </c>
      <c r="G728" s="2" t="s">
        <v>706</v>
      </c>
      <c r="H728" s="2" t="s">
        <v>1759</v>
      </c>
      <c r="I728" s="2" t="s">
        <v>2212</v>
      </c>
      <c r="J728" s="2" t="s">
        <v>2213</v>
      </c>
      <c r="K728" s="2" t="s">
        <v>2214</v>
      </c>
      <c r="L728" s="2" t="s">
        <v>190</v>
      </c>
    </row>
    <row r="729" spans="1:12" ht="77.5" customHeight="1">
      <c r="A729" s="2" t="s">
        <v>709</v>
      </c>
      <c r="B729" s="2" t="s">
        <v>640</v>
      </c>
      <c r="C729" s="2" t="s">
        <v>704</v>
      </c>
      <c r="D729" s="2" t="s">
        <v>65</v>
      </c>
      <c r="E729" s="4">
        <v>0.4</v>
      </c>
      <c r="F729" s="7" t="s">
        <v>1763</v>
      </c>
      <c r="G729" s="2" t="s">
        <v>706</v>
      </c>
      <c r="H729" s="2" t="s">
        <v>1759</v>
      </c>
      <c r="I729" s="2" t="s">
        <v>2212</v>
      </c>
      <c r="J729" s="2" t="s">
        <v>2213</v>
      </c>
      <c r="K729" s="2" t="s">
        <v>2214</v>
      </c>
      <c r="L729" s="2" t="s">
        <v>190</v>
      </c>
    </row>
    <row r="730" spans="1:12" ht="50.5" customHeight="1">
      <c r="A730" s="2" t="s">
        <v>709</v>
      </c>
      <c r="B730" s="2" t="s">
        <v>640</v>
      </c>
      <c r="C730" s="2" t="s">
        <v>704</v>
      </c>
      <c r="D730" s="2" t="s">
        <v>222</v>
      </c>
      <c r="E730" s="6">
        <v>11</v>
      </c>
      <c r="F730" s="7" t="s">
        <v>1764</v>
      </c>
      <c r="G730" s="2" t="s">
        <v>706</v>
      </c>
      <c r="H730" s="2" t="s">
        <v>1759</v>
      </c>
      <c r="I730" s="2" t="s">
        <v>2212</v>
      </c>
      <c r="J730" s="2" t="s">
        <v>2213</v>
      </c>
      <c r="K730" s="2" t="s">
        <v>2214</v>
      </c>
      <c r="L730" s="2" t="s">
        <v>190</v>
      </c>
    </row>
    <row r="731" spans="1:12" ht="37" customHeight="1">
      <c r="A731" s="2" t="s">
        <v>709</v>
      </c>
      <c r="B731" s="2" t="s">
        <v>640</v>
      </c>
      <c r="C731" s="2" t="s">
        <v>704</v>
      </c>
      <c r="D731" s="2" t="s">
        <v>1765</v>
      </c>
      <c r="E731" s="6" t="s">
        <v>705</v>
      </c>
      <c r="F731" s="7" t="s">
        <v>1766</v>
      </c>
      <c r="G731" s="2" t="s">
        <v>706</v>
      </c>
      <c r="H731" s="2" t="s">
        <v>1759</v>
      </c>
      <c r="I731" s="2" t="s">
        <v>1767</v>
      </c>
      <c r="J731" s="2"/>
      <c r="K731" t="s">
        <v>2215</v>
      </c>
    </row>
    <row r="732" spans="1:12" ht="37" customHeight="1">
      <c r="A732" s="2" t="s">
        <v>717</v>
      </c>
      <c r="B732" s="2" t="s">
        <v>640</v>
      </c>
      <c r="C732" s="2" t="s">
        <v>712</v>
      </c>
      <c r="D732" s="2" t="s">
        <v>1757</v>
      </c>
      <c r="E732" s="4">
        <v>1.7</v>
      </c>
      <c r="F732" s="7" t="s">
        <v>1758</v>
      </c>
      <c r="G732" s="2" t="s">
        <v>714</v>
      </c>
      <c r="H732" s="2" t="s">
        <v>1759</v>
      </c>
      <c r="I732" s="2" t="s">
        <v>2216</v>
      </c>
      <c r="J732" s="2" t="s">
        <v>1833</v>
      </c>
      <c r="K732" s="2" t="s">
        <v>2184</v>
      </c>
      <c r="L732" s="2" t="s">
        <v>45</v>
      </c>
    </row>
    <row r="733" spans="1:12" ht="64" customHeight="1">
      <c r="A733" s="2" t="s">
        <v>717</v>
      </c>
      <c r="B733" s="2" t="s">
        <v>640</v>
      </c>
      <c r="C733" s="2" t="s">
        <v>712</v>
      </c>
      <c r="D733" s="2" t="s">
        <v>254</v>
      </c>
      <c r="E733" s="5">
        <v>1.1299999999999999</v>
      </c>
      <c r="F733" s="7" t="s">
        <v>1758</v>
      </c>
      <c r="G733" s="2" t="s">
        <v>714</v>
      </c>
      <c r="H733" s="2" t="s">
        <v>1759</v>
      </c>
      <c r="I733" s="2" t="s">
        <v>2216</v>
      </c>
      <c r="J733" s="2" t="s">
        <v>1833</v>
      </c>
      <c r="K733" s="2" t="s">
        <v>2184</v>
      </c>
      <c r="L733" s="2" t="s">
        <v>45</v>
      </c>
    </row>
    <row r="734" spans="1:12" ht="64" customHeight="1">
      <c r="A734" s="2" t="s">
        <v>717</v>
      </c>
      <c r="B734" s="2" t="s">
        <v>640</v>
      </c>
      <c r="C734" s="2" t="s">
        <v>712</v>
      </c>
      <c r="D734" s="2" t="s">
        <v>124</v>
      </c>
      <c r="E734" s="4">
        <v>2.5</v>
      </c>
      <c r="F734" s="7" t="s">
        <v>1763</v>
      </c>
      <c r="G734" s="2" t="s">
        <v>714</v>
      </c>
      <c r="H734" s="2" t="s">
        <v>1759</v>
      </c>
      <c r="I734" s="2" t="s">
        <v>2216</v>
      </c>
      <c r="J734" s="2" t="s">
        <v>1833</v>
      </c>
      <c r="K734" s="2" t="s">
        <v>2184</v>
      </c>
      <c r="L734" s="2" t="s">
        <v>45</v>
      </c>
    </row>
    <row r="735" spans="1:12" ht="37" customHeight="1">
      <c r="A735" s="2" t="s">
        <v>717</v>
      </c>
      <c r="B735" s="2" t="s">
        <v>640</v>
      </c>
      <c r="C735" s="2" t="s">
        <v>712</v>
      </c>
      <c r="D735" s="2" t="s">
        <v>65</v>
      </c>
      <c r="E735" s="7"/>
      <c r="F735" s="7" t="s">
        <v>1763</v>
      </c>
      <c r="G735" s="2" t="s">
        <v>714</v>
      </c>
      <c r="H735" s="2" t="s">
        <v>1773</v>
      </c>
      <c r="I735" s="2"/>
      <c r="J735" s="2"/>
      <c r="K735" s="2" t="s">
        <v>2184</v>
      </c>
      <c r="L735" s="2" t="s">
        <v>45</v>
      </c>
    </row>
    <row r="736" spans="1:12" ht="37" customHeight="1">
      <c r="A736" s="2" t="s">
        <v>717</v>
      </c>
      <c r="B736" s="2" t="s">
        <v>640</v>
      </c>
      <c r="C736" s="2" t="s">
        <v>712</v>
      </c>
      <c r="D736" s="2" t="s">
        <v>222</v>
      </c>
      <c r="E736" s="6">
        <v>14</v>
      </c>
      <c r="F736" s="7" t="s">
        <v>1764</v>
      </c>
      <c r="G736" s="2" t="s">
        <v>714</v>
      </c>
      <c r="H736" s="2" t="s">
        <v>1759</v>
      </c>
      <c r="I736" s="2" t="s">
        <v>2216</v>
      </c>
      <c r="J736" s="2" t="s">
        <v>1833</v>
      </c>
      <c r="K736" s="2" t="s">
        <v>2184</v>
      </c>
      <c r="L736" s="2" t="s">
        <v>45</v>
      </c>
    </row>
    <row r="737" spans="1:12" ht="37" customHeight="1">
      <c r="A737" s="2" t="s">
        <v>717</v>
      </c>
      <c r="B737" s="2" t="s">
        <v>640</v>
      </c>
      <c r="C737" s="2" t="s">
        <v>712</v>
      </c>
      <c r="D737" s="2" t="s">
        <v>1765</v>
      </c>
      <c r="E737" s="6" t="s">
        <v>713</v>
      </c>
      <c r="F737" s="7" t="s">
        <v>1766</v>
      </c>
      <c r="G737" s="2" t="s">
        <v>714</v>
      </c>
      <c r="H737" s="2" t="s">
        <v>1759</v>
      </c>
      <c r="I737" s="2" t="s">
        <v>1767</v>
      </c>
      <c r="J737" s="2"/>
      <c r="K737" t="s">
        <v>2217</v>
      </c>
    </row>
    <row r="738" spans="1:12" ht="64" customHeight="1">
      <c r="A738" s="2" t="s">
        <v>722</v>
      </c>
      <c r="B738" s="2" t="s">
        <v>640</v>
      </c>
      <c r="C738" s="2" t="s">
        <v>720</v>
      </c>
      <c r="D738" s="2" t="s">
        <v>1757</v>
      </c>
      <c r="E738" s="5">
        <v>0.67</v>
      </c>
      <c r="F738" s="7" t="s">
        <v>1758</v>
      </c>
      <c r="G738" s="2" t="s">
        <v>721</v>
      </c>
      <c r="H738" s="2" t="s">
        <v>1759</v>
      </c>
      <c r="I738" s="2" t="s">
        <v>2218</v>
      </c>
      <c r="J738" s="2" t="s">
        <v>2219</v>
      </c>
      <c r="K738" s="2" t="s">
        <v>2220</v>
      </c>
      <c r="L738" s="2" t="s">
        <v>45</v>
      </c>
    </row>
    <row r="739" spans="1:12" ht="64" customHeight="1">
      <c r="A739" s="2" t="s">
        <v>722</v>
      </c>
      <c r="B739" s="2" t="s">
        <v>640</v>
      </c>
      <c r="C739" s="2" t="s">
        <v>720</v>
      </c>
      <c r="D739" s="2" t="s">
        <v>254</v>
      </c>
      <c r="E739" s="5">
        <v>0.17</v>
      </c>
      <c r="F739" s="7" t="s">
        <v>1758</v>
      </c>
      <c r="G739" s="2" t="s">
        <v>721</v>
      </c>
      <c r="H739" s="2" t="s">
        <v>1759</v>
      </c>
      <c r="I739" s="2" t="s">
        <v>2218</v>
      </c>
      <c r="J739" s="2" t="s">
        <v>2219</v>
      </c>
      <c r="K739" s="2" t="s">
        <v>2220</v>
      </c>
      <c r="L739" s="2" t="s">
        <v>45</v>
      </c>
    </row>
    <row r="740" spans="1:12" ht="37" customHeight="1">
      <c r="A740" s="2" t="s">
        <v>722</v>
      </c>
      <c r="B740" s="2" t="s">
        <v>640</v>
      </c>
      <c r="C740" s="2" t="s">
        <v>720</v>
      </c>
      <c r="D740" s="2" t="s">
        <v>124</v>
      </c>
      <c r="E740" s="11">
        <v>1</v>
      </c>
      <c r="F740" s="20" t="s">
        <v>1763</v>
      </c>
      <c r="G740" s="21" t="s">
        <v>721</v>
      </c>
      <c r="H740" s="21" t="s">
        <v>1779</v>
      </c>
      <c r="I740" s="2" t="s">
        <v>2221</v>
      </c>
      <c r="J740" s="2" t="s">
        <v>1781</v>
      </c>
      <c r="K740" s="2" t="s">
        <v>2222</v>
      </c>
      <c r="L740" s="2" t="s">
        <v>45</v>
      </c>
    </row>
    <row r="741" spans="1:12" ht="50.5" customHeight="1">
      <c r="A741" s="2" t="s">
        <v>722</v>
      </c>
      <c r="B741" s="2" t="s">
        <v>640</v>
      </c>
      <c r="C741" s="2" t="s">
        <v>720</v>
      </c>
      <c r="D741" s="2" t="s">
        <v>65</v>
      </c>
      <c r="E741" s="11">
        <v>0</v>
      </c>
      <c r="F741" s="20" t="s">
        <v>1763</v>
      </c>
      <c r="G741" s="21" t="s">
        <v>721</v>
      </c>
      <c r="H741" s="21" t="s">
        <v>1779</v>
      </c>
      <c r="I741" s="2" t="s">
        <v>2221</v>
      </c>
      <c r="J741" s="2" t="s">
        <v>1781</v>
      </c>
      <c r="K741" s="2" t="s">
        <v>2223</v>
      </c>
      <c r="L741" s="2" t="s">
        <v>45</v>
      </c>
    </row>
    <row r="742" spans="1:12" ht="50.5" customHeight="1">
      <c r="A742" s="2" t="s">
        <v>722</v>
      </c>
      <c r="B742" s="2" t="s">
        <v>640</v>
      </c>
      <c r="C742" s="2" t="s">
        <v>720</v>
      </c>
      <c r="D742" s="2" t="s">
        <v>222</v>
      </c>
      <c r="E742" s="4">
        <v>0.1</v>
      </c>
      <c r="F742" s="7" t="s">
        <v>1764</v>
      </c>
      <c r="G742" s="2" t="s">
        <v>721</v>
      </c>
      <c r="H742" s="2" t="s">
        <v>1759</v>
      </c>
      <c r="I742" s="2" t="s">
        <v>2218</v>
      </c>
      <c r="J742" s="2" t="s">
        <v>2219</v>
      </c>
      <c r="K742" s="2" t="s">
        <v>2220</v>
      </c>
      <c r="L742" s="2" t="s">
        <v>45</v>
      </c>
    </row>
    <row r="743" spans="1:12" ht="77.5" customHeight="1">
      <c r="A743" s="2" t="s">
        <v>722</v>
      </c>
      <c r="B743" s="2" t="s">
        <v>640</v>
      </c>
      <c r="C743" s="2" t="s">
        <v>720</v>
      </c>
      <c r="D743" s="2" t="s">
        <v>1765</v>
      </c>
      <c r="E743" s="4" t="s">
        <v>117</v>
      </c>
      <c r="F743" s="7" t="s">
        <v>1766</v>
      </c>
      <c r="G743" s="2" t="s">
        <v>721</v>
      </c>
      <c r="H743" s="2" t="s">
        <v>1759</v>
      </c>
      <c r="I743" s="2" t="s">
        <v>1767</v>
      </c>
      <c r="J743" s="2"/>
      <c r="K743" t="s">
        <v>1817</v>
      </c>
    </row>
    <row r="744" spans="1:12" ht="77.5" customHeight="1">
      <c r="A744" s="2" t="s">
        <v>727</v>
      </c>
      <c r="B744" s="2" t="s">
        <v>640</v>
      </c>
      <c r="C744" s="2" t="s">
        <v>724</v>
      </c>
      <c r="D744" s="2" t="s">
        <v>1757</v>
      </c>
      <c r="E744" s="4">
        <v>1.5</v>
      </c>
      <c r="F744" s="7" t="s">
        <v>1758</v>
      </c>
      <c r="G744" s="2" t="s">
        <v>725</v>
      </c>
      <c r="H744" s="2" t="s">
        <v>1759</v>
      </c>
      <c r="I744" s="2" t="s">
        <v>1867</v>
      </c>
      <c r="J744" s="2" t="s">
        <v>1777</v>
      </c>
      <c r="K744" s="2" t="s">
        <v>2224</v>
      </c>
      <c r="L744" s="2" t="s">
        <v>45</v>
      </c>
    </row>
    <row r="745" spans="1:12" ht="50.5" customHeight="1">
      <c r="A745" s="2" t="s">
        <v>727</v>
      </c>
      <c r="B745" s="2" t="s">
        <v>640</v>
      </c>
      <c r="C745" s="2" t="s">
        <v>724</v>
      </c>
      <c r="D745" s="2" t="s">
        <v>254</v>
      </c>
      <c r="E745" s="5">
        <v>0.36</v>
      </c>
      <c r="F745" s="7" t="s">
        <v>1758</v>
      </c>
      <c r="G745" s="2" t="s">
        <v>725</v>
      </c>
      <c r="H745" s="2" t="s">
        <v>1759</v>
      </c>
      <c r="I745" s="2" t="s">
        <v>1867</v>
      </c>
      <c r="J745" s="2" t="s">
        <v>1777</v>
      </c>
      <c r="K745" s="2" t="s">
        <v>2224</v>
      </c>
      <c r="L745" s="2" t="s">
        <v>45</v>
      </c>
    </row>
    <row r="746" spans="1:12" ht="37" customHeight="1">
      <c r="A746" s="2" t="s">
        <v>727</v>
      </c>
      <c r="B746" s="2" t="s">
        <v>640</v>
      </c>
      <c r="C746" s="2" t="s">
        <v>724</v>
      </c>
      <c r="D746" s="2" t="s">
        <v>124</v>
      </c>
      <c r="E746" s="6">
        <v>1</v>
      </c>
      <c r="F746" s="7" t="s">
        <v>1763</v>
      </c>
      <c r="G746" s="2" t="s">
        <v>725</v>
      </c>
      <c r="H746" s="2" t="s">
        <v>1759</v>
      </c>
      <c r="I746" s="2" t="s">
        <v>1867</v>
      </c>
      <c r="J746" s="2" t="s">
        <v>1777</v>
      </c>
      <c r="K746" s="2" t="s">
        <v>2224</v>
      </c>
      <c r="L746" s="2" t="s">
        <v>45</v>
      </c>
    </row>
    <row r="747" spans="1:12" ht="37" customHeight="1">
      <c r="A747" s="2" t="s">
        <v>727</v>
      </c>
      <c r="B747" s="2" t="s">
        <v>640</v>
      </c>
      <c r="C747" s="2" t="s">
        <v>724</v>
      </c>
      <c r="D747" s="2" t="s">
        <v>65</v>
      </c>
      <c r="E747" s="6">
        <v>0</v>
      </c>
      <c r="F747" s="7" t="s">
        <v>1763</v>
      </c>
      <c r="G747" s="2" t="s">
        <v>725</v>
      </c>
      <c r="H747" s="2" t="s">
        <v>1759</v>
      </c>
      <c r="I747" s="2" t="s">
        <v>2225</v>
      </c>
      <c r="J747" s="2" t="s">
        <v>2207</v>
      </c>
      <c r="K747" s="2" t="s">
        <v>2224</v>
      </c>
      <c r="L747" s="2" t="s">
        <v>45</v>
      </c>
    </row>
    <row r="748" spans="1:12" ht="64" customHeight="1">
      <c r="A748" s="2" t="s">
        <v>727</v>
      </c>
      <c r="B748" s="2" t="s">
        <v>640</v>
      </c>
      <c r="C748" s="2" t="s">
        <v>724</v>
      </c>
      <c r="D748" s="2" t="s">
        <v>222</v>
      </c>
      <c r="E748" s="4">
        <v>0.4</v>
      </c>
      <c r="F748" s="7" t="s">
        <v>1764</v>
      </c>
      <c r="G748" s="2" t="s">
        <v>725</v>
      </c>
      <c r="H748" s="2" t="s">
        <v>1759</v>
      </c>
      <c r="I748" s="2" t="s">
        <v>1867</v>
      </c>
      <c r="J748" s="2" t="s">
        <v>1777</v>
      </c>
      <c r="K748" s="2" t="s">
        <v>2224</v>
      </c>
      <c r="L748" s="2" t="s">
        <v>45</v>
      </c>
    </row>
    <row r="749" spans="1:12" ht="64" customHeight="1">
      <c r="A749" s="2" t="s">
        <v>727</v>
      </c>
      <c r="B749" s="2" t="s">
        <v>640</v>
      </c>
      <c r="C749" s="2" t="s">
        <v>724</v>
      </c>
      <c r="D749" s="2" t="s">
        <v>1765</v>
      </c>
      <c r="E749" s="4" t="s">
        <v>351</v>
      </c>
      <c r="F749" s="7" t="s">
        <v>1766</v>
      </c>
      <c r="G749" s="2" t="s">
        <v>725</v>
      </c>
      <c r="H749" s="2" t="s">
        <v>1759</v>
      </c>
      <c r="I749" s="2" t="s">
        <v>1767</v>
      </c>
      <c r="J749" s="2"/>
      <c r="K749" t="s">
        <v>1954</v>
      </c>
    </row>
    <row r="750" spans="1:12" ht="37" customHeight="1">
      <c r="A750" s="2" t="s">
        <v>730</v>
      </c>
      <c r="B750" s="2" t="s">
        <v>640</v>
      </c>
      <c r="C750" s="2" t="s">
        <v>729</v>
      </c>
      <c r="D750" s="2" t="s">
        <v>1757</v>
      </c>
      <c r="E750" s="4">
        <v>0.7</v>
      </c>
      <c r="F750" s="7" t="s">
        <v>1758</v>
      </c>
      <c r="G750" s="2" t="s">
        <v>663</v>
      </c>
      <c r="H750" s="2" t="s">
        <v>1759</v>
      </c>
      <c r="I750" s="2" t="s">
        <v>2226</v>
      </c>
      <c r="J750" s="2" t="s">
        <v>1781</v>
      </c>
      <c r="K750" s="2" t="s">
        <v>2187</v>
      </c>
      <c r="L750" s="2" t="s">
        <v>122</v>
      </c>
    </row>
    <row r="751" spans="1:12" ht="37" customHeight="1">
      <c r="A751" s="2" t="s">
        <v>730</v>
      </c>
      <c r="B751" s="2" t="s">
        <v>640</v>
      </c>
      <c r="C751" s="2" t="s">
        <v>729</v>
      </c>
      <c r="D751" s="2" t="s">
        <v>254</v>
      </c>
      <c r="E751" s="5">
        <v>0.25</v>
      </c>
      <c r="F751" s="7" t="s">
        <v>1758</v>
      </c>
      <c r="G751" s="2" t="s">
        <v>663</v>
      </c>
      <c r="H751" s="2" t="s">
        <v>1759</v>
      </c>
      <c r="I751" s="2" t="s">
        <v>2226</v>
      </c>
      <c r="J751" s="2" t="s">
        <v>1781</v>
      </c>
      <c r="K751" s="2" t="s">
        <v>2187</v>
      </c>
      <c r="L751" s="2" t="s">
        <v>122</v>
      </c>
    </row>
    <row r="752" spans="1:12" ht="37" customHeight="1">
      <c r="A752" s="2" t="s">
        <v>730</v>
      </c>
      <c r="B752" s="2" t="s">
        <v>640</v>
      </c>
      <c r="C752" s="2" t="s">
        <v>729</v>
      </c>
      <c r="D752" s="2" t="s">
        <v>124</v>
      </c>
      <c r="E752" s="11">
        <v>1</v>
      </c>
      <c r="F752" s="20" t="s">
        <v>1763</v>
      </c>
      <c r="G752" s="21" t="s">
        <v>663</v>
      </c>
      <c r="H752" s="21" t="s">
        <v>1779</v>
      </c>
      <c r="I752" s="2" t="s">
        <v>2221</v>
      </c>
      <c r="J752" s="2" t="s">
        <v>1781</v>
      </c>
      <c r="K752" s="2" t="s">
        <v>2227</v>
      </c>
      <c r="L752" s="2" t="s">
        <v>122</v>
      </c>
    </row>
    <row r="753" spans="1:12" ht="64" customHeight="1">
      <c r="A753" s="2" t="s">
        <v>730</v>
      </c>
      <c r="B753" s="2" t="s">
        <v>640</v>
      </c>
      <c r="C753" s="2" t="s">
        <v>729</v>
      </c>
      <c r="D753" s="2" t="s">
        <v>65</v>
      </c>
      <c r="E753" s="11">
        <v>0</v>
      </c>
      <c r="F753" s="20" t="s">
        <v>1763</v>
      </c>
      <c r="G753" s="21" t="s">
        <v>663</v>
      </c>
      <c r="H753" s="21" t="s">
        <v>1779</v>
      </c>
      <c r="I753" s="2" t="s">
        <v>2221</v>
      </c>
      <c r="J753" s="2" t="s">
        <v>1781</v>
      </c>
      <c r="K753" s="2" t="s">
        <v>2228</v>
      </c>
      <c r="L753" s="2" t="s">
        <v>122</v>
      </c>
    </row>
    <row r="754" spans="1:12" ht="64" customHeight="1">
      <c r="A754" s="2" t="s">
        <v>730</v>
      </c>
      <c r="B754" s="2" t="s">
        <v>640</v>
      </c>
      <c r="C754" s="2" t="s">
        <v>729</v>
      </c>
      <c r="D754" s="2" t="s">
        <v>222</v>
      </c>
      <c r="E754" s="5">
        <v>0.17</v>
      </c>
      <c r="F754" s="7" t="s">
        <v>1764</v>
      </c>
      <c r="G754" s="2" t="s">
        <v>663</v>
      </c>
      <c r="H754" s="2" t="s">
        <v>1759</v>
      </c>
      <c r="I754" s="2" t="s">
        <v>2226</v>
      </c>
      <c r="J754" s="2" t="s">
        <v>1781</v>
      </c>
      <c r="K754" s="2" t="s">
        <v>2187</v>
      </c>
      <c r="L754" s="2" t="s">
        <v>122</v>
      </c>
    </row>
    <row r="755" spans="1:12" ht="37" customHeight="1">
      <c r="A755" s="2" t="s">
        <v>730</v>
      </c>
      <c r="B755" s="2" t="s">
        <v>640</v>
      </c>
      <c r="C755" s="2" t="s">
        <v>729</v>
      </c>
      <c r="D755" s="2" t="s">
        <v>1765</v>
      </c>
      <c r="E755" s="5" t="s">
        <v>172</v>
      </c>
      <c r="F755" s="7" t="s">
        <v>1766</v>
      </c>
      <c r="G755" s="2" t="s">
        <v>663</v>
      </c>
      <c r="H755" s="2" t="s">
        <v>1759</v>
      </c>
      <c r="I755" s="2" t="s">
        <v>1767</v>
      </c>
      <c r="J755" s="2"/>
      <c r="K755" t="s">
        <v>1954</v>
      </c>
    </row>
    <row r="756" spans="1:12" ht="34" customHeight="1">
      <c r="A756" s="2" t="s">
        <v>733</v>
      </c>
      <c r="B756" s="2" t="s">
        <v>640</v>
      </c>
      <c r="C756" s="2" t="s">
        <v>731</v>
      </c>
      <c r="D756" s="2" t="s">
        <v>1757</v>
      </c>
      <c r="E756" s="4">
        <v>0.7</v>
      </c>
      <c r="F756" s="7" t="s">
        <v>1758</v>
      </c>
      <c r="G756" s="2" t="s">
        <v>671</v>
      </c>
      <c r="H756" s="2" t="s">
        <v>1759</v>
      </c>
      <c r="I756" s="2" t="s">
        <v>1867</v>
      </c>
      <c r="J756" s="2" t="s">
        <v>1777</v>
      </c>
      <c r="K756" s="2" t="s">
        <v>2229</v>
      </c>
      <c r="L756" s="2" t="s">
        <v>45</v>
      </c>
    </row>
    <row r="757" spans="1:12" ht="34" customHeight="1">
      <c r="A757" s="2" t="s">
        <v>733</v>
      </c>
      <c r="B757" s="2" t="s">
        <v>640</v>
      </c>
      <c r="C757" s="2" t="s">
        <v>731</v>
      </c>
      <c r="D757" s="2" t="s">
        <v>254</v>
      </c>
      <c r="E757" s="4">
        <v>0.2</v>
      </c>
      <c r="F757" s="7" t="s">
        <v>1758</v>
      </c>
      <c r="G757" s="2" t="s">
        <v>671</v>
      </c>
      <c r="H757" s="2" t="s">
        <v>1759</v>
      </c>
      <c r="I757" s="2" t="s">
        <v>1867</v>
      </c>
      <c r="J757" s="2" t="s">
        <v>1777</v>
      </c>
      <c r="K757" s="2" t="s">
        <v>2229</v>
      </c>
      <c r="L757" s="2" t="s">
        <v>45</v>
      </c>
    </row>
    <row r="758" spans="1:12" ht="34" customHeight="1">
      <c r="A758" s="2" t="s">
        <v>733</v>
      </c>
      <c r="B758" s="2" t="s">
        <v>640</v>
      </c>
      <c r="C758" s="2" t="s">
        <v>731</v>
      </c>
      <c r="D758" s="2" t="s">
        <v>124</v>
      </c>
      <c r="E758" s="6">
        <v>1</v>
      </c>
      <c r="F758" s="7" t="s">
        <v>1763</v>
      </c>
      <c r="G758" s="2" t="s">
        <v>671</v>
      </c>
      <c r="H758" s="2" t="s">
        <v>1759</v>
      </c>
      <c r="I758" s="2" t="s">
        <v>1867</v>
      </c>
      <c r="J758" s="2" t="s">
        <v>1777</v>
      </c>
      <c r="K758" s="2" t="s">
        <v>2229</v>
      </c>
      <c r="L758" s="2" t="s">
        <v>45</v>
      </c>
    </row>
    <row r="759" spans="1:12" ht="34" customHeight="1">
      <c r="A759" s="2" t="s">
        <v>733</v>
      </c>
      <c r="B759" s="2" t="s">
        <v>640</v>
      </c>
      <c r="C759" s="2" t="s">
        <v>731</v>
      </c>
      <c r="D759" s="2" t="s">
        <v>65</v>
      </c>
      <c r="E759" s="11">
        <v>0</v>
      </c>
      <c r="F759" s="20" t="s">
        <v>1763</v>
      </c>
      <c r="G759" s="21" t="s">
        <v>671</v>
      </c>
      <c r="H759" s="21" t="s">
        <v>1779</v>
      </c>
      <c r="I759" s="2" t="s">
        <v>2230</v>
      </c>
      <c r="J759" s="2" t="s">
        <v>2231</v>
      </c>
      <c r="K759" s="2" t="s">
        <v>2232</v>
      </c>
      <c r="L759" s="2" t="s">
        <v>45</v>
      </c>
    </row>
    <row r="760" spans="1:12" ht="34" customHeight="1">
      <c r="A760" s="2" t="s">
        <v>733</v>
      </c>
      <c r="B760" s="2" t="s">
        <v>640</v>
      </c>
      <c r="C760" s="2" t="s">
        <v>731</v>
      </c>
      <c r="D760" s="2" t="s">
        <v>222</v>
      </c>
      <c r="E760" s="5">
        <v>0.15</v>
      </c>
      <c r="F760" s="7" t="s">
        <v>1764</v>
      </c>
      <c r="G760" s="2" t="s">
        <v>671</v>
      </c>
      <c r="H760" s="2" t="s">
        <v>1759</v>
      </c>
      <c r="I760" s="2" t="s">
        <v>1867</v>
      </c>
      <c r="J760" s="2" t="s">
        <v>1777</v>
      </c>
      <c r="K760" s="2" t="s">
        <v>2229</v>
      </c>
      <c r="L760" s="2" t="s">
        <v>45</v>
      </c>
    </row>
    <row r="761" spans="1:12" ht="34" customHeight="1">
      <c r="A761" s="2" t="s">
        <v>733</v>
      </c>
      <c r="B761" s="2" t="s">
        <v>640</v>
      </c>
      <c r="C761" s="2" t="s">
        <v>731</v>
      </c>
      <c r="D761" s="2" t="s">
        <v>1765</v>
      </c>
      <c r="E761" s="5" t="s">
        <v>117</v>
      </c>
      <c r="F761" s="7" t="s">
        <v>1766</v>
      </c>
      <c r="G761" s="2" t="s">
        <v>671</v>
      </c>
      <c r="H761" s="2" t="s">
        <v>1759</v>
      </c>
      <c r="I761" s="2" t="s">
        <v>1767</v>
      </c>
      <c r="J761" s="2"/>
      <c r="K761" t="s">
        <v>2233</v>
      </c>
    </row>
    <row r="762" spans="1:12" ht="34" customHeight="1">
      <c r="A762" s="2" t="s">
        <v>739</v>
      </c>
      <c r="B762" s="2" t="s">
        <v>640</v>
      </c>
      <c r="C762" s="2" t="s">
        <v>737</v>
      </c>
      <c r="D762" s="2" t="s">
        <v>1757</v>
      </c>
      <c r="E762" s="5">
        <v>0.36</v>
      </c>
      <c r="F762" s="7" t="s">
        <v>1758</v>
      </c>
      <c r="G762" s="2" t="s">
        <v>738</v>
      </c>
      <c r="H762" s="2" t="s">
        <v>1759</v>
      </c>
      <c r="I762" s="2" t="s">
        <v>2226</v>
      </c>
      <c r="J762" s="2" t="s">
        <v>1781</v>
      </c>
      <c r="K762" s="2" t="s">
        <v>2234</v>
      </c>
      <c r="L762" s="2" t="s">
        <v>122</v>
      </c>
    </row>
    <row r="763" spans="1:12" ht="34" customHeight="1">
      <c r="A763" s="2" t="s">
        <v>739</v>
      </c>
      <c r="B763" s="2" t="s">
        <v>640</v>
      </c>
      <c r="C763" s="2" t="s">
        <v>737</v>
      </c>
      <c r="D763" s="2" t="s">
        <v>254</v>
      </c>
      <c r="E763" s="5">
        <v>0.08</v>
      </c>
      <c r="F763" s="7" t="s">
        <v>1758</v>
      </c>
      <c r="G763" s="2" t="s">
        <v>738</v>
      </c>
      <c r="H763" s="2" t="s">
        <v>1759</v>
      </c>
      <c r="I763" s="2" t="s">
        <v>2226</v>
      </c>
      <c r="J763" s="2" t="s">
        <v>1781</v>
      </c>
      <c r="K763" s="2" t="s">
        <v>2234</v>
      </c>
      <c r="L763" s="2" t="s">
        <v>122</v>
      </c>
    </row>
    <row r="764" spans="1:12" ht="34" customHeight="1">
      <c r="A764" s="2" t="s">
        <v>739</v>
      </c>
      <c r="B764" s="2" t="s">
        <v>640</v>
      </c>
      <c r="C764" s="2" t="s">
        <v>737</v>
      </c>
      <c r="D764" s="2" t="s">
        <v>124</v>
      </c>
      <c r="E764" s="7"/>
      <c r="F764" s="7" t="s">
        <v>1763</v>
      </c>
      <c r="G764" s="2" t="s">
        <v>738</v>
      </c>
      <c r="H764" s="2" t="s">
        <v>1773</v>
      </c>
      <c r="I764" s="2"/>
      <c r="J764" s="2"/>
      <c r="K764" s="2" t="s">
        <v>2234</v>
      </c>
      <c r="L764" s="2" t="s">
        <v>122</v>
      </c>
    </row>
    <row r="765" spans="1:12" ht="34" customHeight="1">
      <c r="A765" s="2" t="s">
        <v>739</v>
      </c>
      <c r="B765" s="2" t="s">
        <v>640</v>
      </c>
      <c r="C765" s="2" t="s">
        <v>737</v>
      </c>
      <c r="D765" s="2" t="s">
        <v>65</v>
      </c>
      <c r="E765" s="7"/>
      <c r="F765" s="7" t="s">
        <v>1763</v>
      </c>
      <c r="G765" s="2" t="s">
        <v>738</v>
      </c>
      <c r="H765" s="2" t="s">
        <v>1773</v>
      </c>
      <c r="I765" s="2"/>
      <c r="J765" s="2"/>
      <c r="K765" s="2" t="s">
        <v>2234</v>
      </c>
      <c r="L765" s="2" t="s">
        <v>122</v>
      </c>
    </row>
    <row r="766" spans="1:12" ht="50.5" customHeight="1">
      <c r="A766" s="2" t="s">
        <v>739</v>
      </c>
      <c r="B766" s="2" t="s">
        <v>640</v>
      </c>
      <c r="C766" s="2" t="s">
        <v>737</v>
      </c>
      <c r="D766" s="2" t="s">
        <v>222</v>
      </c>
      <c r="E766" s="5">
        <v>0.03</v>
      </c>
      <c r="F766" s="7" t="s">
        <v>1764</v>
      </c>
      <c r="G766" s="2" t="s">
        <v>738</v>
      </c>
      <c r="H766" s="2" t="s">
        <v>1759</v>
      </c>
      <c r="I766" s="2" t="s">
        <v>2226</v>
      </c>
      <c r="J766" s="2" t="s">
        <v>1781</v>
      </c>
      <c r="K766" s="2" t="s">
        <v>2234</v>
      </c>
      <c r="L766" s="2" t="s">
        <v>122</v>
      </c>
    </row>
    <row r="767" spans="1:12" ht="50.5" customHeight="1">
      <c r="A767" s="2" t="s">
        <v>739</v>
      </c>
      <c r="B767" s="2" t="s">
        <v>640</v>
      </c>
      <c r="C767" s="2" t="s">
        <v>737</v>
      </c>
      <c r="D767" s="2" t="s">
        <v>1765</v>
      </c>
      <c r="E767" s="5" t="s">
        <v>117</v>
      </c>
      <c r="F767" s="7" t="s">
        <v>1766</v>
      </c>
      <c r="G767" s="2" t="s">
        <v>738</v>
      </c>
      <c r="H767" s="2" t="s">
        <v>1759</v>
      </c>
      <c r="I767" s="2" t="s">
        <v>1767</v>
      </c>
      <c r="J767" s="2"/>
      <c r="K767" t="s">
        <v>2235</v>
      </c>
    </row>
    <row r="768" spans="1:12" ht="77.5" customHeight="1">
      <c r="A768" s="2" t="s">
        <v>741</v>
      </c>
      <c r="B768" s="2" t="s">
        <v>640</v>
      </c>
      <c r="C768" s="2" t="s">
        <v>740</v>
      </c>
      <c r="D768" s="2" t="s">
        <v>1757</v>
      </c>
      <c r="E768" s="5">
        <v>0.36</v>
      </c>
      <c r="F768" s="7" t="s">
        <v>1758</v>
      </c>
      <c r="G768" s="2" t="s">
        <v>663</v>
      </c>
      <c r="H768" s="2" t="s">
        <v>1759</v>
      </c>
      <c r="I768" s="2" t="s">
        <v>2226</v>
      </c>
      <c r="J768" s="2" t="s">
        <v>1781</v>
      </c>
      <c r="K768" s="2" t="s">
        <v>2236</v>
      </c>
      <c r="L768" s="2" t="s">
        <v>122</v>
      </c>
    </row>
    <row r="769" spans="1:12" ht="77.5" customHeight="1">
      <c r="A769" s="2" t="s">
        <v>741</v>
      </c>
      <c r="B769" s="2" t="s">
        <v>640</v>
      </c>
      <c r="C769" s="2" t="s">
        <v>740</v>
      </c>
      <c r="D769" s="2" t="s">
        <v>254</v>
      </c>
      <c r="E769" s="5">
        <v>0.08</v>
      </c>
      <c r="F769" s="7" t="s">
        <v>1758</v>
      </c>
      <c r="G769" s="2" t="s">
        <v>663</v>
      </c>
      <c r="H769" s="2" t="s">
        <v>1759</v>
      </c>
      <c r="I769" s="2" t="s">
        <v>2226</v>
      </c>
      <c r="J769" s="2" t="s">
        <v>1781</v>
      </c>
      <c r="K769" s="2" t="s">
        <v>2236</v>
      </c>
      <c r="L769" s="2" t="s">
        <v>122</v>
      </c>
    </row>
    <row r="770" spans="1:12" ht="50.5" customHeight="1">
      <c r="A770" s="2" t="s">
        <v>741</v>
      </c>
      <c r="B770" s="2" t="s">
        <v>640</v>
      </c>
      <c r="C770" s="2" t="s">
        <v>740</v>
      </c>
      <c r="D770" s="2" t="s">
        <v>124</v>
      </c>
      <c r="E770" s="11">
        <v>1</v>
      </c>
      <c r="F770" s="20" t="s">
        <v>1763</v>
      </c>
      <c r="G770" s="21" t="s">
        <v>663</v>
      </c>
      <c r="H770" s="21" t="s">
        <v>1779</v>
      </c>
      <c r="I770" s="2" t="s">
        <v>2221</v>
      </c>
      <c r="J770" s="2" t="s">
        <v>1781</v>
      </c>
      <c r="K770" s="2" t="s">
        <v>2237</v>
      </c>
      <c r="L770" s="2" t="s">
        <v>122</v>
      </c>
    </row>
    <row r="771" spans="1:12" ht="77.5" customHeight="1">
      <c r="A771" s="2" t="s">
        <v>741</v>
      </c>
      <c r="B771" s="2" t="s">
        <v>640</v>
      </c>
      <c r="C771" s="2" t="s">
        <v>740</v>
      </c>
      <c r="D771" s="2" t="s">
        <v>65</v>
      </c>
      <c r="E771" s="11">
        <v>0</v>
      </c>
      <c r="F771" s="20" t="s">
        <v>1763</v>
      </c>
      <c r="G771" s="21" t="s">
        <v>663</v>
      </c>
      <c r="H771" s="21" t="s">
        <v>1779</v>
      </c>
      <c r="I771" s="2" t="s">
        <v>2221</v>
      </c>
      <c r="J771" s="2" t="s">
        <v>1781</v>
      </c>
      <c r="K771" s="2" t="s">
        <v>2238</v>
      </c>
      <c r="L771" s="2" t="s">
        <v>122</v>
      </c>
    </row>
    <row r="772" spans="1:12" ht="77.5" customHeight="1">
      <c r="A772" s="2" t="s">
        <v>741</v>
      </c>
      <c r="B772" s="2" t="s">
        <v>640</v>
      </c>
      <c r="C772" s="2" t="s">
        <v>740</v>
      </c>
      <c r="D772" s="2" t="s">
        <v>222</v>
      </c>
      <c r="E772" s="8">
        <v>3.5000000000000003E-2</v>
      </c>
      <c r="F772" s="7" t="s">
        <v>1764</v>
      </c>
      <c r="G772" s="2" t="s">
        <v>663</v>
      </c>
      <c r="H772" s="2" t="s">
        <v>1759</v>
      </c>
      <c r="I772" s="2" t="s">
        <v>2226</v>
      </c>
      <c r="J772" s="2" t="s">
        <v>1781</v>
      </c>
      <c r="K772" s="2" t="s">
        <v>2236</v>
      </c>
      <c r="L772" s="2" t="s">
        <v>122</v>
      </c>
    </row>
    <row r="773" spans="1:12" ht="104.5" customHeight="1">
      <c r="A773" s="2" t="s">
        <v>741</v>
      </c>
      <c r="B773" s="2" t="s">
        <v>640</v>
      </c>
      <c r="C773" s="2" t="s">
        <v>740</v>
      </c>
      <c r="D773" s="2" t="s">
        <v>1765</v>
      </c>
      <c r="E773" s="8" t="s">
        <v>662</v>
      </c>
      <c r="F773" s="7" t="s">
        <v>1766</v>
      </c>
      <c r="G773" s="2" t="s">
        <v>663</v>
      </c>
      <c r="H773" s="2" t="s">
        <v>1759</v>
      </c>
      <c r="I773" s="2" t="s">
        <v>1767</v>
      </c>
      <c r="J773" s="2"/>
      <c r="K773" t="s">
        <v>1817</v>
      </c>
    </row>
    <row r="774" spans="1:12" ht="104.5" customHeight="1">
      <c r="A774" s="2" t="s">
        <v>750</v>
      </c>
      <c r="B774" s="2" t="s">
        <v>640</v>
      </c>
      <c r="C774" s="2" t="s">
        <v>744</v>
      </c>
      <c r="D774" s="2" t="s">
        <v>1757</v>
      </c>
      <c r="E774" s="5">
        <v>1.06</v>
      </c>
      <c r="F774" s="7" t="s">
        <v>1758</v>
      </c>
      <c r="G774" s="2" t="s">
        <v>746</v>
      </c>
      <c r="H774" s="2" t="s">
        <v>1759</v>
      </c>
      <c r="I774" s="2" t="s">
        <v>2239</v>
      </c>
      <c r="J774" s="2" t="s">
        <v>2240</v>
      </c>
      <c r="K774" s="2" t="s">
        <v>2241</v>
      </c>
      <c r="L774" s="2" t="s">
        <v>35</v>
      </c>
    </row>
    <row r="775" spans="1:12" ht="77.5" customHeight="1">
      <c r="A775" s="2" t="s">
        <v>750</v>
      </c>
      <c r="B775" s="2" t="s">
        <v>640</v>
      </c>
      <c r="C775" s="2" t="s">
        <v>744</v>
      </c>
      <c r="D775" s="2" t="s">
        <v>254</v>
      </c>
      <c r="E775" s="5">
        <v>0.32</v>
      </c>
      <c r="F775" s="7" t="s">
        <v>1758</v>
      </c>
      <c r="G775" s="2" t="s">
        <v>746</v>
      </c>
      <c r="H775" s="2" t="s">
        <v>1759</v>
      </c>
      <c r="I775" s="2" t="s">
        <v>2239</v>
      </c>
      <c r="J775" s="2" t="s">
        <v>2240</v>
      </c>
      <c r="K775" s="2" t="s">
        <v>2241</v>
      </c>
      <c r="L775" s="2" t="s">
        <v>35</v>
      </c>
    </row>
    <row r="776" spans="1:12" ht="34" customHeight="1">
      <c r="A776" s="2" t="s">
        <v>750</v>
      </c>
      <c r="B776" s="2" t="s">
        <v>640</v>
      </c>
      <c r="C776" s="2" t="s">
        <v>744</v>
      </c>
      <c r="D776" s="2" t="s">
        <v>124</v>
      </c>
      <c r="E776" s="7"/>
      <c r="F776" s="7" t="s">
        <v>1763</v>
      </c>
      <c r="G776" s="2" t="s">
        <v>746</v>
      </c>
      <c r="H776" s="2" t="s">
        <v>1773</v>
      </c>
      <c r="I776" s="2"/>
      <c r="J776" s="2"/>
      <c r="K776" s="2" t="s">
        <v>2241</v>
      </c>
      <c r="L776" s="2" t="s">
        <v>35</v>
      </c>
    </row>
    <row r="777" spans="1:12" ht="34" customHeight="1">
      <c r="A777" s="2" t="s">
        <v>750</v>
      </c>
      <c r="B777" s="2" t="s">
        <v>640</v>
      </c>
      <c r="C777" s="2" t="s">
        <v>744</v>
      </c>
      <c r="D777" s="2" t="s">
        <v>65</v>
      </c>
      <c r="E777" s="7"/>
      <c r="F777" s="7" t="s">
        <v>1763</v>
      </c>
      <c r="G777" s="2" t="s">
        <v>746</v>
      </c>
      <c r="H777" s="2" t="s">
        <v>1773</v>
      </c>
      <c r="I777" s="2"/>
      <c r="J777" s="2"/>
      <c r="K777" s="2" t="s">
        <v>2241</v>
      </c>
      <c r="L777" s="2" t="s">
        <v>35</v>
      </c>
    </row>
    <row r="778" spans="1:12" ht="50.5" customHeight="1">
      <c r="A778" s="2" t="s">
        <v>750</v>
      </c>
      <c r="B778" s="2" t="s">
        <v>640</v>
      </c>
      <c r="C778" s="2" t="s">
        <v>744</v>
      </c>
      <c r="D778" s="2" t="s">
        <v>222</v>
      </c>
      <c r="E778" s="4">
        <v>0.3</v>
      </c>
      <c r="F778" s="7" t="s">
        <v>1764</v>
      </c>
      <c r="G778" s="2" t="s">
        <v>746</v>
      </c>
      <c r="H778" s="2" t="s">
        <v>1759</v>
      </c>
      <c r="I778" s="2" t="s">
        <v>2239</v>
      </c>
      <c r="J778" s="2" t="s">
        <v>2240</v>
      </c>
      <c r="K778" s="2" t="s">
        <v>2241</v>
      </c>
      <c r="L778" s="2" t="s">
        <v>35</v>
      </c>
    </row>
    <row r="779" spans="1:12" ht="50.5" customHeight="1">
      <c r="A779" s="2" t="s">
        <v>750</v>
      </c>
      <c r="B779" s="2" t="s">
        <v>640</v>
      </c>
      <c r="C779" s="2" t="s">
        <v>744</v>
      </c>
      <c r="D779" s="2" t="s">
        <v>1765</v>
      </c>
      <c r="E779" s="4" t="s">
        <v>745</v>
      </c>
      <c r="F779" s="7" t="s">
        <v>1766</v>
      </c>
      <c r="G779" s="2" t="s">
        <v>746</v>
      </c>
      <c r="H779" s="2" t="s">
        <v>1759</v>
      </c>
      <c r="I779" s="2" t="s">
        <v>1767</v>
      </c>
      <c r="J779" s="2"/>
      <c r="K779" t="s">
        <v>2242</v>
      </c>
    </row>
    <row r="780" spans="1:12" ht="34" customHeight="1">
      <c r="A780" s="2" t="s">
        <v>755</v>
      </c>
      <c r="B780" s="2" t="s">
        <v>640</v>
      </c>
      <c r="C780" s="2" t="s">
        <v>753</v>
      </c>
      <c r="D780" s="2" t="s">
        <v>1757</v>
      </c>
      <c r="E780" s="4">
        <v>0.4</v>
      </c>
      <c r="F780" s="7" t="s">
        <v>1758</v>
      </c>
      <c r="G780" s="2" t="s">
        <v>754</v>
      </c>
      <c r="H780" s="2" t="s">
        <v>1759</v>
      </c>
      <c r="I780" s="2" t="s">
        <v>2239</v>
      </c>
      <c r="J780" s="2" t="s">
        <v>2240</v>
      </c>
      <c r="K780" s="2" t="s">
        <v>2243</v>
      </c>
      <c r="L780" s="2" t="s">
        <v>35</v>
      </c>
    </row>
    <row r="781" spans="1:12" ht="37" customHeight="1">
      <c r="A781" s="2" t="s">
        <v>755</v>
      </c>
      <c r="B781" s="2" t="s">
        <v>640</v>
      </c>
      <c r="C781" s="2" t="s">
        <v>753</v>
      </c>
      <c r="D781" s="2" t="s">
        <v>254</v>
      </c>
      <c r="E781" s="8">
        <v>0.125</v>
      </c>
      <c r="F781" s="7" t="s">
        <v>1758</v>
      </c>
      <c r="G781" s="2" t="s">
        <v>754</v>
      </c>
      <c r="H781" s="2" t="s">
        <v>1759</v>
      </c>
      <c r="I781" s="2" t="s">
        <v>2239</v>
      </c>
      <c r="J781" s="2" t="s">
        <v>2240</v>
      </c>
      <c r="K781" s="2" t="s">
        <v>2243</v>
      </c>
      <c r="L781" s="2" t="s">
        <v>35</v>
      </c>
    </row>
    <row r="782" spans="1:12" ht="37" customHeight="1">
      <c r="A782" s="2" t="s">
        <v>755</v>
      </c>
      <c r="B782" s="2" t="s">
        <v>640</v>
      </c>
      <c r="C782" s="2" t="s">
        <v>753</v>
      </c>
      <c r="D782" s="2" t="s">
        <v>124</v>
      </c>
      <c r="E782" s="7"/>
      <c r="F782" s="7" t="s">
        <v>1763</v>
      </c>
      <c r="G782" s="2" t="s">
        <v>754</v>
      </c>
      <c r="H782" s="2" t="s">
        <v>1773</v>
      </c>
      <c r="I782" s="2"/>
      <c r="J782" s="2"/>
      <c r="K782" s="2" t="s">
        <v>2243</v>
      </c>
      <c r="L782" s="2" t="s">
        <v>35</v>
      </c>
    </row>
    <row r="783" spans="1:12" ht="37" customHeight="1">
      <c r="A783" s="2" t="s">
        <v>755</v>
      </c>
      <c r="B783" s="2" t="s">
        <v>640</v>
      </c>
      <c r="C783" s="2" t="s">
        <v>753</v>
      </c>
      <c r="D783" s="2" t="s">
        <v>65</v>
      </c>
      <c r="E783" s="7"/>
      <c r="F783" s="7" t="s">
        <v>1763</v>
      </c>
      <c r="G783" s="2" t="s">
        <v>754</v>
      </c>
      <c r="H783" s="2" t="s">
        <v>1773</v>
      </c>
      <c r="I783" s="2"/>
      <c r="J783" s="2"/>
      <c r="K783" s="2" t="s">
        <v>2243</v>
      </c>
      <c r="L783" s="2" t="s">
        <v>35</v>
      </c>
    </row>
    <row r="784" spans="1:12" ht="64" customHeight="1">
      <c r="A784" s="2" t="s">
        <v>755</v>
      </c>
      <c r="B784" s="2" t="s">
        <v>640</v>
      </c>
      <c r="C784" s="2" t="s">
        <v>753</v>
      </c>
      <c r="D784" s="2" t="s">
        <v>222</v>
      </c>
      <c r="E784" s="4">
        <v>1.2</v>
      </c>
      <c r="F784" s="7" t="s">
        <v>1764</v>
      </c>
      <c r="G784" s="2" t="s">
        <v>754</v>
      </c>
      <c r="H784" s="2" t="s">
        <v>1759</v>
      </c>
      <c r="I784" s="2" t="s">
        <v>2239</v>
      </c>
      <c r="J784" s="2" t="s">
        <v>2240</v>
      </c>
      <c r="K784" s="2" t="s">
        <v>2243</v>
      </c>
      <c r="L784" s="2" t="s">
        <v>35</v>
      </c>
    </row>
    <row r="785" spans="1:12" ht="37" customHeight="1">
      <c r="A785" s="2" t="s">
        <v>755</v>
      </c>
      <c r="B785" s="2" t="s">
        <v>640</v>
      </c>
      <c r="C785" s="2" t="s">
        <v>753</v>
      </c>
      <c r="D785" s="2" t="s">
        <v>1765</v>
      </c>
      <c r="E785" s="4" t="s">
        <v>745</v>
      </c>
      <c r="F785" s="7" t="s">
        <v>1766</v>
      </c>
      <c r="G785" s="2" t="s">
        <v>754</v>
      </c>
      <c r="H785" s="2" t="s">
        <v>1759</v>
      </c>
      <c r="I785" s="2" t="s">
        <v>1767</v>
      </c>
      <c r="J785" s="2"/>
      <c r="K785" t="s">
        <v>2242</v>
      </c>
    </row>
    <row r="786" spans="1:12" ht="37" customHeight="1">
      <c r="A786" s="2" t="s">
        <v>759</v>
      </c>
      <c r="B786" s="2" t="s">
        <v>640</v>
      </c>
      <c r="C786" s="2" t="s">
        <v>756</v>
      </c>
      <c r="D786" s="2" t="s">
        <v>1757</v>
      </c>
      <c r="E786" s="5">
        <v>1.48</v>
      </c>
      <c r="F786" s="7" t="s">
        <v>1758</v>
      </c>
      <c r="G786" s="2" t="s">
        <v>706</v>
      </c>
      <c r="H786" s="2" t="s">
        <v>1759</v>
      </c>
      <c r="I786" s="2" t="s">
        <v>2244</v>
      </c>
      <c r="J786" s="2" t="s">
        <v>2245</v>
      </c>
      <c r="K786" s="2" t="s">
        <v>2246</v>
      </c>
      <c r="L786" s="2" t="s">
        <v>633</v>
      </c>
    </row>
    <row r="787" spans="1:12" ht="37" customHeight="1">
      <c r="A787" s="2" t="s">
        <v>759</v>
      </c>
      <c r="B787" s="2" t="s">
        <v>640</v>
      </c>
      <c r="C787" s="2" t="s">
        <v>756</v>
      </c>
      <c r="D787" s="2" t="s">
        <v>254</v>
      </c>
      <c r="E787" s="5">
        <v>0.67</v>
      </c>
      <c r="F787" s="7" t="s">
        <v>1758</v>
      </c>
      <c r="G787" s="2" t="s">
        <v>706</v>
      </c>
      <c r="H787" s="2" t="s">
        <v>1759</v>
      </c>
      <c r="I787" s="2" t="s">
        <v>2244</v>
      </c>
      <c r="J787" s="2" t="s">
        <v>2245</v>
      </c>
      <c r="K787" s="2" t="s">
        <v>2246</v>
      </c>
      <c r="L787" s="2" t="s">
        <v>633</v>
      </c>
    </row>
    <row r="788" spans="1:12" ht="64" customHeight="1">
      <c r="A788" s="2" t="s">
        <v>759</v>
      </c>
      <c r="B788" s="2" t="s">
        <v>640</v>
      </c>
      <c r="C788" s="2" t="s">
        <v>756</v>
      </c>
      <c r="D788" s="2" t="s">
        <v>124</v>
      </c>
      <c r="E788" s="7" t="s">
        <v>542</v>
      </c>
      <c r="F788" s="7" t="s">
        <v>1763</v>
      </c>
      <c r="G788" s="2" t="s">
        <v>706</v>
      </c>
      <c r="H788" s="2" t="s">
        <v>1759</v>
      </c>
      <c r="I788" s="2" t="s">
        <v>2244</v>
      </c>
      <c r="J788" s="2" t="s">
        <v>2245</v>
      </c>
      <c r="K788" s="2" t="s">
        <v>2246</v>
      </c>
      <c r="L788" s="2" t="s">
        <v>633</v>
      </c>
    </row>
    <row r="789" spans="1:12" ht="64" customHeight="1">
      <c r="A789" s="2" t="s">
        <v>759</v>
      </c>
      <c r="B789" s="2" t="s">
        <v>640</v>
      </c>
      <c r="C789" s="2" t="s">
        <v>756</v>
      </c>
      <c r="D789" s="2" t="s">
        <v>65</v>
      </c>
      <c r="E789" s="7" t="s">
        <v>757</v>
      </c>
      <c r="F789" s="7" t="s">
        <v>1763</v>
      </c>
      <c r="G789" s="2" t="s">
        <v>706</v>
      </c>
      <c r="H789" s="2" t="s">
        <v>1759</v>
      </c>
      <c r="I789" s="2" t="s">
        <v>2244</v>
      </c>
      <c r="J789" s="2" t="s">
        <v>2245</v>
      </c>
      <c r="K789" s="2" t="s">
        <v>2246</v>
      </c>
      <c r="L789" s="2" t="s">
        <v>633</v>
      </c>
    </row>
    <row r="790" spans="1:12" ht="37" customHeight="1">
      <c r="A790" s="2" t="s">
        <v>759</v>
      </c>
      <c r="B790" s="2" t="s">
        <v>640</v>
      </c>
      <c r="C790" s="2" t="s">
        <v>756</v>
      </c>
      <c r="D790" s="2" t="s">
        <v>222</v>
      </c>
      <c r="E790" s="6">
        <v>2</v>
      </c>
      <c r="F790" s="7" t="s">
        <v>1764</v>
      </c>
      <c r="G790" s="2" t="s">
        <v>706</v>
      </c>
      <c r="H790" s="2" t="s">
        <v>1759</v>
      </c>
      <c r="I790" s="2" t="s">
        <v>2244</v>
      </c>
      <c r="J790" s="2" t="s">
        <v>2245</v>
      </c>
      <c r="K790" s="2" t="s">
        <v>2246</v>
      </c>
      <c r="L790" s="2" t="s">
        <v>633</v>
      </c>
    </row>
    <row r="791" spans="1:12" ht="37" customHeight="1">
      <c r="A791" s="2" t="s">
        <v>759</v>
      </c>
      <c r="B791" s="2" t="s">
        <v>640</v>
      </c>
      <c r="C791" s="2" t="s">
        <v>756</v>
      </c>
      <c r="D791" s="2" t="s">
        <v>1765</v>
      </c>
      <c r="E791" s="6" t="s">
        <v>70</v>
      </c>
      <c r="F791" s="7" t="s">
        <v>1766</v>
      </c>
      <c r="G791" s="2" t="s">
        <v>706</v>
      </c>
      <c r="H791" s="2" t="s">
        <v>1759</v>
      </c>
      <c r="I791" s="2" t="s">
        <v>1767</v>
      </c>
      <c r="J791" s="2"/>
      <c r="K791" t="s">
        <v>2247</v>
      </c>
    </row>
    <row r="792" spans="1:12" ht="37" customHeight="1">
      <c r="A792" s="2" t="s">
        <v>766</v>
      </c>
      <c r="B792" s="2" t="s">
        <v>640</v>
      </c>
      <c r="C792" s="2" t="s">
        <v>761</v>
      </c>
      <c r="D792" s="2" t="s">
        <v>1757</v>
      </c>
      <c r="E792" s="5">
        <v>2.4300000000000002</v>
      </c>
      <c r="F792" s="7" t="s">
        <v>1758</v>
      </c>
      <c r="G792" s="2" t="s">
        <v>763</v>
      </c>
      <c r="H792" s="2" t="s">
        <v>1759</v>
      </c>
      <c r="I792" s="2" t="s">
        <v>2248</v>
      </c>
      <c r="J792" s="2" t="s">
        <v>2219</v>
      </c>
      <c r="K792" s="2" t="s">
        <v>2249</v>
      </c>
      <c r="L792" s="2" t="s">
        <v>45</v>
      </c>
    </row>
    <row r="793" spans="1:12" ht="37" customHeight="1">
      <c r="A793" s="2" t="s">
        <v>766</v>
      </c>
      <c r="B793" s="2" t="s">
        <v>640</v>
      </c>
      <c r="C793" s="2" t="s">
        <v>761</v>
      </c>
      <c r="D793" s="2" t="s">
        <v>254</v>
      </c>
      <c r="E793" s="5">
        <v>0.78</v>
      </c>
      <c r="F793" s="7" t="s">
        <v>1758</v>
      </c>
      <c r="G793" s="2" t="s">
        <v>763</v>
      </c>
      <c r="H793" s="2" t="s">
        <v>1759</v>
      </c>
      <c r="I793" s="2" t="s">
        <v>2248</v>
      </c>
      <c r="J793" s="2" t="s">
        <v>2219</v>
      </c>
      <c r="K793" s="2" t="s">
        <v>2249</v>
      </c>
      <c r="L793" s="2" t="s">
        <v>45</v>
      </c>
    </row>
    <row r="794" spans="1:12" ht="37" customHeight="1">
      <c r="A794" s="2" t="s">
        <v>766</v>
      </c>
      <c r="B794" s="2" t="s">
        <v>640</v>
      </c>
      <c r="C794" s="2" t="s">
        <v>761</v>
      </c>
      <c r="D794" s="2" t="s">
        <v>124</v>
      </c>
      <c r="E794" s="11">
        <v>1</v>
      </c>
      <c r="F794" s="20" t="s">
        <v>1763</v>
      </c>
      <c r="G794" s="21" t="s">
        <v>763</v>
      </c>
      <c r="H794" s="21" t="s">
        <v>1779</v>
      </c>
      <c r="I794" s="2" t="s">
        <v>2250</v>
      </c>
      <c r="J794" s="2" t="s">
        <v>2251</v>
      </c>
      <c r="K794" s="2" t="s">
        <v>2252</v>
      </c>
      <c r="L794" s="2" t="s">
        <v>45</v>
      </c>
    </row>
    <row r="795" spans="1:12" ht="37" customHeight="1">
      <c r="A795" s="2" t="s">
        <v>766</v>
      </c>
      <c r="B795" s="2" t="s">
        <v>640</v>
      </c>
      <c r="C795" s="2" t="s">
        <v>761</v>
      </c>
      <c r="D795" s="2" t="s">
        <v>65</v>
      </c>
      <c r="E795" s="11">
        <v>0</v>
      </c>
      <c r="F795" s="20" t="s">
        <v>1763</v>
      </c>
      <c r="G795" s="21" t="s">
        <v>763</v>
      </c>
      <c r="H795" s="21" t="s">
        <v>1779</v>
      </c>
      <c r="I795" s="2" t="s">
        <v>2250</v>
      </c>
      <c r="J795" s="2" t="s">
        <v>2251</v>
      </c>
      <c r="K795" s="2" t="s">
        <v>2253</v>
      </c>
      <c r="L795" s="2" t="s">
        <v>45</v>
      </c>
    </row>
    <row r="796" spans="1:12" ht="37" customHeight="1">
      <c r="A796" s="2" t="s">
        <v>766</v>
      </c>
      <c r="B796" s="2" t="s">
        <v>640</v>
      </c>
      <c r="C796" s="2" t="s">
        <v>761</v>
      </c>
      <c r="D796" s="2" t="s">
        <v>222</v>
      </c>
      <c r="E796" s="6">
        <v>1</v>
      </c>
      <c r="F796" s="7" t="s">
        <v>1764</v>
      </c>
      <c r="G796" s="2" t="s">
        <v>763</v>
      </c>
      <c r="H796" s="2" t="s">
        <v>1759</v>
      </c>
      <c r="I796" s="2" t="s">
        <v>2248</v>
      </c>
      <c r="J796" s="2" t="s">
        <v>2219</v>
      </c>
      <c r="K796" s="2" t="s">
        <v>2249</v>
      </c>
      <c r="L796" s="2" t="s">
        <v>45</v>
      </c>
    </row>
    <row r="797" spans="1:12" ht="37" customHeight="1">
      <c r="A797" s="2" t="s">
        <v>766</v>
      </c>
      <c r="B797" s="2" t="s">
        <v>640</v>
      </c>
      <c r="C797" s="2" t="s">
        <v>761</v>
      </c>
      <c r="D797" s="2" t="s">
        <v>1765</v>
      </c>
      <c r="E797" s="6" t="s">
        <v>762</v>
      </c>
      <c r="F797" s="7" t="s">
        <v>1766</v>
      </c>
      <c r="G797" s="2" t="s">
        <v>763</v>
      </c>
      <c r="H797" s="2" t="s">
        <v>1759</v>
      </c>
      <c r="I797" s="2" t="s">
        <v>1767</v>
      </c>
      <c r="J797" s="2"/>
      <c r="K797" t="s">
        <v>2254</v>
      </c>
    </row>
    <row r="798" spans="1:12" ht="64" customHeight="1">
      <c r="A798" s="2" t="s">
        <v>771</v>
      </c>
      <c r="B798" s="2" t="s">
        <v>640</v>
      </c>
      <c r="C798" s="2" t="s">
        <v>769</v>
      </c>
      <c r="D798" s="2" t="s">
        <v>1757</v>
      </c>
      <c r="E798" s="5">
        <v>0.62</v>
      </c>
      <c r="F798" s="7" t="s">
        <v>1758</v>
      </c>
      <c r="G798" s="2" t="s">
        <v>770</v>
      </c>
      <c r="H798" s="2" t="s">
        <v>1759</v>
      </c>
      <c r="I798" s="2" t="s">
        <v>2255</v>
      </c>
      <c r="J798" s="2" t="s">
        <v>2219</v>
      </c>
      <c r="K798" s="2" t="s">
        <v>2256</v>
      </c>
      <c r="L798" s="2" t="s">
        <v>45</v>
      </c>
    </row>
    <row r="799" spans="1:12" ht="64" customHeight="1">
      <c r="A799" s="2" t="s">
        <v>771</v>
      </c>
      <c r="B799" s="2" t="s">
        <v>640</v>
      </c>
      <c r="C799" s="2" t="s">
        <v>769</v>
      </c>
      <c r="D799" s="2" t="s">
        <v>254</v>
      </c>
      <c r="E799" s="5">
        <v>0.22</v>
      </c>
      <c r="F799" s="7" t="s">
        <v>1758</v>
      </c>
      <c r="G799" s="2" t="s">
        <v>770</v>
      </c>
      <c r="H799" s="2" t="s">
        <v>1759</v>
      </c>
      <c r="I799" s="2" t="s">
        <v>2255</v>
      </c>
      <c r="J799" s="2" t="s">
        <v>2219</v>
      </c>
      <c r="K799" s="2" t="s">
        <v>2256</v>
      </c>
      <c r="L799" s="2" t="s">
        <v>45</v>
      </c>
    </row>
    <row r="800" spans="1:12" ht="37" customHeight="1">
      <c r="A800" s="2" t="s">
        <v>771</v>
      </c>
      <c r="B800" s="2" t="s">
        <v>640</v>
      </c>
      <c r="C800" s="2" t="s">
        <v>769</v>
      </c>
      <c r="D800" s="2" t="s">
        <v>124</v>
      </c>
      <c r="E800" s="11">
        <v>1</v>
      </c>
      <c r="F800" s="20" t="s">
        <v>1763</v>
      </c>
      <c r="G800" s="21" t="s">
        <v>770</v>
      </c>
      <c r="H800" s="21" t="s">
        <v>1779</v>
      </c>
      <c r="I800" s="2" t="s">
        <v>2221</v>
      </c>
      <c r="J800" s="2" t="s">
        <v>1781</v>
      </c>
      <c r="K800" s="2" t="s">
        <v>2257</v>
      </c>
      <c r="L800" s="2" t="s">
        <v>45</v>
      </c>
    </row>
    <row r="801" spans="1:12" ht="34" customHeight="1">
      <c r="A801" s="2" t="s">
        <v>771</v>
      </c>
      <c r="B801" s="2" t="s">
        <v>640</v>
      </c>
      <c r="C801" s="2" t="s">
        <v>769</v>
      </c>
      <c r="D801" s="2" t="s">
        <v>65</v>
      </c>
      <c r="E801" s="11">
        <v>0</v>
      </c>
      <c r="F801" s="20" t="s">
        <v>1763</v>
      </c>
      <c r="G801" s="21" t="s">
        <v>770</v>
      </c>
      <c r="H801" s="21" t="s">
        <v>1779</v>
      </c>
      <c r="I801" s="2" t="s">
        <v>2221</v>
      </c>
      <c r="J801" s="2" t="s">
        <v>1781</v>
      </c>
      <c r="K801" s="2" t="s">
        <v>2258</v>
      </c>
      <c r="L801" s="2" t="s">
        <v>45</v>
      </c>
    </row>
    <row r="802" spans="1:12" ht="34" customHeight="1">
      <c r="A802" s="2" t="s">
        <v>771</v>
      </c>
      <c r="B802" s="2" t="s">
        <v>640</v>
      </c>
      <c r="C802" s="2" t="s">
        <v>769</v>
      </c>
      <c r="D802" s="2" t="s">
        <v>222</v>
      </c>
      <c r="E802" s="5">
        <v>0.04</v>
      </c>
      <c r="F802" s="7" t="s">
        <v>1764</v>
      </c>
      <c r="G802" s="2" t="s">
        <v>770</v>
      </c>
      <c r="H802" s="2" t="s">
        <v>1759</v>
      </c>
      <c r="I802" s="2" t="s">
        <v>2255</v>
      </c>
      <c r="J802" s="2" t="s">
        <v>2219</v>
      </c>
      <c r="K802" s="2" t="s">
        <v>2256</v>
      </c>
      <c r="L802" s="2" t="s">
        <v>45</v>
      </c>
    </row>
    <row r="803" spans="1:12" ht="37" customHeight="1">
      <c r="A803" s="2" t="s">
        <v>771</v>
      </c>
      <c r="B803" s="2" t="s">
        <v>640</v>
      </c>
      <c r="C803" s="2" t="s">
        <v>769</v>
      </c>
      <c r="D803" s="2" t="s">
        <v>1765</v>
      </c>
      <c r="E803" s="5" t="s">
        <v>117</v>
      </c>
      <c r="F803" s="7" t="s">
        <v>1766</v>
      </c>
      <c r="G803" s="2" t="s">
        <v>770</v>
      </c>
      <c r="H803" s="2" t="s">
        <v>1759</v>
      </c>
      <c r="I803" s="2" t="s">
        <v>1767</v>
      </c>
      <c r="J803" s="2"/>
      <c r="K803" t="s">
        <v>2259</v>
      </c>
    </row>
    <row r="804" spans="1:12" ht="37" customHeight="1">
      <c r="A804" s="2" t="s">
        <v>777</v>
      </c>
      <c r="B804" s="2" t="s">
        <v>640</v>
      </c>
      <c r="C804" s="2" t="s">
        <v>773</v>
      </c>
      <c r="D804" s="2" t="s">
        <v>1757</v>
      </c>
      <c r="E804" s="6">
        <v>5</v>
      </c>
      <c r="F804" s="7" t="s">
        <v>1758</v>
      </c>
      <c r="G804" s="2" t="s">
        <v>774</v>
      </c>
      <c r="H804" s="2" t="s">
        <v>1759</v>
      </c>
      <c r="I804" s="2" t="s">
        <v>2260</v>
      </c>
      <c r="J804" s="2" t="s">
        <v>2261</v>
      </c>
      <c r="K804" s="2" t="s">
        <v>2262</v>
      </c>
      <c r="L804" s="2" t="s">
        <v>778</v>
      </c>
    </row>
    <row r="805" spans="1:12" ht="34" customHeight="1">
      <c r="A805" s="2" t="s">
        <v>777</v>
      </c>
      <c r="B805" s="2" t="s">
        <v>640</v>
      </c>
      <c r="C805" s="2" t="s">
        <v>773</v>
      </c>
      <c r="D805" s="2" t="s">
        <v>254</v>
      </c>
      <c r="E805" s="6">
        <v>2</v>
      </c>
      <c r="F805" s="7" t="s">
        <v>1758</v>
      </c>
      <c r="G805" s="2" t="s">
        <v>774</v>
      </c>
      <c r="H805" s="2" t="s">
        <v>1759</v>
      </c>
      <c r="I805" s="2" t="s">
        <v>2260</v>
      </c>
      <c r="J805" s="2" t="s">
        <v>2261</v>
      </c>
      <c r="K805" s="2" t="s">
        <v>2262</v>
      </c>
      <c r="L805" s="2" t="s">
        <v>778</v>
      </c>
    </row>
    <row r="806" spans="1:12" ht="37" customHeight="1">
      <c r="A806" s="2" t="s">
        <v>777</v>
      </c>
      <c r="B806" s="2" t="s">
        <v>640</v>
      </c>
      <c r="C806" s="2" t="s">
        <v>773</v>
      </c>
      <c r="D806" s="2" t="s">
        <v>124</v>
      </c>
      <c r="E806" s="11">
        <v>1</v>
      </c>
      <c r="F806" s="20" t="s">
        <v>1763</v>
      </c>
      <c r="G806" s="21" t="s">
        <v>774</v>
      </c>
      <c r="H806" s="21" t="s">
        <v>1779</v>
      </c>
      <c r="I806" s="2" t="s">
        <v>2263</v>
      </c>
      <c r="J806" s="2" t="s">
        <v>2264</v>
      </c>
      <c r="K806" s="2" t="s">
        <v>2265</v>
      </c>
      <c r="L806" s="2" t="s">
        <v>778</v>
      </c>
    </row>
    <row r="807" spans="1:12" ht="37" customHeight="1">
      <c r="A807" s="2" t="s">
        <v>777</v>
      </c>
      <c r="B807" s="2" t="s">
        <v>640</v>
      </c>
      <c r="C807" s="2" t="s">
        <v>773</v>
      </c>
      <c r="D807" s="2" t="s">
        <v>65</v>
      </c>
      <c r="E807" s="11">
        <v>0</v>
      </c>
      <c r="F807" s="20" t="s">
        <v>1763</v>
      </c>
      <c r="G807" s="21" t="s">
        <v>774</v>
      </c>
      <c r="H807" s="21" t="s">
        <v>1779</v>
      </c>
      <c r="I807" s="2" t="s">
        <v>2263</v>
      </c>
      <c r="J807" s="2" t="s">
        <v>2264</v>
      </c>
      <c r="K807" s="2" t="s">
        <v>2266</v>
      </c>
      <c r="L807" s="2" t="s">
        <v>778</v>
      </c>
    </row>
    <row r="808" spans="1:12" ht="37" customHeight="1">
      <c r="A808" s="2" t="s">
        <v>777</v>
      </c>
      <c r="B808" s="2" t="s">
        <v>640</v>
      </c>
      <c r="C808" s="2" t="s">
        <v>773</v>
      </c>
      <c r="D808" s="2" t="s">
        <v>222</v>
      </c>
      <c r="E808" s="6">
        <v>6</v>
      </c>
      <c r="F808" s="7" t="s">
        <v>1764</v>
      </c>
      <c r="G808" s="2" t="s">
        <v>774</v>
      </c>
      <c r="H808" s="2" t="s">
        <v>1759</v>
      </c>
      <c r="I808" s="2" t="s">
        <v>2260</v>
      </c>
      <c r="J808" s="2" t="s">
        <v>2261</v>
      </c>
      <c r="K808" s="2" t="s">
        <v>2262</v>
      </c>
      <c r="L808" s="2" t="s">
        <v>778</v>
      </c>
    </row>
    <row r="809" spans="1:12" ht="37" customHeight="1">
      <c r="A809" s="2" t="s">
        <v>777</v>
      </c>
      <c r="B809" s="2" t="s">
        <v>640</v>
      </c>
      <c r="C809" s="2" t="s">
        <v>773</v>
      </c>
      <c r="D809" s="2" t="s">
        <v>1765</v>
      </c>
      <c r="E809" s="6" t="s">
        <v>70</v>
      </c>
      <c r="F809" s="7" t="s">
        <v>1766</v>
      </c>
      <c r="G809" s="2" t="s">
        <v>774</v>
      </c>
      <c r="H809" s="2" t="s">
        <v>1759</v>
      </c>
      <c r="I809" s="2" t="s">
        <v>1767</v>
      </c>
      <c r="J809" s="2"/>
      <c r="K809" t="s">
        <v>2267</v>
      </c>
    </row>
    <row r="810" spans="1:12" ht="37" customHeight="1">
      <c r="A810" s="2" t="s">
        <v>781</v>
      </c>
      <c r="B810" s="2" t="s">
        <v>640</v>
      </c>
      <c r="C810" s="2" t="s">
        <v>780</v>
      </c>
      <c r="D810" s="2" t="s">
        <v>1757</v>
      </c>
      <c r="E810" s="6">
        <v>1</v>
      </c>
      <c r="F810" s="7" t="s">
        <v>1758</v>
      </c>
      <c r="G810" s="2" t="s">
        <v>721</v>
      </c>
      <c r="H810" s="2" t="s">
        <v>1759</v>
      </c>
      <c r="I810" s="2" t="s">
        <v>2268</v>
      </c>
      <c r="J810" s="2" t="s">
        <v>2219</v>
      </c>
      <c r="K810" s="2" t="s">
        <v>2269</v>
      </c>
      <c r="L810" s="2" t="s">
        <v>45</v>
      </c>
    </row>
    <row r="811" spans="1:12" ht="34" customHeight="1">
      <c r="A811" s="2" t="s">
        <v>781</v>
      </c>
      <c r="B811" s="2" t="s">
        <v>640</v>
      </c>
      <c r="C811" s="2" t="s">
        <v>780</v>
      </c>
      <c r="D811" s="2" t="s">
        <v>254</v>
      </c>
      <c r="E811" s="5">
        <v>0.15</v>
      </c>
      <c r="F811" s="7" t="s">
        <v>1758</v>
      </c>
      <c r="G811" s="2" t="s">
        <v>721</v>
      </c>
      <c r="H811" s="2" t="s">
        <v>1759</v>
      </c>
      <c r="I811" s="2" t="s">
        <v>2268</v>
      </c>
      <c r="J811" s="2" t="s">
        <v>2219</v>
      </c>
      <c r="K811" s="2" t="s">
        <v>2269</v>
      </c>
      <c r="L811" s="2" t="s">
        <v>45</v>
      </c>
    </row>
    <row r="812" spans="1:12" ht="34" customHeight="1">
      <c r="A812" s="2" t="s">
        <v>781</v>
      </c>
      <c r="B812" s="2" t="s">
        <v>640</v>
      </c>
      <c r="C812" s="2" t="s">
        <v>780</v>
      </c>
      <c r="D812" s="2" t="s">
        <v>124</v>
      </c>
      <c r="E812" s="11">
        <v>1</v>
      </c>
      <c r="F812" s="20" t="s">
        <v>1763</v>
      </c>
      <c r="G812" s="21" t="s">
        <v>721</v>
      </c>
      <c r="H812" s="21" t="s">
        <v>1779</v>
      </c>
      <c r="I812" s="2" t="s">
        <v>2250</v>
      </c>
      <c r="J812" s="2" t="s">
        <v>2251</v>
      </c>
      <c r="K812" s="2" t="s">
        <v>2270</v>
      </c>
      <c r="L812" s="2" t="s">
        <v>45</v>
      </c>
    </row>
    <row r="813" spans="1:12" ht="50.5" customHeight="1">
      <c r="A813" s="2" t="s">
        <v>781</v>
      </c>
      <c r="B813" s="2" t="s">
        <v>640</v>
      </c>
      <c r="C813" s="2" t="s">
        <v>780</v>
      </c>
      <c r="D813" s="2" t="s">
        <v>65</v>
      </c>
      <c r="E813" s="11">
        <v>0</v>
      </c>
      <c r="F813" s="20" t="s">
        <v>1763</v>
      </c>
      <c r="G813" s="21" t="s">
        <v>721</v>
      </c>
      <c r="H813" s="21" t="s">
        <v>1779</v>
      </c>
      <c r="I813" s="2" t="s">
        <v>2250</v>
      </c>
      <c r="J813" s="2" t="s">
        <v>2251</v>
      </c>
      <c r="K813" s="2" t="s">
        <v>2271</v>
      </c>
      <c r="L813" s="2" t="s">
        <v>45</v>
      </c>
    </row>
    <row r="814" spans="1:12" ht="50.5" customHeight="1">
      <c r="A814" s="2" t="s">
        <v>781</v>
      </c>
      <c r="B814" s="2" t="s">
        <v>640</v>
      </c>
      <c r="C814" s="2" t="s">
        <v>780</v>
      </c>
      <c r="D814" s="2" t="s">
        <v>222</v>
      </c>
      <c r="E814" s="5">
        <v>0.15</v>
      </c>
      <c r="F814" s="7" t="s">
        <v>1764</v>
      </c>
      <c r="G814" s="2" t="s">
        <v>721</v>
      </c>
      <c r="H814" s="2" t="s">
        <v>1759</v>
      </c>
      <c r="I814" s="2" t="s">
        <v>2268</v>
      </c>
      <c r="J814" s="2" t="s">
        <v>2219</v>
      </c>
      <c r="K814" s="2" t="s">
        <v>2269</v>
      </c>
      <c r="L814" s="2" t="s">
        <v>45</v>
      </c>
    </row>
    <row r="815" spans="1:12" ht="34" customHeight="1">
      <c r="A815" s="2" t="s">
        <v>781</v>
      </c>
      <c r="B815" s="2" t="s">
        <v>640</v>
      </c>
      <c r="C815" s="2" t="s">
        <v>780</v>
      </c>
      <c r="D815" s="2" t="s">
        <v>1765</v>
      </c>
      <c r="E815" s="5" t="s">
        <v>426</v>
      </c>
      <c r="F815" s="7" t="s">
        <v>1766</v>
      </c>
      <c r="G815" s="2" t="s">
        <v>721</v>
      </c>
      <c r="H815" s="2" t="s">
        <v>1759</v>
      </c>
      <c r="I815" s="2" t="s">
        <v>1767</v>
      </c>
      <c r="J815" s="2"/>
      <c r="K815" t="s">
        <v>2272</v>
      </c>
    </row>
    <row r="816" spans="1:12" ht="64" customHeight="1">
      <c r="A816" s="2" t="s">
        <v>785</v>
      </c>
      <c r="B816" s="2" t="s">
        <v>640</v>
      </c>
      <c r="C816" s="2" t="s">
        <v>782</v>
      </c>
      <c r="D816" s="2" t="s">
        <v>1757</v>
      </c>
      <c r="E816" s="6">
        <v>1</v>
      </c>
      <c r="F816" s="7" t="s">
        <v>1758</v>
      </c>
      <c r="G816" s="2" t="s">
        <v>783</v>
      </c>
      <c r="H816" s="2" t="s">
        <v>1759</v>
      </c>
      <c r="I816" s="2" t="s">
        <v>2273</v>
      </c>
      <c r="J816" s="2" t="s">
        <v>2274</v>
      </c>
      <c r="K816" s="2" t="s">
        <v>2275</v>
      </c>
      <c r="L816" s="2" t="s">
        <v>45</v>
      </c>
    </row>
    <row r="817" spans="1:12" ht="64" customHeight="1">
      <c r="A817" s="2" t="s">
        <v>785</v>
      </c>
      <c r="B817" s="2" t="s">
        <v>640</v>
      </c>
      <c r="C817" s="2" t="s">
        <v>782</v>
      </c>
      <c r="D817" s="2" t="s">
        <v>254</v>
      </c>
      <c r="E817" s="4">
        <v>0.2</v>
      </c>
      <c r="F817" s="7" t="s">
        <v>1758</v>
      </c>
      <c r="G817" s="2" t="s">
        <v>783</v>
      </c>
      <c r="H817" s="2" t="s">
        <v>1759</v>
      </c>
      <c r="I817" s="2" t="s">
        <v>2273</v>
      </c>
      <c r="J817" s="2" t="s">
        <v>2274</v>
      </c>
      <c r="K817" s="2" t="s">
        <v>2275</v>
      </c>
      <c r="L817" s="2" t="s">
        <v>45</v>
      </c>
    </row>
    <row r="818" spans="1:12" ht="64" customHeight="1">
      <c r="A818" s="2" t="s">
        <v>785</v>
      </c>
      <c r="B818" s="2" t="s">
        <v>640</v>
      </c>
      <c r="C818" s="2" t="s">
        <v>782</v>
      </c>
      <c r="D818" s="2" t="s">
        <v>124</v>
      </c>
      <c r="E818" s="11">
        <v>1</v>
      </c>
      <c r="F818" s="20" t="s">
        <v>1763</v>
      </c>
      <c r="G818" s="21" t="s">
        <v>783</v>
      </c>
      <c r="H818" s="21" t="s">
        <v>1779</v>
      </c>
      <c r="I818" s="2" t="s">
        <v>2221</v>
      </c>
      <c r="J818" s="2" t="s">
        <v>1781</v>
      </c>
      <c r="K818" s="2" t="s">
        <v>2276</v>
      </c>
      <c r="L818" s="2" t="s">
        <v>45</v>
      </c>
    </row>
    <row r="819" spans="1:12" ht="64" customHeight="1">
      <c r="A819" s="2" t="s">
        <v>785</v>
      </c>
      <c r="B819" s="2" t="s">
        <v>640</v>
      </c>
      <c r="C819" s="2" t="s">
        <v>782</v>
      </c>
      <c r="D819" s="2" t="s">
        <v>65</v>
      </c>
      <c r="E819" s="11">
        <v>0</v>
      </c>
      <c r="F819" s="20" t="s">
        <v>1763</v>
      </c>
      <c r="G819" s="21" t="s">
        <v>783</v>
      </c>
      <c r="H819" s="21" t="s">
        <v>1779</v>
      </c>
      <c r="I819" s="2" t="s">
        <v>2221</v>
      </c>
      <c r="J819" s="2" t="s">
        <v>1781</v>
      </c>
      <c r="K819" s="2" t="s">
        <v>2277</v>
      </c>
      <c r="L819" s="2" t="s">
        <v>45</v>
      </c>
    </row>
    <row r="820" spans="1:12" ht="64" customHeight="1">
      <c r="A820" s="2" t="s">
        <v>785</v>
      </c>
      <c r="B820" s="2" t="s">
        <v>640</v>
      </c>
      <c r="C820" s="2" t="s">
        <v>782</v>
      </c>
      <c r="D820" s="2" t="s">
        <v>222</v>
      </c>
      <c r="E820" s="5">
        <v>0.12</v>
      </c>
      <c r="F820" s="7" t="s">
        <v>1764</v>
      </c>
      <c r="G820" s="2" t="s">
        <v>783</v>
      </c>
      <c r="H820" s="2" t="s">
        <v>1759</v>
      </c>
      <c r="I820" s="2" t="s">
        <v>2273</v>
      </c>
      <c r="J820" s="2" t="s">
        <v>2274</v>
      </c>
      <c r="K820" s="2" t="s">
        <v>2275</v>
      </c>
      <c r="L820" s="2" t="s">
        <v>45</v>
      </c>
    </row>
    <row r="821" spans="1:12" ht="34" customHeight="1">
      <c r="A821" s="2" t="s">
        <v>785</v>
      </c>
      <c r="B821" s="2" t="s">
        <v>640</v>
      </c>
      <c r="C821" s="2" t="s">
        <v>782</v>
      </c>
      <c r="D821" s="2" t="s">
        <v>1765</v>
      </c>
      <c r="E821" s="5" t="s">
        <v>426</v>
      </c>
      <c r="F821" s="7" t="s">
        <v>1766</v>
      </c>
      <c r="G821" s="2" t="s">
        <v>783</v>
      </c>
      <c r="H821" s="2" t="s">
        <v>1759</v>
      </c>
      <c r="I821" s="2" t="s">
        <v>1767</v>
      </c>
      <c r="J821" s="2"/>
      <c r="K821" t="s">
        <v>2278</v>
      </c>
    </row>
    <row r="822" spans="1:12" ht="34" customHeight="1">
      <c r="A822" s="2" t="s">
        <v>790</v>
      </c>
      <c r="B822" s="2" t="s">
        <v>640</v>
      </c>
      <c r="C822" s="2" t="s">
        <v>786</v>
      </c>
      <c r="D822" s="2" t="s">
        <v>1757</v>
      </c>
      <c r="E822" s="6">
        <v>1</v>
      </c>
      <c r="F822" s="7" t="s">
        <v>1758</v>
      </c>
      <c r="G822" s="2" t="s">
        <v>787</v>
      </c>
      <c r="H822" s="2" t="s">
        <v>1759</v>
      </c>
      <c r="I822" s="2" t="s">
        <v>2279</v>
      </c>
      <c r="J822" s="2" t="s">
        <v>2280</v>
      </c>
      <c r="K822" s="2" t="s">
        <v>2281</v>
      </c>
      <c r="L822" s="2" t="s">
        <v>45</v>
      </c>
    </row>
    <row r="823" spans="1:12" ht="34" customHeight="1">
      <c r="A823" s="2" t="s">
        <v>790</v>
      </c>
      <c r="B823" s="2" t="s">
        <v>640</v>
      </c>
      <c r="C823" s="2" t="s">
        <v>786</v>
      </c>
      <c r="D823" s="2" t="s">
        <v>254</v>
      </c>
      <c r="E823" s="5">
        <v>0.17</v>
      </c>
      <c r="F823" s="7" t="s">
        <v>1758</v>
      </c>
      <c r="G823" s="2" t="s">
        <v>787</v>
      </c>
      <c r="H823" s="2" t="s">
        <v>1759</v>
      </c>
      <c r="I823" s="2" t="s">
        <v>2279</v>
      </c>
      <c r="J823" s="2" t="s">
        <v>2280</v>
      </c>
      <c r="K823" s="2" t="s">
        <v>2281</v>
      </c>
      <c r="L823" s="2" t="s">
        <v>45</v>
      </c>
    </row>
    <row r="824" spans="1:12" ht="34" customHeight="1">
      <c r="A824" s="2" t="s">
        <v>790</v>
      </c>
      <c r="B824" s="2" t="s">
        <v>640</v>
      </c>
      <c r="C824" s="2" t="s">
        <v>786</v>
      </c>
      <c r="D824" s="2" t="s">
        <v>124</v>
      </c>
      <c r="E824" s="11">
        <v>1</v>
      </c>
      <c r="F824" s="20" t="s">
        <v>1763</v>
      </c>
      <c r="G824" s="21" t="s">
        <v>787</v>
      </c>
      <c r="H824" s="21" t="s">
        <v>1779</v>
      </c>
      <c r="I824" s="2" t="s">
        <v>2250</v>
      </c>
      <c r="J824" s="2" t="s">
        <v>2251</v>
      </c>
      <c r="K824" s="2" t="s">
        <v>2282</v>
      </c>
      <c r="L824" s="2" t="s">
        <v>45</v>
      </c>
    </row>
    <row r="825" spans="1:12" ht="34" customHeight="1">
      <c r="A825" s="2" t="s">
        <v>790</v>
      </c>
      <c r="B825" s="2" t="s">
        <v>640</v>
      </c>
      <c r="C825" s="2" t="s">
        <v>786</v>
      </c>
      <c r="D825" s="2" t="s">
        <v>65</v>
      </c>
      <c r="E825" s="11">
        <v>0</v>
      </c>
      <c r="F825" s="20" t="s">
        <v>1763</v>
      </c>
      <c r="G825" s="21" t="s">
        <v>787</v>
      </c>
      <c r="H825" s="21" t="s">
        <v>1779</v>
      </c>
      <c r="I825" s="2" t="s">
        <v>2250</v>
      </c>
      <c r="J825" s="2" t="s">
        <v>2251</v>
      </c>
      <c r="K825" s="2" t="s">
        <v>2283</v>
      </c>
      <c r="L825" s="2" t="s">
        <v>45</v>
      </c>
    </row>
    <row r="826" spans="1:12" ht="37" customHeight="1">
      <c r="A826" s="2" t="s">
        <v>790</v>
      </c>
      <c r="B826" s="2" t="s">
        <v>640</v>
      </c>
      <c r="C826" s="2" t="s">
        <v>786</v>
      </c>
      <c r="D826" s="2" t="s">
        <v>222</v>
      </c>
      <c r="E826" s="5">
        <v>0.35</v>
      </c>
      <c r="F826" s="7" t="s">
        <v>1764</v>
      </c>
      <c r="G826" s="2" t="s">
        <v>787</v>
      </c>
      <c r="H826" s="2" t="s">
        <v>1759</v>
      </c>
      <c r="I826" s="2" t="s">
        <v>2279</v>
      </c>
      <c r="J826" s="2" t="s">
        <v>2280</v>
      </c>
      <c r="K826" s="2" t="s">
        <v>2281</v>
      </c>
      <c r="L826" s="2" t="s">
        <v>45</v>
      </c>
    </row>
    <row r="827" spans="1:12" ht="37" customHeight="1">
      <c r="A827" s="2" t="s">
        <v>790</v>
      </c>
      <c r="B827" s="2" t="s">
        <v>640</v>
      </c>
      <c r="C827" s="2" t="s">
        <v>786</v>
      </c>
      <c r="D827" s="2" t="s">
        <v>1765</v>
      </c>
      <c r="E827" s="5" t="s">
        <v>39</v>
      </c>
      <c r="F827" s="7" t="s">
        <v>1766</v>
      </c>
      <c r="G827" s="2" t="s">
        <v>787</v>
      </c>
      <c r="H827" s="2" t="s">
        <v>1759</v>
      </c>
      <c r="I827" s="2" t="s">
        <v>1767</v>
      </c>
      <c r="J827" s="2"/>
      <c r="K827" t="s">
        <v>2284</v>
      </c>
    </row>
    <row r="828" spans="1:12" ht="37" customHeight="1">
      <c r="A828" s="2" t="s">
        <v>793</v>
      </c>
      <c r="B828" s="2" t="s">
        <v>640</v>
      </c>
      <c r="C828" s="2" t="s">
        <v>792</v>
      </c>
      <c r="D828" s="2" t="s">
        <v>1757</v>
      </c>
      <c r="E828" s="5">
        <v>0.63</v>
      </c>
      <c r="F828" s="7" t="s">
        <v>1758</v>
      </c>
      <c r="G828" s="2" t="s">
        <v>663</v>
      </c>
      <c r="H828" s="2" t="s">
        <v>1759</v>
      </c>
      <c r="I828" s="2" t="s">
        <v>2226</v>
      </c>
      <c r="J828" s="2" t="s">
        <v>1781</v>
      </c>
      <c r="K828" s="2" t="s">
        <v>2187</v>
      </c>
      <c r="L828" s="2" t="s">
        <v>122</v>
      </c>
    </row>
    <row r="829" spans="1:12" ht="37" customHeight="1">
      <c r="A829" s="2" t="s">
        <v>793</v>
      </c>
      <c r="B829" s="2" t="s">
        <v>640</v>
      </c>
      <c r="C829" s="2" t="s">
        <v>792</v>
      </c>
      <c r="D829" s="2" t="s">
        <v>254</v>
      </c>
      <c r="E829" s="5">
        <v>0.15</v>
      </c>
      <c r="F829" s="7" t="s">
        <v>1758</v>
      </c>
      <c r="G829" s="2" t="s">
        <v>663</v>
      </c>
      <c r="H829" s="2" t="s">
        <v>1759</v>
      </c>
      <c r="I829" s="2" t="s">
        <v>2226</v>
      </c>
      <c r="J829" s="2" t="s">
        <v>1781</v>
      </c>
      <c r="K829" s="2" t="s">
        <v>2187</v>
      </c>
      <c r="L829" s="2" t="s">
        <v>122</v>
      </c>
    </row>
    <row r="830" spans="1:12" ht="37" customHeight="1">
      <c r="A830" s="2" t="s">
        <v>793</v>
      </c>
      <c r="B830" s="2" t="s">
        <v>640</v>
      </c>
      <c r="C830" s="2" t="s">
        <v>792</v>
      </c>
      <c r="D830" s="2" t="s">
        <v>124</v>
      </c>
      <c r="E830" s="11">
        <v>1</v>
      </c>
      <c r="F830" s="20" t="s">
        <v>1763</v>
      </c>
      <c r="G830" s="21" t="s">
        <v>663</v>
      </c>
      <c r="H830" s="21" t="s">
        <v>1779</v>
      </c>
      <c r="I830" s="2" t="s">
        <v>2221</v>
      </c>
      <c r="J830" s="2" t="s">
        <v>1781</v>
      </c>
      <c r="K830" s="2" t="s">
        <v>2227</v>
      </c>
      <c r="L830" s="2" t="s">
        <v>122</v>
      </c>
    </row>
    <row r="831" spans="1:12" ht="34" customHeight="1">
      <c r="A831" s="2" t="s">
        <v>793</v>
      </c>
      <c r="B831" s="2" t="s">
        <v>640</v>
      </c>
      <c r="C831" s="2" t="s">
        <v>792</v>
      </c>
      <c r="D831" s="2" t="s">
        <v>65</v>
      </c>
      <c r="E831" s="11">
        <v>0</v>
      </c>
      <c r="F831" s="20" t="s">
        <v>1763</v>
      </c>
      <c r="G831" s="21" t="s">
        <v>663</v>
      </c>
      <c r="H831" s="21" t="s">
        <v>1779</v>
      </c>
      <c r="I831" s="2" t="s">
        <v>2221</v>
      </c>
      <c r="J831" s="2" t="s">
        <v>1781</v>
      </c>
      <c r="K831" s="2" t="s">
        <v>2228</v>
      </c>
      <c r="L831" s="2" t="s">
        <v>122</v>
      </c>
    </row>
    <row r="832" spans="1:12" ht="34" customHeight="1">
      <c r="A832" s="2" t="s">
        <v>793</v>
      </c>
      <c r="B832" s="2" t="s">
        <v>640</v>
      </c>
      <c r="C832" s="2" t="s">
        <v>792</v>
      </c>
      <c r="D832" s="2" t="s">
        <v>222</v>
      </c>
      <c r="E832" s="5">
        <v>0.06</v>
      </c>
      <c r="F832" s="7" t="s">
        <v>1764</v>
      </c>
      <c r="G832" s="2" t="s">
        <v>663</v>
      </c>
      <c r="H832" s="2" t="s">
        <v>1759</v>
      </c>
      <c r="I832" s="2" t="s">
        <v>2226</v>
      </c>
      <c r="J832" s="2" t="s">
        <v>1781</v>
      </c>
      <c r="K832" s="2" t="s">
        <v>2187</v>
      </c>
      <c r="L832" s="2" t="s">
        <v>122</v>
      </c>
    </row>
    <row r="833" spans="1:12" ht="34" customHeight="1">
      <c r="A833" s="2" t="s">
        <v>793</v>
      </c>
      <c r="B833" s="2" t="s">
        <v>640</v>
      </c>
      <c r="C833" s="2" t="s">
        <v>792</v>
      </c>
      <c r="D833" s="2" t="s">
        <v>1765</v>
      </c>
      <c r="E833" s="5" t="s">
        <v>662</v>
      </c>
      <c r="F833" s="7" t="s">
        <v>1766</v>
      </c>
      <c r="G833" s="2" t="s">
        <v>663</v>
      </c>
      <c r="H833" s="2" t="s">
        <v>1759</v>
      </c>
      <c r="I833" s="2" t="s">
        <v>1767</v>
      </c>
      <c r="J833" s="2"/>
      <c r="K833" t="s">
        <v>1817</v>
      </c>
    </row>
    <row r="834" spans="1:12" ht="34" customHeight="1">
      <c r="A834" s="2" t="s">
        <v>796</v>
      </c>
      <c r="B834" s="2" t="s">
        <v>640</v>
      </c>
      <c r="C834" s="2" t="s">
        <v>794</v>
      </c>
      <c r="D834" s="2" t="s">
        <v>1757</v>
      </c>
      <c r="E834" s="4">
        <v>0.7</v>
      </c>
      <c r="F834" s="7" t="s">
        <v>1758</v>
      </c>
      <c r="G834" s="2" t="s">
        <v>787</v>
      </c>
      <c r="H834" s="2" t="s">
        <v>1759</v>
      </c>
      <c r="I834" s="2" t="s">
        <v>2279</v>
      </c>
      <c r="J834" s="2" t="s">
        <v>2280</v>
      </c>
      <c r="K834" s="2" t="s">
        <v>2285</v>
      </c>
      <c r="L834" s="2" t="s">
        <v>45</v>
      </c>
    </row>
    <row r="835" spans="1:12" ht="34" customHeight="1">
      <c r="A835" s="2" t="s">
        <v>796</v>
      </c>
      <c r="B835" s="2" t="s">
        <v>640</v>
      </c>
      <c r="C835" s="2" t="s">
        <v>794</v>
      </c>
      <c r="D835" s="2" t="s">
        <v>254</v>
      </c>
      <c r="E835" s="5">
        <v>0.25</v>
      </c>
      <c r="F835" s="7" t="s">
        <v>1758</v>
      </c>
      <c r="G835" s="2" t="s">
        <v>787</v>
      </c>
      <c r="H835" s="2" t="s">
        <v>1759</v>
      </c>
      <c r="I835" s="2" t="s">
        <v>2279</v>
      </c>
      <c r="J835" s="2" t="s">
        <v>2280</v>
      </c>
      <c r="K835" s="2" t="s">
        <v>2285</v>
      </c>
      <c r="L835" s="2" t="s">
        <v>45</v>
      </c>
    </row>
    <row r="836" spans="1:12" ht="37" customHeight="1">
      <c r="A836" s="2" t="s">
        <v>796</v>
      </c>
      <c r="B836" s="2" t="s">
        <v>640</v>
      </c>
      <c r="C836" s="2" t="s">
        <v>794</v>
      </c>
      <c r="D836" s="2" t="s">
        <v>124</v>
      </c>
      <c r="E836" s="11">
        <v>1</v>
      </c>
      <c r="F836" s="20" t="s">
        <v>1763</v>
      </c>
      <c r="G836" s="21" t="s">
        <v>787</v>
      </c>
      <c r="H836" s="21" t="s">
        <v>1779</v>
      </c>
      <c r="I836" s="2" t="s">
        <v>2221</v>
      </c>
      <c r="J836" s="2" t="s">
        <v>1781</v>
      </c>
      <c r="K836" s="2" t="s">
        <v>2286</v>
      </c>
      <c r="L836" s="2" t="s">
        <v>45</v>
      </c>
    </row>
    <row r="837" spans="1:12" ht="50.5" customHeight="1">
      <c r="A837" s="2" t="s">
        <v>796</v>
      </c>
      <c r="B837" s="2" t="s">
        <v>640</v>
      </c>
      <c r="C837" s="2" t="s">
        <v>794</v>
      </c>
      <c r="D837" s="2" t="s">
        <v>65</v>
      </c>
      <c r="E837" s="11">
        <v>0</v>
      </c>
      <c r="F837" s="20" t="s">
        <v>1763</v>
      </c>
      <c r="G837" s="21" t="s">
        <v>787</v>
      </c>
      <c r="H837" s="21" t="s">
        <v>1779</v>
      </c>
      <c r="I837" s="2" t="s">
        <v>2221</v>
      </c>
      <c r="J837" s="2" t="s">
        <v>1781</v>
      </c>
      <c r="K837" s="2" t="s">
        <v>2287</v>
      </c>
      <c r="L837" s="2" t="s">
        <v>45</v>
      </c>
    </row>
    <row r="838" spans="1:12" ht="37" customHeight="1">
      <c r="A838" s="2" t="s">
        <v>796</v>
      </c>
      <c r="B838" s="2" t="s">
        <v>640</v>
      </c>
      <c r="C838" s="2" t="s">
        <v>794</v>
      </c>
      <c r="D838" s="2" t="s">
        <v>222</v>
      </c>
      <c r="E838" s="5">
        <v>0.27</v>
      </c>
      <c r="F838" s="7" t="s">
        <v>1764</v>
      </c>
      <c r="G838" s="2" t="s">
        <v>787</v>
      </c>
      <c r="H838" s="2" t="s">
        <v>1759</v>
      </c>
      <c r="I838" s="2" t="s">
        <v>2279</v>
      </c>
      <c r="J838" s="2" t="s">
        <v>2280</v>
      </c>
      <c r="K838" s="2" t="s">
        <v>2285</v>
      </c>
      <c r="L838" s="2" t="s">
        <v>45</v>
      </c>
    </row>
    <row r="839" spans="1:12" ht="37" customHeight="1">
      <c r="A839" s="2" t="s">
        <v>796</v>
      </c>
      <c r="B839" s="2" t="s">
        <v>640</v>
      </c>
      <c r="C839" s="2" t="s">
        <v>794</v>
      </c>
      <c r="D839" s="2" t="s">
        <v>1765</v>
      </c>
      <c r="E839" s="5" t="s">
        <v>172</v>
      </c>
      <c r="F839" s="7" t="s">
        <v>1766</v>
      </c>
      <c r="G839" s="2" t="s">
        <v>787</v>
      </c>
      <c r="H839" s="2" t="s">
        <v>1759</v>
      </c>
      <c r="I839" s="2" t="s">
        <v>1767</v>
      </c>
      <c r="J839" s="2"/>
      <c r="K839" t="s">
        <v>1847</v>
      </c>
    </row>
    <row r="840" spans="1:12" ht="37" customHeight="1">
      <c r="A840" s="2" t="s">
        <v>800</v>
      </c>
      <c r="B840" s="2" t="s">
        <v>640</v>
      </c>
      <c r="C840" s="2" t="s">
        <v>797</v>
      </c>
      <c r="D840" s="2" t="s">
        <v>1757</v>
      </c>
      <c r="E840" s="5">
        <v>1.25</v>
      </c>
      <c r="F840" s="7" t="s">
        <v>1758</v>
      </c>
      <c r="G840" s="2" t="s">
        <v>798</v>
      </c>
      <c r="H840" s="2" t="s">
        <v>1759</v>
      </c>
      <c r="I840" s="2" t="s">
        <v>2288</v>
      </c>
      <c r="J840" s="2" t="s">
        <v>2289</v>
      </c>
      <c r="K840" s="2" t="s">
        <v>2290</v>
      </c>
      <c r="L840" s="2" t="s">
        <v>45</v>
      </c>
    </row>
    <row r="841" spans="1:12" ht="37" customHeight="1">
      <c r="A841" s="2" t="s">
        <v>800</v>
      </c>
      <c r="B841" s="2" t="s">
        <v>640</v>
      </c>
      <c r="C841" s="2" t="s">
        <v>797</v>
      </c>
      <c r="D841" s="2" t="s">
        <v>254</v>
      </c>
      <c r="E841" s="4">
        <v>0.3</v>
      </c>
      <c r="F841" s="7" t="s">
        <v>1758</v>
      </c>
      <c r="G841" s="2" t="s">
        <v>798</v>
      </c>
      <c r="H841" s="2" t="s">
        <v>1759</v>
      </c>
      <c r="I841" s="2" t="s">
        <v>2288</v>
      </c>
      <c r="J841" s="2" t="s">
        <v>2289</v>
      </c>
      <c r="K841" s="2" t="s">
        <v>2290</v>
      </c>
      <c r="L841" s="2" t="s">
        <v>45</v>
      </c>
    </row>
    <row r="842" spans="1:12" ht="50.5" customHeight="1">
      <c r="A842" s="2" t="s">
        <v>800</v>
      </c>
      <c r="B842" s="2" t="s">
        <v>640</v>
      </c>
      <c r="C842" s="2" t="s">
        <v>797</v>
      </c>
      <c r="D842" s="2" t="s">
        <v>124</v>
      </c>
      <c r="E842" s="11">
        <v>1</v>
      </c>
      <c r="F842" s="20" t="s">
        <v>1763</v>
      </c>
      <c r="G842" s="21" t="s">
        <v>798</v>
      </c>
      <c r="H842" s="21" t="s">
        <v>1779</v>
      </c>
      <c r="I842" s="2" t="s">
        <v>2250</v>
      </c>
      <c r="J842" s="2" t="s">
        <v>2251</v>
      </c>
      <c r="K842" s="2" t="s">
        <v>2291</v>
      </c>
      <c r="L842" s="2" t="s">
        <v>45</v>
      </c>
    </row>
    <row r="843" spans="1:12" ht="37" customHeight="1">
      <c r="A843" s="2" t="s">
        <v>800</v>
      </c>
      <c r="B843" s="2" t="s">
        <v>640</v>
      </c>
      <c r="C843" s="2" t="s">
        <v>797</v>
      </c>
      <c r="D843" s="2" t="s">
        <v>65</v>
      </c>
      <c r="E843" s="11">
        <v>0</v>
      </c>
      <c r="F843" s="20" t="s">
        <v>1763</v>
      </c>
      <c r="G843" s="21" t="s">
        <v>798</v>
      </c>
      <c r="H843" s="21" t="s">
        <v>1779</v>
      </c>
      <c r="I843" s="2" t="s">
        <v>2250</v>
      </c>
      <c r="J843" s="2" t="s">
        <v>2251</v>
      </c>
      <c r="K843" s="2" t="s">
        <v>2292</v>
      </c>
      <c r="L843" s="2" t="s">
        <v>45</v>
      </c>
    </row>
    <row r="844" spans="1:12" ht="37" customHeight="1">
      <c r="A844" s="2" t="s">
        <v>800</v>
      </c>
      <c r="B844" s="2" t="s">
        <v>640</v>
      </c>
      <c r="C844" s="2" t="s">
        <v>797</v>
      </c>
      <c r="D844" s="2" t="s">
        <v>222</v>
      </c>
      <c r="E844" s="4">
        <v>0.5</v>
      </c>
      <c r="F844" s="7" t="s">
        <v>1764</v>
      </c>
      <c r="G844" s="2" t="s">
        <v>798</v>
      </c>
      <c r="H844" s="2" t="s">
        <v>1759</v>
      </c>
      <c r="I844" s="2" t="s">
        <v>2288</v>
      </c>
      <c r="J844" s="2" t="s">
        <v>2289</v>
      </c>
      <c r="K844" s="2" t="s">
        <v>2290</v>
      </c>
      <c r="L844" s="2" t="s">
        <v>45</v>
      </c>
    </row>
    <row r="845" spans="1:12" ht="37" customHeight="1">
      <c r="A845" s="2" t="s">
        <v>800</v>
      </c>
      <c r="B845" s="2" t="s">
        <v>640</v>
      </c>
      <c r="C845" s="2" t="s">
        <v>797</v>
      </c>
      <c r="D845" s="2" t="s">
        <v>1765</v>
      </c>
      <c r="E845" s="4" t="s">
        <v>76</v>
      </c>
      <c r="F845" s="7" t="s">
        <v>1766</v>
      </c>
      <c r="G845" s="2" t="s">
        <v>798</v>
      </c>
      <c r="H845" s="2" t="s">
        <v>1759</v>
      </c>
      <c r="I845" s="2" t="s">
        <v>1767</v>
      </c>
      <c r="J845" s="2"/>
      <c r="K845" t="s">
        <v>2293</v>
      </c>
    </row>
    <row r="846" spans="1:12" ht="37" customHeight="1">
      <c r="A846" s="2" t="s">
        <v>804</v>
      </c>
      <c r="B846" s="2" t="s">
        <v>640</v>
      </c>
      <c r="C846" s="2" t="s">
        <v>801</v>
      </c>
      <c r="D846" s="2" t="s">
        <v>1757</v>
      </c>
      <c r="E846" s="5">
        <v>0.28000000000000003</v>
      </c>
      <c r="F846" s="7" t="s">
        <v>1758</v>
      </c>
      <c r="G846" s="2" t="s">
        <v>802</v>
      </c>
      <c r="H846" s="2" t="s">
        <v>1759</v>
      </c>
      <c r="I846" s="2" t="s">
        <v>2294</v>
      </c>
      <c r="J846" s="2" t="s">
        <v>2219</v>
      </c>
      <c r="K846" s="2" t="s">
        <v>2295</v>
      </c>
      <c r="L846" s="2" t="s">
        <v>45</v>
      </c>
    </row>
    <row r="847" spans="1:12" ht="37" customHeight="1">
      <c r="A847" s="2" t="s">
        <v>804</v>
      </c>
      <c r="B847" s="2" t="s">
        <v>640</v>
      </c>
      <c r="C847" s="2" t="s">
        <v>801</v>
      </c>
      <c r="D847" s="2" t="s">
        <v>254</v>
      </c>
      <c r="E847" s="8">
        <v>4.8000000000000001E-2</v>
      </c>
      <c r="F847" s="7" t="s">
        <v>1758</v>
      </c>
      <c r="G847" s="2" t="s">
        <v>802</v>
      </c>
      <c r="H847" s="2" t="s">
        <v>1759</v>
      </c>
      <c r="I847" s="2" t="s">
        <v>2294</v>
      </c>
      <c r="J847" s="2" t="s">
        <v>2219</v>
      </c>
      <c r="K847" s="2" t="s">
        <v>2295</v>
      </c>
      <c r="L847" s="2" t="s">
        <v>45</v>
      </c>
    </row>
    <row r="848" spans="1:12" ht="37" customHeight="1">
      <c r="A848" s="2" t="s">
        <v>804</v>
      </c>
      <c r="B848" s="2" t="s">
        <v>640</v>
      </c>
      <c r="C848" s="2" t="s">
        <v>801</v>
      </c>
      <c r="D848" s="2" t="s">
        <v>124</v>
      </c>
      <c r="E848" s="7"/>
      <c r="F848" s="7" t="s">
        <v>1763</v>
      </c>
      <c r="G848" s="2" t="s">
        <v>802</v>
      </c>
      <c r="H848" s="2" t="s">
        <v>1773</v>
      </c>
      <c r="I848" s="2"/>
      <c r="J848" s="2"/>
      <c r="K848" s="2" t="s">
        <v>2295</v>
      </c>
      <c r="L848" s="2" t="s">
        <v>45</v>
      </c>
    </row>
    <row r="849" spans="1:12" ht="37" customHeight="1">
      <c r="A849" s="2" t="s">
        <v>804</v>
      </c>
      <c r="B849" s="2" t="s">
        <v>640</v>
      </c>
      <c r="C849" s="2" t="s">
        <v>801</v>
      </c>
      <c r="D849" s="2" t="s">
        <v>65</v>
      </c>
      <c r="E849" s="7"/>
      <c r="F849" s="7" t="s">
        <v>1763</v>
      </c>
      <c r="G849" s="2" t="s">
        <v>802</v>
      </c>
      <c r="H849" s="2" t="s">
        <v>1773</v>
      </c>
      <c r="I849" s="2"/>
      <c r="J849" s="2"/>
      <c r="K849" s="2" t="s">
        <v>2295</v>
      </c>
      <c r="L849" s="2" t="s">
        <v>45</v>
      </c>
    </row>
    <row r="850" spans="1:12" ht="37" customHeight="1">
      <c r="A850" s="2" t="s">
        <v>804</v>
      </c>
      <c r="B850" s="2" t="s">
        <v>640</v>
      </c>
      <c r="C850" s="2" t="s">
        <v>801</v>
      </c>
      <c r="D850" s="2" t="s">
        <v>222</v>
      </c>
      <c r="E850" s="8">
        <v>2.4E-2</v>
      </c>
      <c r="F850" s="7" t="s">
        <v>1764</v>
      </c>
      <c r="G850" s="2" t="s">
        <v>802</v>
      </c>
      <c r="H850" s="2" t="s">
        <v>1759</v>
      </c>
      <c r="I850" s="2" t="s">
        <v>2294</v>
      </c>
      <c r="J850" s="2" t="s">
        <v>2219</v>
      </c>
      <c r="K850" s="2" t="s">
        <v>2295</v>
      </c>
      <c r="L850" s="2" t="s">
        <v>45</v>
      </c>
    </row>
    <row r="851" spans="1:12" ht="37" customHeight="1">
      <c r="A851" s="2" t="s">
        <v>804</v>
      </c>
      <c r="B851" s="2" t="s">
        <v>640</v>
      </c>
      <c r="C851" s="2" t="s">
        <v>801</v>
      </c>
      <c r="D851" s="2" t="s">
        <v>1765</v>
      </c>
      <c r="E851" s="8" t="s">
        <v>662</v>
      </c>
      <c r="F851" s="7" t="s">
        <v>1766</v>
      </c>
      <c r="G851" s="2" t="s">
        <v>802</v>
      </c>
      <c r="H851" s="2" t="s">
        <v>1759</v>
      </c>
      <c r="I851" s="2" t="s">
        <v>1767</v>
      </c>
      <c r="J851" s="2"/>
      <c r="K851" t="s">
        <v>1817</v>
      </c>
    </row>
    <row r="852" spans="1:12" ht="37" customHeight="1">
      <c r="A852" s="2" t="s">
        <v>808</v>
      </c>
      <c r="B852" s="2" t="s">
        <v>640</v>
      </c>
      <c r="C852" s="2" t="s">
        <v>805</v>
      </c>
      <c r="D852" s="2" t="s">
        <v>1757</v>
      </c>
      <c r="E852" s="5">
        <v>0.36</v>
      </c>
      <c r="F852" s="7" t="s">
        <v>1758</v>
      </c>
      <c r="G852" s="2" t="s">
        <v>807</v>
      </c>
      <c r="H852" s="2" t="s">
        <v>1759</v>
      </c>
      <c r="I852" s="2" t="s">
        <v>2296</v>
      </c>
      <c r="J852" s="2" t="s">
        <v>1781</v>
      </c>
      <c r="K852" s="2" t="s">
        <v>2297</v>
      </c>
      <c r="L852" s="2" t="s">
        <v>122</v>
      </c>
    </row>
    <row r="853" spans="1:12" ht="37" customHeight="1">
      <c r="A853" s="2" t="s">
        <v>808</v>
      </c>
      <c r="B853" s="2" t="s">
        <v>640</v>
      </c>
      <c r="C853" s="2" t="s">
        <v>805</v>
      </c>
      <c r="D853" s="2" t="s">
        <v>254</v>
      </c>
      <c r="E853" s="5">
        <v>7.0000000000000007E-2</v>
      </c>
      <c r="F853" s="7" t="s">
        <v>1758</v>
      </c>
      <c r="G853" s="2" t="s">
        <v>807</v>
      </c>
      <c r="H853" s="2" t="s">
        <v>1759</v>
      </c>
      <c r="I853" s="2" t="s">
        <v>2296</v>
      </c>
      <c r="J853" s="2" t="s">
        <v>1781</v>
      </c>
      <c r="K853" s="2" t="s">
        <v>2297</v>
      </c>
      <c r="L853" s="2" t="s">
        <v>122</v>
      </c>
    </row>
    <row r="854" spans="1:12" ht="37" customHeight="1">
      <c r="A854" s="2" t="s">
        <v>808</v>
      </c>
      <c r="B854" s="2" t="s">
        <v>640</v>
      </c>
      <c r="C854" s="2" t="s">
        <v>805</v>
      </c>
      <c r="D854" s="2" t="s">
        <v>124</v>
      </c>
      <c r="E854" s="7" t="s">
        <v>806</v>
      </c>
      <c r="F854" s="7" t="s">
        <v>1763</v>
      </c>
      <c r="G854" s="2" t="s">
        <v>807</v>
      </c>
      <c r="H854" s="2" t="s">
        <v>1759</v>
      </c>
      <c r="I854" s="2" t="s">
        <v>2296</v>
      </c>
      <c r="J854" s="2" t="s">
        <v>1781</v>
      </c>
      <c r="K854" s="2" t="s">
        <v>2297</v>
      </c>
      <c r="L854" s="2" t="s">
        <v>122</v>
      </c>
    </row>
    <row r="855" spans="1:12" ht="37" customHeight="1">
      <c r="A855" s="2" t="s">
        <v>808</v>
      </c>
      <c r="B855" s="2" t="s">
        <v>640</v>
      </c>
      <c r="C855" s="2" t="s">
        <v>805</v>
      </c>
      <c r="D855" s="2" t="s">
        <v>65</v>
      </c>
      <c r="E855" s="7"/>
      <c r="F855" s="7" t="s">
        <v>1763</v>
      </c>
      <c r="G855" s="2" t="s">
        <v>807</v>
      </c>
      <c r="H855" s="2" t="s">
        <v>1773</v>
      </c>
      <c r="I855" s="2"/>
      <c r="J855" s="2"/>
      <c r="K855" s="2" t="s">
        <v>2297</v>
      </c>
      <c r="L855" s="2" t="s">
        <v>122</v>
      </c>
    </row>
    <row r="856" spans="1:12" ht="37" customHeight="1">
      <c r="A856" s="2" t="s">
        <v>808</v>
      </c>
      <c r="B856" s="2" t="s">
        <v>640</v>
      </c>
      <c r="C856" s="2" t="s">
        <v>805</v>
      </c>
      <c r="D856" s="2" t="s">
        <v>222</v>
      </c>
      <c r="E856" s="5">
        <v>0.04</v>
      </c>
      <c r="F856" s="7" t="s">
        <v>1764</v>
      </c>
      <c r="G856" s="2" t="s">
        <v>807</v>
      </c>
      <c r="H856" s="2" t="s">
        <v>1759</v>
      </c>
      <c r="I856" s="2" t="s">
        <v>2296</v>
      </c>
      <c r="J856" s="2" t="s">
        <v>1781</v>
      </c>
      <c r="K856" s="2" t="s">
        <v>2297</v>
      </c>
      <c r="L856" s="2" t="s">
        <v>122</v>
      </c>
    </row>
    <row r="857" spans="1:12" ht="37" customHeight="1">
      <c r="A857" s="2" t="s">
        <v>808</v>
      </c>
      <c r="B857" s="2" t="s">
        <v>640</v>
      </c>
      <c r="C857" s="2" t="s">
        <v>805</v>
      </c>
      <c r="D857" s="2" t="s">
        <v>1765</v>
      </c>
      <c r="E857" s="5" t="s">
        <v>117</v>
      </c>
      <c r="F857" s="7" t="s">
        <v>1766</v>
      </c>
      <c r="G857" s="2" t="s">
        <v>807</v>
      </c>
      <c r="H857" s="2" t="s">
        <v>1759</v>
      </c>
      <c r="I857" s="2" t="s">
        <v>1767</v>
      </c>
      <c r="J857" s="2"/>
      <c r="K857" t="s">
        <v>1817</v>
      </c>
    </row>
    <row r="858" spans="1:12" ht="37" customHeight="1">
      <c r="A858" s="2" t="s">
        <v>812</v>
      </c>
      <c r="B858" s="2" t="s">
        <v>640</v>
      </c>
      <c r="C858" s="2" t="s">
        <v>810</v>
      </c>
      <c r="D858" s="2" t="s">
        <v>1757</v>
      </c>
      <c r="E858" s="4">
        <v>0.4</v>
      </c>
      <c r="F858" s="7" t="s">
        <v>1758</v>
      </c>
      <c r="G858" s="2" t="s">
        <v>663</v>
      </c>
      <c r="H858" s="2" t="s">
        <v>1759</v>
      </c>
      <c r="I858" s="2" t="s">
        <v>2298</v>
      </c>
      <c r="J858" s="2" t="s">
        <v>1781</v>
      </c>
      <c r="K858" s="2" t="s">
        <v>2187</v>
      </c>
      <c r="L858" s="2" t="s">
        <v>122</v>
      </c>
    </row>
    <row r="859" spans="1:12" ht="37" customHeight="1">
      <c r="A859" s="2" t="s">
        <v>812</v>
      </c>
      <c r="B859" s="2" t="s">
        <v>640</v>
      </c>
      <c r="C859" s="2" t="s">
        <v>810</v>
      </c>
      <c r="D859" s="2" t="s">
        <v>254</v>
      </c>
      <c r="E859" s="4">
        <v>0.1</v>
      </c>
      <c r="F859" s="7" t="s">
        <v>1758</v>
      </c>
      <c r="G859" s="2" t="s">
        <v>663</v>
      </c>
      <c r="H859" s="2" t="s">
        <v>1759</v>
      </c>
      <c r="I859" s="2" t="s">
        <v>2298</v>
      </c>
      <c r="J859" s="2" t="s">
        <v>1781</v>
      </c>
      <c r="K859" s="2" t="s">
        <v>2187</v>
      </c>
      <c r="L859" s="2" t="s">
        <v>122</v>
      </c>
    </row>
    <row r="860" spans="1:12" ht="37" customHeight="1">
      <c r="A860" s="2" t="s">
        <v>812</v>
      </c>
      <c r="B860" s="2" t="s">
        <v>640</v>
      </c>
      <c r="C860" s="2" t="s">
        <v>810</v>
      </c>
      <c r="D860" s="2" t="s">
        <v>124</v>
      </c>
      <c r="E860" s="11">
        <v>1</v>
      </c>
      <c r="F860" s="20" t="s">
        <v>1763</v>
      </c>
      <c r="G860" s="21" t="s">
        <v>663</v>
      </c>
      <c r="H860" s="21" t="s">
        <v>1779</v>
      </c>
      <c r="I860" s="2" t="s">
        <v>2299</v>
      </c>
      <c r="J860" s="2" t="s">
        <v>1781</v>
      </c>
      <c r="K860" s="2" t="s">
        <v>2300</v>
      </c>
      <c r="L860" s="2" t="s">
        <v>122</v>
      </c>
    </row>
    <row r="861" spans="1:12" ht="34" customHeight="1">
      <c r="A861" s="2" t="s">
        <v>812</v>
      </c>
      <c r="B861" s="2" t="s">
        <v>640</v>
      </c>
      <c r="C861" s="2" t="s">
        <v>810</v>
      </c>
      <c r="D861" s="2" t="s">
        <v>65</v>
      </c>
      <c r="E861" s="11">
        <v>0</v>
      </c>
      <c r="F861" s="20" t="s">
        <v>1763</v>
      </c>
      <c r="G861" s="21" t="s">
        <v>663</v>
      </c>
      <c r="H861" s="21" t="s">
        <v>1779</v>
      </c>
      <c r="I861" s="2" t="s">
        <v>2299</v>
      </c>
      <c r="J861" s="2" t="s">
        <v>1781</v>
      </c>
      <c r="K861" s="2" t="s">
        <v>2301</v>
      </c>
      <c r="L861" s="2" t="s">
        <v>122</v>
      </c>
    </row>
    <row r="862" spans="1:12" ht="34" customHeight="1">
      <c r="A862" s="2" t="s">
        <v>812</v>
      </c>
      <c r="B862" s="2" t="s">
        <v>640</v>
      </c>
      <c r="C862" s="2" t="s">
        <v>810</v>
      </c>
      <c r="D862" s="2" t="s">
        <v>222</v>
      </c>
      <c r="E862" s="4">
        <v>0.1</v>
      </c>
      <c r="F862" s="7" t="s">
        <v>1764</v>
      </c>
      <c r="G862" s="2" t="s">
        <v>663</v>
      </c>
      <c r="H862" s="2" t="s">
        <v>1759</v>
      </c>
      <c r="I862" s="2" t="s">
        <v>2298</v>
      </c>
      <c r="J862" s="2" t="s">
        <v>1781</v>
      </c>
      <c r="K862" s="2" t="s">
        <v>2187</v>
      </c>
      <c r="L862" s="2" t="s">
        <v>122</v>
      </c>
    </row>
    <row r="863" spans="1:12" ht="34" customHeight="1">
      <c r="A863" s="2" t="s">
        <v>812</v>
      </c>
      <c r="B863" s="2" t="s">
        <v>640</v>
      </c>
      <c r="C863" s="2" t="s">
        <v>810</v>
      </c>
      <c r="D863" s="2" t="s">
        <v>1765</v>
      </c>
      <c r="E863" s="4" t="s">
        <v>811</v>
      </c>
      <c r="F863" s="7" t="s">
        <v>1766</v>
      </c>
      <c r="G863" s="2" t="s">
        <v>663</v>
      </c>
      <c r="H863" s="2" t="s">
        <v>1759</v>
      </c>
      <c r="I863" s="2" t="s">
        <v>1767</v>
      </c>
      <c r="J863" s="2"/>
      <c r="K863" t="s">
        <v>2302</v>
      </c>
    </row>
    <row r="864" spans="1:12" ht="34" customHeight="1">
      <c r="A864" s="2" t="s">
        <v>816</v>
      </c>
      <c r="B864" s="2" t="s">
        <v>640</v>
      </c>
      <c r="C864" s="2" t="s">
        <v>814</v>
      </c>
      <c r="D864" s="2" t="s">
        <v>1757</v>
      </c>
      <c r="E864" s="4">
        <v>0.4</v>
      </c>
      <c r="F864" s="7" t="s">
        <v>1758</v>
      </c>
      <c r="G864" s="2" t="s">
        <v>663</v>
      </c>
      <c r="H864" s="2" t="s">
        <v>1759</v>
      </c>
      <c r="I864" s="2" t="s">
        <v>2298</v>
      </c>
      <c r="J864" s="2" t="s">
        <v>1781</v>
      </c>
      <c r="K864" s="2" t="s">
        <v>2187</v>
      </c>
      <c r="L864" s="2" t="s">
        <v>122</v>
      </c>
    </row>
    <row r="865" spans="1:12" ht="34" customHeight="1">
      <c r="A865" s="2" t="s">
        <v>816</v>
      </c>
      <c r="B865" s="2" t="s">
        <v>640</v>
      </c>
      <c r="C865" s="2" t="s">
        <v>814</v>
      </c>
      <c r="D865" s="2" t="s">
        <v>254</v>
      </c>
      <c r="E865" s="5">
        <v>0.08</v>
      </c>
      <c r="F865" s="7" t="s">
        <v>1758</v>
      </c>
      <c r="G865" s="2" t="s">
        <v>663</v>
      </c>
      <c r="H865" s="2" t="s">
        <v>1759</v>
      </c>
      <c r="I865" s="2" t="s">
        <v>2298</v>
      </c>
      <c r="J865" s="2" t="s">
        <v>1781</v>
      </c>
      <c r="K865" s="2" t="s">
        <v>2187</v>
      </c>
      <c r="L865" s="2" t="s">
        <v>122</v>
      </c>
    </row>
    <row r="866" spans="1:12" ht="34" customHeight="1">
      <c r="A866" s="2" t="s">
        <v>816</v>
      </c>
      <c r="B866" s="2" t="s">
        <v>640</v>
      </c>
      <c r="C866" s="2" t="s">
        <v>814</v>
      </c>
      <c r="D866" s="2" t="s">
        <v>124</v>
      </c>
      <c r="E866" s="11">
        <v>1</v>
      </c>
      <c r="F866" s="20" t="s">
        <v>1763</v>
      </c>
      <c r="G866" s="21" t="s">
        <v>663</v>
      </c>
      <c r="H866" s="21" t="s">
        <v>1779</v>
      </c>
      <c r="I866" s="2" t="s">
        <v>2299</v>
      </c>
      <c r="J866" s="2" t="s">
        <v>1781</v>
      </c>
      <c r="K866" s="2" t="s">
        <v>2300</v>
      </c>
      <c r="L866" s="2" t="s">
        <v>122</v>
      </c>
    </row>
    <row r="867" spans="1:12" ht="34" customHeight="1">
      <c r="A867" s="2" t="s">
        <v>816</v>
      </c>
      <c r="B867" s="2" t="s">
        <v>640</v>
      </c>
      <c r="C867" s="2" t="s">
        <v>814</v>
      </c>
      <c r="D867" s="2" t="s">
        <v>65</v>
      </c>
      <c r="E867" s="11">
        <v>0</v>
      </c>
      <c r="F867" s="20" t="s">
        <v>1763</v>
      </c>
      <c r="G867" s="21" t="s">
        <v>663</v>
      </c>
      <c r="H867" s="21" t="s">
        <v>1779</v>
      </c>
      <c r="I867" s="2" t="s">
        <v>2299</v>
      </c>
      <c r="J867" s="2" t="s">
        <v>1781</v>
      </c>
      <c r="K867" s="2" t="s">
        <v>2301</v>
      </c>
      <c r="L867" s="2" t="s">
        <v>122</v>
      </c>
    </row>
    <row r="868" spans="1:12" ht="34" customHeight="1">
      <c r="A868" s="2" t="s">
        <v>816</v>
      </c>
      <c r="B868" s="2" t="s">
        <v>640</v>
      </c>
      <c r="C868" s="2" t="s">
        <v>814</v>
      </c>
      <c r="D868" s="2" t="s">
        <v>222</v>
      </c>
      <c r="E868" s="5">
        <v>0.03</v>
      </c>
      <c r="F868" s="7" t="s">
        <v>1764</v>
      </c>
      <c r="G868" s="2" t="s">
        <v>663</v>
      </c>
      <c r="H868" s="2" t="s">
        <v>1759</v>
      </c>
      <c r="I868" s="2" t="s">
        <v>2298</v>
      </c>
      <c r="J868" s="2" t="s">
        <v>1781</v>
      </c>
      <c r="K868" s="2" t="s">
        <v>2187</v>
      </c>
      <c r="L868" s="2" t="s">
        <v>122</v>
      </c>
    </row>
    <row r="869" spans="1:12" ht="34" customHeight="1">
      <c r="A869" s="2" t="s">
        <v>816</v>
      </c>
      <c r="B869" s="2" t="s">
        <v>640</v>
      </c>
      <c r="C869" s="2" t="s">
        <v>814</v>
      </c>
      <c r="D869" s="2" t="s">
        <v>1765</v>
      </c>
      <c r="E869" s="5" t="s">
        <v>815</v>
      </c>
      <c r="F869" s="7" t="s">
        <v>1766</v>
      </c>
      <c r="G869" s="2" t="s">
        <v>663</v>
      </c>
      <c r="H869" s="2" t="s">
        <v>1759</v>
      </c>
      <c r="I869" s="2" t="s">
        <v>1767</v>
      </c>
      <c r="J869" s="2"/>
      <c r="K869" t="s">
        <v>2303</v>
      </c>
    </row>
    <row r="870" spans="1:12" ht="34" customHeight="1">
      <c r="A870" s="2" t="s">
        <v>818</v>
      </c>
      <c r="B870" s="2" t="s">
        <v>640</v>
      </c>
      <c r="C870" s="2" t="s">
        <v>817</v>
      </c>
      <c r="D870" s="2" t="s">
        <v>1757</v>
      </c>
      <c r="E870" s="4">
        <v>0.4</v>
      </c>
      <c r="F870" s="7" t="s">
        <v>1758</v>
      </c>
      <c r="G870" s="2" t="s">
        <v>663</v>
      </c>
      <c r="H870" s="2" t="s">
        <v>1759</v>
      </c>
      <c r="I870" s="2" t="s">
        <v>2298</v>
      </c>
      <c r="J870" s="2" t="s">
        <v>1781</v>
      </c>
      <c r="K870" s="2" t="s">
        <v>2187</v>
      </c>
      <c r="L870" s="2" t="s">
        <v>122</v>
      </c>
    </row>
    <row r="871" spans="1:12" ht="34" customHeight="1">
      <c r="A871" s="2" t="s">
        <v>818</v>
      </c>
      <c r="B871" s="2" t="s">
        <v>640</v>
      </c>
      <c r="C871" s="2" t="s">
        <v>817</v>
      </c>
      <c r="D871" s="2" t="s">
        <v>254</v>
      </c>
      <c r="E871" s="4">
        <v>0.1</v>
      </c>
      <c r="F871" s="7" t="s">
        <v>1758</v>
      </c>
      <c r="G871" s="2" t="s">
        <v>663</v>
      </c>
      <c r="H871" s="2" t="s">
        <v>1759</v>
      </c>
      <c r="I871" s="2" t="s">
        <v>2298</v>
      </c>
      <c r="J871" s="2" t="s">
        <v>1781</v>
      </c>
      <c r="K871" s="2" t="s">
        <v>2187</v>
      </c>
      <c r="L871" s="2" t="s">
        <v>122</v>
      </c>
    </row>
    <row r="872" spans="1:12" ht="34" customHeight="1">
      <c r="A872" s="2" t="s">
        <v>818</v>
      </c>
      <c r="B872" s="2" t="s">
        <v>640</v>
      </c>
      <c r="C872" s="2" t="s">
        <v>817</v>
      </c>
      <c r="D872" s="2" t="s">
        <v>124</v>
      </c>
      <c r="E872" s="11">
        <v>1</v>
      </c>
      <c r="F872" s="20" t="s">
        <v>1763</v>
      </c>
      <c r="G872" s="21" t="s">
        <v>663</v>
      </c>
      <c r="H872" s="21" t="s">
        <v>1779</v>
      </c>
      <c r="I872" s="2" t="s">
        <v>2299</v>
      </c>
      <c r="J872" s="2" t="s">
        <v>1781</v>
      </c>
      <c r="K872" s="2" t="s">
        <v>2300</v>
      </c>
      <c r="L872" s="2" t="s">
        <v>122</v>
      </c>
    </row>
    <row r="873" spans="1:12" ht="34" customHeight="1">
      <c r="A873" s="2" t="s">
        <v>818</v>
      </c>
      <c r="B873" s="2" t="s">
        <v>640</v>
      </c>
      <c r="C873" s="2" t="s">
        <v>817</v>
      </c>
      <c r="D873" s="2" t="s">
        <v>65</v>
      </c>
      <c r="E873" s="11">
        <v>0</v>
      </c>
      <c r="F873" s="20" t="s">
        <v>1763</v>
      </c>
      <c r="G873" s="21" t="s">
        <v>663</v>
      </c>
      <c r="H873" s="21" t="s">
        <v>1779</v>
      </c>
      <c r="I873" s="2" t="s">
        <v>2299</v>
      </c>
      <c r="J873" s="2" t="s">
        <v>1781</v>
      </c>
      <c r="K873" s="2" t="s">
        <v>2301</v>
      </c>
      <c r="L873" s="2" t="s">
        <v>122</v>
      </c>
    </row>
    <row r="874" spans="1:12" ht="34" customHeight="1">
      <c r="A874" s="2" t="s">
        <v>818</v>
      </c>
      <c r="B874" s="2" t="s">
        <v>640</v>
      </c>
      <c r="C874" s="2" t="s">
        <v>817</v>
      </c>
      <c r="D874" s="2" t="s">
        <v>222</v>
      </c>
      <c r="E874" s="4">
        <v>0.1</v>
      </c>
      <c r="F874" s="7" t="s">
        <v>1764</v>
      </c>
      <c r="G874" s="2" t="s">
        <v>663</v>
      </c>
      <c r="H874" s="2" t="s">
        <v>1759</v>
      </c>
      <c r="I874" s="2" t="s">
        <v>2298</v>
      </c>
      <c r="J874" s="2" t="s">
        <v>1781</v>
      </c>
      <c r="K874" s="2" t="s">
        <v>2187</v>
      </c>
      <c r="L874" s="2" t="s">
        <v>122</v>
      </c>
    </row>
    <row r="875" spans="1:12" ht="34" customHeight="1">
      <c r="A875" s="2" t="s">
        <v>818</v>
      </c>
      <c r="B875" s="2" t="s">
        <v>640</v>
      </c>
      <c r="C875" s="2" t="s">
        <v>817</v>
      </c>
      <c r="D875" s="2" t="s">
        <v>1765</v>
      </c>
      <c r="E875" s="4" t="s">
        <v>48</v>
      </c>
      <c r="F875" s="7" t="s">
        <v>1766</v>
      </c>
      <c r="G875" s="2" t="s">
        <v>663</v>
      </c>
      <c r="H875" s="2" t="s">
        <v>1759</v>
      </c>
      <c r="I875" s="2" t="s">
        <v>1767</v>
      </c>
      <c r="J875" s="2"/>
      <c r="K875" t="s">
        <v>1817</v>
      </c>
    </row>
    <row r="876" spans="1:12" ht="37" customHeight="1">
      <c r="A876" s="2" t="s">
        <v>820</v>
      </c>
      <c r="B876" s="2" t="s">
        <v>640</v>
      </c>
      <c r="C876" s="2" t="s">
        <v>819</v>
      </c>
      <c r="D876" s="2" t="s">
        <v>1757</v>
      </c>
      <c r="E876" s="4">
        <v>0.4</v>
      </c>
      <c r="F876" s="7" t="s">
        <v>1758</v>
      </c>
      <c r="G876" s="2" t="s">
        <v>787</v>
      </c>
      <c r="H876" s="2" t="s">
        <v>1759</v>
      </c>
      <c r="I876" s="2" t="s">
        <v>2279</v>
      </c>
      <c r="J876" s="2" t="s">
        <v>2280</v>
      </c>
      <c r="K876" s="2" t="s">
        <v>2285</v>
      </c>
      <c r="L876" s="2" t="s">
        <v>45</v>
      </c>
    </row>
    <row r="877" spans="1:12" ht="37" customHeight="1">
      <c r="A877" s="2" t="s">
        <v>820</v>
      </c>
      <c r="B877" s="2" t="s">
        <v>640</v>
      </c>
      <c r="C877" s="2" t="s">
        <v>819</v>
      </c>
      <c r="D877" s="2" t="s">
        <v>254</v>
      </c>
      <c r="E877" s="5">
        <v>0.08</v>
      </c>
      <c r="F877" s="7" t="s">
        <v>1758</v>
      </c>
      <c r="G877" s="2" t="s">
        <v>787</v>
      </c>
      <c r="H877" s="2" t="s">
        <v>1759</v>
      </c>
      <c r="I877" s="2" t="s">
        <v>2279</v>
      </c>
      <c r="J877" s="2" t="s">
        <v>2280</v>
      </c>
      <c r="K877" s="2" t="s">
        <v>2285</v>
      </c>
      <c r="L877" s="2" t="s">
        <v>45</v>
      </c>
    </row>
    <row r="878" spans="1:12" ht="37" customHeight="1">
      <c r="A878" s="2" t="s">
        <v>820</v>
      </c>
      <c r="B878" s="2" t="s">
        <v>640</v>
      </c>
      <c r="C878" s="2" t="s">
        <v>819</v>
      </c>
      <c r="D878" s="2" t="s">
        <v>124</v>
      </c>
      <c r="E878" s="11">
        <v>1</v>
      </c>
      <c r="F878" s="20" t="s">
        <v>1763</v>
      </c>
      <c r="G878" s="21" t="s">
        <v>787</v>
      </c>
      <c r="H878" s="21" t="s">
        <v>1779</v>
      </c>
      <c r="I878" s="2" t="s">
        <v>2299</v>
      </c>
      <c r="J878" s="2" t="s">
        <v>1781</v>
      </c>
      <c r="K878" s="2" t="s">
        <v>2304</v>
      </c>
      <c r="L878" s="2" t="s">
        <v>45</v>
      </c>
    </row>
    <row r="879" spans="1:12" ht="50.5" customHeight="1">
      <c r="A879" s="2" t="s">
        <v>820</v>
      </c>
      <c r="B879" s="2" t="s">
        <v>640</v>
      </c>
      <c r="C879" s="2" t="s">
        <v>819</v>
      </c>
      <c r="D879" s="2" t="s">
        <v>65</v>
      </c>
      <c r="E879" s="11">
        <v>0</v>
      </c>
      <c r="F879" s="20" t="s">
        <v>1763</v>
      </c>
      <c r="G879" s="21" t="s">
        <v>787</v>
      </c>
      <c r="H879" s="21" t="s">
        <v>1779</v>
      </c>
      <c r="I879" s="2" t="s">
        <v>2299</v>
      </c>
      <c r="J879" s="2" t="s">
        <v>1781</v>
      </c>
      <c r="K879" s="2" t="s">
        <v>2305</v>
      </c>
      <c r="L879" s="2" t="s">
        <v>45</v>
      </c>
    </row>
    <row r="880" spans="1:12" ht="37" customHeight="1">
      <c r="A880" s="2" t="s">
        <v>820</v>
      </c>
      <c r="B880" s="2" t="s">
        <v>640</v>
      </c>
      <c r="C880" s="2" t="s">
        <v>819</v>
      </c>
      <c r="D880" s="2" t="s">
        <v>222</v>
      </c>
      <c r="E880" s="5">
        <v>0.08</v>
      </c>
      <c r="F880" s="7" t="s">
        <v>1764</v>
      </c>
      <c r="G880" s="2" t="s">
        <v>787</v>
      </c>
      <c r="H880" s="2" t="s">
        <v>1759</v>
      </c>
      <c r="I880" s="2" t="s">
        <v>2279</v>
      </c>
      <c r="J880" s="2" t="s">
        <v>2280</v>
      </c>
      <c r="K880" s="2" t="s">
        <v>2285</v>
      </c>
      <c r="L880" s="2" t="s">
        <v>45</v>
      </c>
    </row>
    <row r="881" spans="1:12" ht="34" customHeight="1">
      <c r="A881" s="2" t="s">
        <v>820</v>
      </c>
      <c r="B881" s="2" t="s">
        <v>640</v>
      </c>
      <c r="C881" s="2" t="s">
        <v>819</v>
      </c>
      <c r="D881" s="2" t="s">
        <v>1765</v>
      </c>
      <c r="E881" s="5" t="s">
        <v>114</v>
      </c>
      <c r="F881" s="7" t="s">
        <v>1766</v>
      </c>
      <c r="G881" s="2" t="s">
        <v>787</v>
      </c>
      <c r="H881" s="2" t="s">
        <v>1759</v>
      </c>
      <c r="I881" s="2" t="s">
        <v>1767</v>
      </c>
      <c r="J881" s="2"/>
      <c r="K881" t="s">
        <v>2306</v>
      </c>
    </row>
    <row r="882" spans="1:12" ht="34" customHeight="1">
      <c r="A882" s="2" t="s">
        <v>822</v>
      </c>
      <c r="B882" s="2" t="s">
        <v>640</v>
      </c>
      <c r="C882" s="2" t="s">
        <v>821</v>
      </c>
      <c r="D882" s="2" t="s">
        <v>1757</v>
      </c>
      <c r="E882" s="5">
        <v>0.53</v>
      </c>
      <c r="F882" s="7" t="s">
        <v>1758</v>
      </c>
      <c r="G882" s="2" t="s">
        <v>663</v>
      </c>
      <c r="H882" s="2" t="s">
        <v>1759</v>
      </c>
      <c r="I882" s="2" t="s">
        <v>2298</v>
      </c>
      <c r="J882" s="2" t="s">
        <v>1781</v>
      </c>
      <c r="K882" s="2" t="s">
        <v>2236</v>
      </c>
      <c r="L882" s="2" t="s">
        <v>122</v>
      </c>
    </row>
    <row r="883" spans="1:12" ht="34" customHeight="1">
      <c r="A883" s="2" t="s">
        <v>822</v>
      </c>
      <c r="B883" s="2" t="s">
        <v>640</v>
      </c>
      <c r="C883" s="2" t="s">
        <v>821</v>
      </c>
      <c r="D883" s="2" t="s">
        <v>254</v>
      </c>
      <c r="E883" s="5">
        <v>0.09</v>
      </c>
      <c r="F883" s="7" t="s">
        <v>1758</v>
      </c>
      <c r="G883" s="2" t="s">
        <v>663</v>
      </c>
      <c r="H883" s="2" t="s">
        <v>1759</v>
      </c>
      <c r="I883" s="2" t="s">
        <v>2298</v>
      </c>
      <c r="J883" s="2" t="s">
        <v>1781</v>
      </c>
      <c r="K883" s="2" t="s">
        <v>2236</v>
      </c>
      <c r="L883" s="2" t="s">
        <v>122</v>
      </c>
    </row>
    <row r="884" spans="1:12" ht="34" customHeight="1">
      <c r="A884" s="2" t="s">
        <v>822</v>
      </c>
      <c r="B884" s="2" t="s">
        <v>640</v>
      </c>
      <c r="C884" s="2" t="s">
        <v>821</v>
      </c>
      <c r="D884" s="2" t="s">
        <v>124</v>
      </c>
      <c r="E884" s="11">
        <v>1</v>
      </c>
      <c r="F884" s="20" t="s">
        <v>1763</v>
      </c>
      <c r="G884" s="21" t="s">
        <v>663</v>
      </c>
      <c r="H884" s="21" t="s">
        <v>1779</v>
      </c>
      <c r="I884" s="2" t="s">
        <v>2299</v>
      </c>
      <c r="J884" s="2" t="s">
        <v>1781</v>
      </c>
      <c r="K884" s="2" t="s">
        <v>2307</v>
      </c>
      <c r="L884" s="2" t="s">
        <v>122</v>
      </c>
    </row>
    <row r="885" spans="1:12" ht="34" customHeight="1">
      <c r="A885" s="2" t="s">
        <v>822</v>
      </c>
      <c r="B885" s="2" t="s">
        <v>640</v>
      </c>
      <c r="C885" s="2" t="s">
        <v>821</v>
      </c>
      <c r="D885" s="2" t="s">
        <v>65</v>
      </c>
      <c r="E885" s="11">
        <v>0</v>
      </c>
      <c r="F885" s="20" t="s">
        <v>1763</v>
      </c>
      <c r="G885" s="21" t="s">
        <v>663</v>
      </c>
      <c r="H885" s="21" t="s">
        <v>1779</v>
      </c>
      <c r="I885" s="2" t="s">
        <v>2299</v>
      </c>
      <c r="J885" s="2" t="s">
        <v>1781</v>
      </c>
      <c r="K885" s="2" t="s">
        <v>2308</v>
      </c>
      <c r="L885" s="2" t="s">
        <v>122</v>
      </c>
    </row>
    <row r="886" spans="1:12" ht="34" customHeight="1">
      <c r="A886" s="2" t="s">
        <v>822</v>
      </c>
      <c r="B886" s="2" t="s">
        <v>640</v>
      </c>
      <c r="C886" s="2" t="s">
        <v>821</v>
      </c>
      <c r="D886" s="2" t="s">
        <v>222</v>
      </c>
      <c r="E886" s="4">
        <v>0.1</v>
      </c>
      <c r="F886" s="7" t="s">
        <v>1764</v>
      </c>
      <c r="G886" s="2" t="s">
        <v>663</v>
      </c>
      <c r="H886" s="2" t="s">
        <v>1759</v>
      </c>
      <c r="I886" s="2" t="s">
        <v>2298</v>
      </c>
      <c r="J886" s="2" t="s">
        <v>1781</v>
      </c>
      <c r="K886" s="2" t="s">
        <v>2236</v>
      </c>
      <c r="L886" s="2" t="s">
        <v>122</v>
      </c>
    </row>
    <row r="887" spans="1:12" ht="34" customHeight="1">
      <c r="A887" s="2" t="s">
        <v>822</v>
      </c>
      <c r="B887" s="2" t="s">
        <v>640</v>
      </c>
      <c r="C887" s="2" t="s">
        <v>821</v>
      </c>
      <c r="D887" s="2" t="s">
        <v>1765</v>
      </c>
      <c r="E887" s="4" t="s">
        <v>48</v>
      </c>
      <c r="F887" s="7" t="s">
        <v>1766</v>
      </c>
      <c r="G887" s="2" t="s">
        <v>663</v>
      </c>
      <c r="H887" s="2" t="s">
        <v>1759</v>
      </c>
      <c r="I887" s="2" t="s">
        <v>1767</v>
      </c>
      <c r="J887" s="2"/>
      <c r="K887" t="s">
        <v>1817</v>
      </c>
    </row>
    <row r="888" spans="1:12" ht="34" customHeight="1">
      <c r="A888" s="2" t="s">
        <v>825</v>
      </c>
      <c r="B888" s="2" t="s">
        <v>640</v>
      </c>
      <c r="C888" s="2" t="s">
        <v>824</v>
      </c>
      <c r="D888" s="2" t="s">
        <v>1757</v>
      </c>
      <c r="E888" s="4">
        <v>0.4</v>
      </c>
      <c r="F888" s="7" t="s">
        <v>1758</v>
      </c>
      <c r="G888" s="2" t="s">
        <v>663</v>
      </c>
      <c r="H888" s="2" t="s">
        <v>1759</v>
      </c>
      <c r="I888" s="2" t="s">
        <v>2298</v>
      </c>
      <c r="J888" s="2" t="s">
        <v>1781</v>
      </c>
      <c r="K888" s="2" t="s">
        <v>2187</v>
      </c>
      <c r="L888" s="2" t="s">
        <v>122</v>
      </c>
    </row>
    <row r="889" spans="1:12" ht="34" customHeight="1">
      <c r="A889" s="2" t="s">
        <v>825</v>
      </c>
      <c r="B889" s="2" t="s">
        <v>640</v>
      </c>
      <c r="C889" s="2" t="s">
        <v>824</v>
      </c>
      <c r="D889" s="2" t="s">
        <v>254</v>
      </c>
      <c r="E889" s="5">
        <v>0.09</v>
      </c>
      <c r="F889" s="7" t="s">
        <v>1758</v>
      </c>
      <c r="G889" s="2" t="s">
        <v>663</v>
      </c>
      <c r="H889" s="2" t="s">
        <v>1759</v>
      </c>
      <c r="I889" s="2" t="s">
        <v>2298</v>
      </c>
      <c r="J889" s="2" t="s">
        <v>1781</v>
      </c>
      <c r="K889" s="2" t="s">
        <v>2187</v>
      </c>
      <c r="L889" s="2" t="s">
        <v>122</v>
      </c>
    </row>
    <row r="890" spans="1:12" ht="34" customHeight="1">
      <c r="A890" s="2" t="s">
        <v>825</v>
      </c>
      <c r="B890" s="2" t="s">
        <v>640</v>
      </c>
      <c r="C890" s="2" t="s">
        <v>824</v>
      </c>
      <c r="D890" s="2" t="s">
        <v>124</v>
      </c>
      <c r="E890" s="11">
        <v>1</v>
      </c>
      <c r="F890" s="20" t="s">
        <v>1763</v>
      </c>
      <c r="G890" s="21" t="s">
        <v>663</v>
      </c>
      <c r="H890" s="21" t="s">
        <v>1779</v>
      </c>
      <c r="I890" s="2" t="s">
        <v>2299</v>
      </c>
      <c r="J890" s="2" t="s">
        <v>1781</v>
      </c>
      <c r="K890" s="2" t="s">
        <v>2300</v>
      </c>
      <c r="L890" s="2" t="s">
        <v>122</v>
      </c>
    </row>
    <row r="891" spans="1:12" ht="34" customHeight="1">
      <c r="A891" s="2" t="s">
        <v>825</v>
      </c>
      <c r="B891" s="2" t="s">
        <v>640</v>
      </c>
      <c r="C891" s="2" t="s">
        <v>824</v>
      </c>
      <c r="D891" s="2" t="s">
        <v>65</v>
      </c>
      <c r="E891" s="11">
        <v>0</v>
      </c>
      <c r="F891" s="20" t="s">
        <v>1763</v>
      </c>
      <c r="G891" s="21" t="s">
        <v>663</v>
      </c>
      <c r="H891" s="21" t="s">
        <v>1779</v>
      </c>
      <c r="I891" s="2" t="s">
        <v>2299</v>
      </c>
      <c r="J891" s="2" t="s">
        <v>1781</v>
      </c>
      <c r="K891" s="2" t="s">
        <v>2301</v>
      </c>
      <c r="L891" s="2" t="s">
        <v>122</v>
      </c>
    </row>
    <row r="892" spans="1:12" ht="34" customHeight="1">
      <c r="A892" s="2" t="s">
        <v>825</v>
      </c>
      <c r="B892" s="2" t="s">
        <v>640</v>
      </c>
      <c r="C892" s="2" t="s">
        <v>824</v>
      </c>
      <c r="D892" s="2" t="s">
        <v>222</v>
      </c>
      <c r="E892" s="5">
        <v>0.11</v>
      </c>
      <c r="F892" s="7" t="s">
        <v>1764</v>
      </c>
      <c r="G892" s="2" t="s">
        <v>663</v>
      </c>
      <c r="H892" s="2" t="s">
        <v>1759</v>
      </c>
      <c r="I892" s="2" t="s">
        <v>2298</v>
      </c>
      <c r="J892" s="2" t="s">
        <v>1781</v>
      </c>
      <c r="K892" s="2" t="s">
        <v>2187</v>
      </c>
      <c r="L892" s="2" t="s">
        <v>122</v>
      </c>
    </row>
    <row r="893" spans="1:12" ht="50.5" customHeight="1">
      <c r="A893" s="2" t="s">
        <v>825</v>
      </c>
      <c r="B893" s="2" t="s">
        <v>640</v>
      </c>
      <c r="C893" s="2" t="s">
        <v>824</v>
      </c>
      <c r="D893" s="2" t="s">
        <v>1765</v>
      </c>
      <c r="E893" s="5" t="s">
        <v>114</v>
      </c>
      <c r="F893" s="7" t="s">
        <v>1766</v>
      </c>
      <c r="G893" s="2" t="s">
        <v>663</v>
      </c>
      <c r="H893" s="2" t="s">
        <v>1759</v>
      </c>
      <c r="I893" s="2" t="s">
        <v>1767</v>
      </c>
      <c r="J893" s="2"/>
      <c r="K893" t="s">
        <v>1817</v>
      </c>
    </row>
    <row r="894" spans="1:12" ht="50.5" customHeight="1">
      <c r="A894" s="2" t="s">
        <v>827</v>
      </c>
      <c r="B894" s="2" t="s">
        <v>640</v>
      </c>
      <c r="C894" s="2" t="s">
        <v>826</v>
      </c>
      <c r="D894" s="2" t="s">
        <v>1757</v>
      </c>
      <c r="E894" s="4">
        <v>0.6</v>
      </c>
      <c r="F894" s="7" t="s">
        <v>1758</v>
      </c>
      <c r="G894" s="2" t="s">
        <v>787</v>
      </c>
      <c r="H894" s="2" t="s">
        <v>1759</v>
      </c>
      <c r="I894" s="2" t="s">
        <v>2279</v>
      </c>
      <c r="J894" s="2" t="s">
        <v>2280</v>
      </c>
      <c r="K894" s="2" t="s">
        <v>2281</v>
      </c>
      <c r="L894" s="2" t="s">
        <v>45</v>
      </c>
    </row>
    <row r="895" spans="1:12" ht="34" customHeight="1">
      <c r="A895" s="2" t="s">
        <v>827</v>
      </c>
      <c r="B895" s="2" t="s">
        <v>640</v>
      </c>
      <c r="C895" s="2" t="s">
        <v>826</v>
      </c>
      <c r="D895" s="2" t="s">
        <v>254</v>
      </c>
      <c r="E895" s="5">
        <v>0.12</v>
      </c>
      <c r="F895" s="7" t="s">
        <v>1758</v>
      </c>
      <c r="G895" s="2" t="s">
        <v>787</v>
      </c>
      <c r="H895" s="2" t="s">
        <v>1759</v>
      </c>
      <c r="I895" s="2" t="s">
        <v>2279</v>
      </c>
      <c r="J895" s="2" t="s">
        <v>2280</v>
      </c>
      <c r="K895" s="2" t="s">
        <v>2281</v>
      </c>
      <c r="L895" s="2" t="s">
        <v>45</v>
      </c>
    </row>
    <row r="896" spans="1:12" ht="34" customHeight="1">
      <c r="A896" s="2" t="s">
        <v>827</v>
      </c>
      <c r="B896" s="2" t="s">
        <v>640</v>
      </c>
      <c r="C896" s="2" t="s">
        <v>826</v>
      </c>
      <c r="D896" s="2" t="s">
        <v>124</v>
      </c>
      <c r="E896" s="11">
        <v>1</v>
      </c>
      <c r="F896" s="20" t="s">
        <v>1763</v>
      </c>
      <c r="G896" s="21" t="s">
        <v>787</v>
      </c>
      <c r="H896" s="21" t="s">
        <v>1779</v>
      </c>
      <c r="I896" s="2" t="s">
        <v>2250</v>
      </c>
      <c r="J896" s="2" t="s">
        <v>2251</v>
      </c>
      <c r="K896" s="2" t="s">
        <v>2282</v>
      </c>
      <c r="L896" s="2" t="s">
        <v>45</v>
      </c>
    </row>
    <row r="897" spans="1:12" ht="34" customHeight="1">
      <c r="A897" s="2" t="s">
        <v>827</v>
      </c>
      <c r="B897" s="2" t="s">
        <v>640</v>
      </c>
      <c r="C897" s="2" t="s">
        <v>826</v>
      </c>
      <c r="D897" s="2" t="s">
        <v>65</v>
      </c>
      <c r="E897" s="11">
        <v>0</v>
      </c>
      <c r="F897" s="20" t="s">
        <v>1763</v>
      </c>
      <c r="G897" s="21" t="s">
        <v>787</v>
      </c>
      <c r="H897" s="21" t="s">
        <v>1779</v>
      </c>
      <c r="I897" s="2" t="s">
        <v>2250</v>
      </c>
      <c r="J897" s="2" t="s">
        <v>2251</v>
      </c>
      <c r="K897" s="2" t="s">
        <v>2283</v>
      </c>
      <c r="L897" s="2" t="s">
        <v>45</v>
      </c>
    </row>
    <row r="898" spans="1:12" ht="50.5" customHeight="1">
      <c r="A898" s="2" t="s">
        <v>827</v>
      </c>
      <c r="B898" s="2" t="s">
        <v>640</v>
      </c>
      <c r="C898" s="2" t="s">
        <v>826</v>
      </c>
      <c r="D898" s="2" t="s">
        <v>222</v>
      </c>
      <c r="E898" s="8">
        <v>9.5000000000000001E-2</v>
      </c>
      <c r="F898" s="7" t="s">
        <v>1764</v>
      </c>
      <c r="G898" s="2" t="s">
        <v>787</v>
      </c>
      <c r="H898" s="2" t="s">
        <v>1759</v>
      </c>
      <c r="I898" s="2" t="s">
        <v>2279</v>
      </c>
      <c r="J898" s="2" t="s">
        <v>2280</v>
      </c>
      <c r="K898" s="2" t="s">
        <v>2281</v>
      </c>
      <c r="L898" s="2" t="s">
        <v>45</v>
      </c>
    </row>
    <row r="899" spans="1:12" ht="50.5" customHeight="1">
      <c r="A899" s="2" t="s">
        <v>827</v>
      </c>
      <c r="B899" s="2" t="s">
        <v>640</v>
      </c>
      <c r="C899" s="2" t="s">
        <v>826</v>
      </c>
      <c r="D899" s="2" t="s">
        <v>1765</v>
      </c>
      <c r="E899" s="8" t="s">
        <v>172</v>
      </c>
      <c r="F899" s="7" t="s">
        <v>1766</v>
      </c>
      <c r="G899" s="2" t="s">
        <v>787</v>
      </c>
      <c r="H899" s="2" t="s">
        <v>1759</v>
      </c>
      <c r="I899" s="2" t="s">
        <v>1767</v>
      </c>
      <c r="J899" s="2"/>
      <c r="K899" t="s">
        <v>1847</v>
      </c>
    </row>
    <row r="900" spans="1:12" ht="34" customHeight="1">
      <c r="A900" s="2" t="s">
        <v>830</v>
      </c>
      <c r="B900" s="2" t="s">
        <v>640</v>
      </c>
      <c r="C900" s="2" t="s">
        <v>828</v>
      </c>
      <c r="D900" s="2" t="s">
        <v>1757</v>
      </c>
      <c r="E900" s="4">
        <v>0.6</v>
      </c>
      <c r="F900" s="7" t="s">
        <v>1758</v>
      </c>
      <c r="G900" s="2" t="s">
        <v>663</v>
      </c>
      <c r="H900" s="2" t="s">
        <v>1759</v>
      </c>
      <c r="I900" s="2" t="s">
        <v>2298</v>
      </c>
      <c r="J900" s="2" t="s">
        <v>1781</v>
      </c>
      <c r="K900" s="2" t="s">
        <v>2236</v>
      </c>
      <c r="L900" s="2" t="s">
        <v>122</v>
      </c>
    </row>
    <row r="901" spans="1:12" ht="34" customHeight="1">
      <c r="A901" s="2" t="s">
        <v>830</v>
      </c>
      <c r="B901" s="2" t="s">
        <v>640</v>
      </c>
      <c r="C901" s="2" t="s">
        <v>828</v>
      </c>
      <c r="D901" s="2" t="s">
        <v>254</v>
      </c>
      <c r="E901" s="5">
        <v>0.15</v>
      </c>
      <c r="F901" s="7" t="s">
        <v>1758</v>
      </c>
      <c r="G901" s="2" t="s">
        <v>663</v>
      </c>
      <c r="H901" s="2" t="s">
        <v>1759</v>
      </c>
      <c r="I901" s="2" t="s">
        <v>2298</v>
      </c>
      <c r="J901" s="2" t="s">
        <v>1781</v>
      </c>
      <c r="K901" s="2" t="s">
        <v>2236</v>
      </c>
      <c r="L901" s="2" t="s">
        <v>122</v>
      </c>
    </row>
    <row r="902" spans="1:12" ht="34" customHeight="1">
      <c r="A902" s="2" t="s">
        <v>830</v>
      </c>
      <c r="B902" s="2" t="s">
        <v>640</v>
      </c>
      <c r="C902" s="2" t="s">
        <v>828</v>
      </c>
      <c r="D902" s="2" t="s">
        <v>124</v>
      </c>
      <c r="E902" s="11">
        <v>1</v>
      </c>
      <c r="F902" s="20" t="s">
        <v>1763</v>
      </c>
      <c r="G902" s="21" t="s">
        <v>663</v>
      </c>
      <c r="H902" s="21" t="s">
        <v>1779</v>
      </c>
      <c r="I902" s="2" t="s">
        <v>2299</v>
      </c>
      <c r="J902" s="2" t="s">
        <v>1781</v>
      </c>
      <c r="K902" s="2" t="s">
        <v>2307</v>
      </c>
      <c r="L902" s="2" t="s">
        <v>122</v>
      </c>
    </row>
    <row r="903" spans="1:12" ht="50.5" customHeight="1">
      <c r="A903" s="2" t="s">
        <v>830</v>
      </c>
      <c r="B903" s="2" t="s">
        <v>640</v>
      </c>
      <c r="C903" s="2" t="s">
        <v>828</v>
      </c>
      <c r="D903" s="2" t="s">
        <v>65</v>
      </c>
      <c r="E903" s="11">
        <v>0</v>
      </c>
      <c r="F903" s="20" t="s">
        <v>1763</v>
      </c>
      <c r="G903" s="21" t="s">
        <v>663</v>
      </c>
      <c r="H903" s="21" t="s">
        <v>1779</v>
      </c>
      <c r="I903" s="2" t="s">
        <v>2299</v>
      </c>
      <c r="J903" s="2" t="s">
        <v>1781</v>
      </c>
      <c r="K903" s="2" t="s">
        <v>2308</v>
      </c>
      <c r="L903" s="2" t="s">
        <v>122</v>
      </c>
    </row>
    <row r="904" spans="1:12" ht="50.5" customHeight="1">
      <c r="A904" s="2" t="s">
        <v>830</v>
      </c>
      <c r="B904" s="2" t="s">
        <v>640</v>
      </c>
      <c r="C904" s="2" t="s">
        <v>828</v>
      </c>
      <c r="D904" s="2" t="s">
        <v>222</v>
      </c>
      <c r="E904" s="5">
        <v>0.05</v>
      </c>
      <c r="F904" s="7" t="s">
        <v>1764</v>
      </c>
      <c r="G904" s="2" t="s">
        <v>663</v>
      </c>
      <c r="H904" s="2" t="s">
        <v>1759</v>
      </c>
      <c r="I904" s="2" t="s">
        <v>2298</v>
      </c>
      <c r="J904" s="2" t="s">
        <v>1781</v>
      </c>
      <c r="K904" s="2" t="s">
        <v>2236</v>
      </c>
      <c r="L904" s="2" t="s">
        <v>122</v>
      </c>
    </row>
    <row r="905" spans="1:12" ht="34" customHeight="1">
      <c r="A905" s="2" t="s">
        <v>830</v>
      </c>
      <c r="B905" s="2" t="s">
        <v>640</v>
      </c>
      <c r="C905" s="2" t="s">
        <v>828</v>
      </c>
      <c r="D905" s="2" t="s">
        <v>1765</v>
      </c>
      <c r="E905" s="5" t="s">
        <v>829</v>
      </c>
      <c r="F905" s="7" t="s">
        <v>1766</v>
      </c>
      <c r="G905" s="2" t="s">
        <v>663</v>
      </c>
      <c r="H905" s="2" t="s">
        <v>1759</v>
      </c>
      <c r="I905" s="2" t="s">
        <v>1767</v>
      </c>
      <c r="J905" s="2"/>
      <c r="K905" t="s">
        <v>1817</v>
      </c>
    </row>
    <row r="906" spans="1:12" ht="37" customHeight="1">
      <c r="A906" s="2" t="s">
        <v>834</v>
      </c>
      <c r="B906" s="2" t="s">
        <v>640</v>
      </c>
      <c r="C906" s="2" t="s">
        <v>832</v>
      </c>
      <c r="D906" s="2" t="s">
        <v>1757</v>
      </c>
      <c r="E906" s="5">
        <v>2.15</v>
      </c>
      <c r="F906" s="7" t="s">
        <v>1758</v>
      </c>
      <c r="G906" s="2" t="s">
        <v>29</v>
      </c>
      <c r="H906" s="2" t="s">
        <v>1759</v>
      </c>
      <c r="I906" s="2" t="s">
        <v>2309</v>
      </c>
      <c r="J906" s="2" t="s">
        <v>2310</v>
      </c>
      <c r="K906" s="2" t="s">
        <v>2311</v>
      </c>
      <c r="L906" s="2" t="s">
        <v>45</v>
      </c>
    </row>
    <row r="907" spans="1:12" ht="37" customHeight="1">
      <c r="A907" s="2" t="s">
        <v>834</v>
      </c>
      <c r="B907" s="2" t="s">
        <v>640</v>
      </c>
      <c r="C907" s="2" t="s">
        <v>832</v>
      </c>
      <c r="D907" s="2" t="s">
        <v>254</v>
      </c>
      <c r="E907" s="5">
        <v>0.56999999999999995</v>
      </c>
      <c r="F907" s="7" t="s">
        <v>1758</v>
      </c>
      <c r="G907" s="2" t="s">
        <v>29</v>
      </c>
      <c r="H907" s="2" t="s">
        <v>1759</v>
      </c>
      <c r="I907" s="2" t="s">
        <v>2309</v>
      </c>
      <c r="J907" s="2" t="s">
        <v>2310</v>
      </c>
      <c r="K907" s="2" t="s">
        <v>2311</v>
      </c>
      <c r="L907" s="2" t="s">
        <v>45</v>
      </c>
    </row>
    <row r="908" spans="1:12" ht="64" customHeight="1">
      <c r="A908" s="2" t="s">
        <v>834</v>
      </c>
      <c r="B908" s="2" t="s">
        <v>640</v>
      </c>
      <c r="C908" s="2" t="s">
        <v>832</v>
      </c>
      <c r="D908" s="2" t="s">
        <v>124</v>
      </c>
      <c r="E908" s="4">
        <v>1.8</v>
      </c>
      <c r="F908" s="7" t="s">
        <v>1763</v>
      </c>
      <c r="G908" s="2" t="s">
        <v>29</v>
      </c>
      <c r="H908" s="2" t="s">
        <v>1759</v>
      </c>
      <c r="I908" s="2" t="s">
        <v>2309</v>
      </c>
      <c r="J908" s="2" t="s">
        <v>2310</v>
      </c>
      <c r="K908" s="2" t="s">
        <v>2311</v>
      </c>
      <c r="L908" s="2" t="s">
        <v>45</v>
      </c>
    </row>
    <row r="909" spans="1:12" ht="64" customHeight="1">
      <c r="A909" s="2" t="s">
        <v>834</v>
      </c>
      <c r="B909" s="2" t="s">
        <v>640</v>
      </c>
      <c r="C909" s="2" t="s">
        <v>832</v>
      </c>
      <c r="D909" s="2" t="s">
        <v>65</v>
      </c>
      <c r="E909" s="4">
        <v>0.3</v>
      </c>
      <c r="F909" s="7" t="s">
        <v>1763</v>
      </c>
      <c r="G909" s="2" t="s">
        <v>29</v>
      </c>
      <c r="H909" s="2" t="s">
        <v>1759</v>
      </c>
      <c r="I909" s="2" t="s">
        <v>2309</v>
      </c>
      <c r="J909" s="2" t="s">
        <v>2310</v>
      </c>
      <c r="K909" s="2" t="s">
        <v>2311</v>
      </c>
      <c r="L909" s="2" t="s">
        <v>45</v>
      </c>
    </row>
    <row r="910" spans="1:12" ht="37" customHeight="1">
      <c r="A910" s="2" t="s">
        <v>834</v>
      </c>
      <c r="B910" s="2" t="s">
        <v>640</v>
      </c>
      <c r="C910" s="2" t="s">
        <v>832</v>
      </c>
      <c r="D910" s="2" t="s">
        <v>222</v>
      </c>
      <c r="E910" s="6">
        <v>5</v>
      </c>
      <c r="F910" s="7" t="s">
        <v>1764</v>
      </c>
      <c r="G910" s="2" t="s">
        <v>29</v>
      </c>
      <c r="H910" s="2" t="s">
        <v>1759</v>
      </c>
      <c r="I910" s="2" t="s">
        <v>2309</v>
      </c>
      <c r="J910" s="2" t="s">
        <v>2310</v>
      </c>
      <c r="K910" s="2" t="s">
        <v>2311</v>
      </c>
      <c r="L910" s="2" t="s">
        <v>45</v>
      </c>
    </row>
    <row r="911" spans="1:12" ht="77.5" customHeight="1">
      <c r="A911" s="2" t="s">
        <v>834</v>
      </c>
      <c r="B911" s="2" t="s">
        <v>640</v>
      </c>
      <c r="C911" s="2" t="s">
        <v>832</v>
      </c>
      <c r="D911" s="2" t="s">
        <v>1765</v>
      </c>
      <c r="E911" s="6" t="s">
        <v>430</v>
      </c>
      <c r="F911" s="7" t="s">
        <v>1766</v>
      </c>
      <c r="G911" s="2" t="s">
        <v>29</v>
      </c>
      <c r="H911" s="2" t="s">
        <v>1759</v>
      </c>
      <c r="I911" s="2" t="s">
        <v>1767</v>
      </c>
      <c r="J911" s="2"/>
      <c r="K911" t="s">
        <v>2312</v>
      </c>
    </row>
    <row r="912" spans="1:12" ht="77.5" customHeight="1">
      <c r="A912" s="2" t="s">
        <v>837</v>
      </c>
      <c r="B912" s="2" t="s">
        <v>640</v>
      </c>
      <c r="C912" s="2" t="s">
        <v>836</v>
      </c>
      <c r="D912" s="2" t="s">
        <v>1757</v>
      </c>
      <c r="E912" s="7"/>
      <c r="F912" s="7" t="s">
        <v>1758</v>
      </c>
      <c r="G912" s="2" t="s">
        <v>49</v>
      </c>
      <c r="H912" s="2" t="s">
        <v>1773</v>
      </c>
      <c r="I912" s="2"/>
      <c r="J912" s="2"/>
      <c r="K912" s="2" t="s">
        <v>2313</v>
      </c>
      <c r="L912" s="2" t="s">
        <v>45</v>
      </c>
    </row>
    <row r="913" spans="1:12" ht="77.5" customHeight="1">
      <c r="A913" s="2" t="s">
        <v>837</v>
      </c>
      <c r="B913" s="2" t="s">
        <v>640</v>
      </c>
      <c r="C913" s="2" t="s">
        <v>836</v>
      </c>
      <c r="D913" s="2" t="s">
        <v>254</v>
      </c>
      <c r="E913" s="7"/>
      <c r="F913" s="7" t="s">
        <v>1758</v>
      </c>
      <c r="G913" s="2" t="s">
        <v>49</v>
      </c>
      <c r="H913" s="2" t="s">
        <v>1773</v>
      </c>
      <c r="I913" s="2"/>
      <c r="J913" s="2"/>
      <c r="K913" s="2" t="s">
        <v>2313</v>
      </c>
      <c r="L913" s="2" t="s">
        <v>45</v>
      </c>
    </row>
    <row r="914" spans="1:12" ht="77.5" customHeight="1">
      <c r="A914" s="2" t="s">
        <v>837</v>
      </c>
      <c r="B914" s="2" t="s">
        <v>640</v>
      </c>
      <c r="C914" s="2" t="s">
        <v>836</v>
      </c>
      <c r="D914" s="2" t="s">
        <v>124</v>
      </c>
      <c r="E914" s="7"/>
      <c r="F914" s="7" t="s">
        <v>1763</v>
      </c>
      <c r="G914" s="2" t="s">
        <v>49</v>
      </c>
      <c r="H914" s="2" t="s">
        <v>1773</v>
      </c>
      <c r="I914" s="2"/>
      <c r="J914" s="2"/>
      <c r="K914" s="2" t="s">
        <v>2313</v>
      </c>
      <c r="L914" s="2" t="s">
        <v>45</v>
      </c>
    </row>
    <row r="915" spans="1:12" ht="77.5" customHeight="1">
      <c r="A915" s="2" t="s">
        <v>837</v>
      </c>
      <c r="B915" s="2" t="s">
        <v>640</v>
      </c>
      <c r="C915" s="2" t="s">
        <v>836</v>
      </c>
      <c r="D915" s="2" t="s">
        <v>65</v>
      </c>
      <c r="E915" s="7"/>
      <c r="F915" s="7" t="s">
        <v>1763</v>
      </c>
      <c r="G915" s="2" t="s">
        <v>49</v>
      </c>
      <c r="H915" s="2" t="s">
        <v>1773</v>
      </c>
      <c r="I915" s="2"/>
      <c r="J915" s="2"/>
      <c r="K915" s="2" t="s">
        <v>2313</v>
      </c>
      <c r="L915" s="2" t="s">
        <v>45</v>
      </c>
    </row>
    <row r="916" spans="1:12" ht="34" customHeight="1">
      <c r="A916" s="2" t="s">
        <v>837</v>
      </c>
      <c r="B916" s="2" t="s">
        <v>640</v>
      </c>
      <c r="C916" s="2" t="s">
        <v>836</v>
      </c>
      <c r="D916" s="2" t="s">
        <v>222</v>
      </c>
      <c r="E916" s="7"/>
      <c r="F916" s="7" t="s">
        <v>1764</v>
      </c>
      <c r="G916" s="2" t="s">
        <v>49</v>
      </c>
      <c r="H916" s="2" t="s">
        <v>1773</v>
      </c>
      <c r="I916" s="2"/>
      <c r="J916" s="2"/>
      <c r="K916" s="2" t="s">
        <v>2313</v>
      </c>
      <c r="L916" s="2" t="s">
        <v>45</v>
      </c>
    </row>
    <row r="917" spans="1:12" ht="34" customHeight="1">
      <c r="A917" s="2" t="s">
        <v>837</v>
      </c>
      <c r="B917" s="2" t="s">
        <v>640</v>
      </c>
      <c r="C917" s="2" t="s">
        <v>836</v>
      </c>
      <c r="D917" s="2" t="s">
        <v>1765</v>
      </c>
      <c r="E917" s="7"/>
      <c r="F917" s="7" t="s">
        <v>1766</v>
      </c>
      <c r="G917" s="2" t="s">
        <v>49</v>
      </c>
      <c r="H917" s="2" t="s">
        <v>1803</v>
      </c>
      <c r="I917" s="2"/>
      <c r="J917" s="2"/>
      <c r="K917" t="s">
        <v>1804</v>
      </c>
    </row>
    <row r="918" spans="1:12" ht="50.5" customHeight="1">
      <c r="A918" s="2" t="s">
        <v>839</v>
      </c>
      <c r="B918" s="2" t="s">
        <v>640</v>
      </c>
      <c r="C918" s="2" t="s">
        <v>838</v>
      </c>
      <c r="D918" s="2" t="s">
        <v>1757</v>
      </c>
      <c r="E918" s="4">
        <v>0.4</v>
      </c>
      <c r="F918" s="7" t="s">
        <v>1758</v>
      </c>
      <c r="G918" s="2" t="s">
        <v>663</v>
      </c>
      <c r="H918" s="2" t="s">
        <v>1759</v>
      </c>
      <c r="I918" s="2" t="s">
        <v>2314</v>
      </c>
      <c r="J918" s="2" t="s">
        <v>1781</v>
      </c>
      <c r="K918" s="2" t="s">
        <v>2187</v>
      </c>
      <c r="L918" s="2" t="s">
        <v>122</v>
      </c>
    </row>
    <row r="919" spans="1:12" ht="50.5" customHeight="1">
      <c r="A919" s="2" t="s">
        <v>839</v>
      </c>
      <c r="B919" s="2" t="s">
        <v>640</v>
      </c>
      <c r="C919" s="2" t="s">
        <v>838</v>
      </c>
      <c r="D919" s="2" t="s">
        <v>254</v>
      </c>
      <c r="E919" s="5">
        <v>0.08</v>
      </c>
      <c r="F919" s="7" t="s">
        <v>1758</v>
      </c>
      <c r="G919" s="2" t="s">
        <v>663</v>
      </c>
      <c r="H919" s="2" t="s">
        <v>1759</v>
      </c>
      <c r="I919" s="2" t="s">
        <v>2314</v>
      </c>
      <c r="J919" s="2" t="s">
        <v>1781</v>
      </c>
      <c r="K919" s="2" t="s">
        <v>2187</v>
      </c>
      <c r="L919" s="2" t="s">
        <v>122</v>
      </c>
    </row>
    <row r="920" spans="1:12" ht="34" customHeight="1">
      <c r="A920" s="2" t="s">
        <v>839</v>
      </c>
      <c r="B920" s="2" t="s">
        <v>640</v>
      </c>
      <c r="C920" s="2" t="s">
        <v>838</v>
      </c>
      <c r="D920" s="2" t="s">
        <v>124</v>
      </c>
      <c r="E920" s="11">
        <v>1</v>
      </c>
      <c r="F920" s="20" t="s">
        <v>1763</v>
      </c>
      <c r="G920" s="21" t="s">
        <v>663</v>
      </c>
      <c r="H920" s="21" t="s">
        <v>1779</v>
      </c>
      <c r="I920" s="2" t="s">
        <v>2315</v>
      </c>
      <c r="J920" s="2" t="s">
        <v>1781</v>
      </c>
      <c r="K920" s="2" t="s">
        <v>2316</v>
      </c>
      <c r="L920" s="2" t="s">
        <v>122</v>
      </c>
    </row>
    <row r="921" spans="1:12" ht="37" customHeight="1">
      <c r="A921" s="2" t="s">
        <v>839</v>
      </c>
      <c r="B921" s="2" t="s">
        <v>640</v>
      </c>
      <c r="C921" s="2" t="s">
        <v>838</v>
      </c>
      <c r="D921" s="2" t="s">
        <v>65</v>
      </c>
      <c r="E921" s="11">
        <v>0</v>
      </c>
      <c r="F921" s="20" t="s">
        <v>1763</v>
      </c>
      <c r="G921" s="21" t="s">
        <v>663</v>
      </c>
      <c r="H921" s="21" t="s">
        <v>1779</v>
      </c>
      <c r="I921" s="2" t="s">
        <v>2315</v>
      </c>
      <c r="J921" s="2" t="s">
        <v>1781</v>
      </c>
      <c r="K921" s="2" t="s">
        <v>2317</v>
      </c>
      <c r="L921" s="2" t="s">
        <v>122</v>
      </c>
    </row>
    <row r="922" spans="1:12" ht="37" customHeight="1">
      <c r="A922" s="2" t="s">
        <v>839</v>
      </c>
      <c r="B922" s="2" t="s">
        <v>640</v>
      </c>
      <c r="C922" s="2" t="s">
        <v>838</v>
      </c>
      <c r="D922" s="2" t="s">
        <v>222</v>
      </c>
      <c r="E922" s="8">
        <v>1.2E-2</v>
      </c>
      <c r="F922" s="7" t="s">
        <v>1764</v>
      </c>
      <c r="G922" s="2" t="s">
        <v>663</v>
      </c>
      <c r="H922" s="2" t="s">
        <v>1759</v>
      </c>
      <c r="I922" s="2" t="s">
        <v>2314</v>
      </c>
      <c r="J922" s="2" t="s">
        <v>1781</v>
      </c>
      <c r="K922" s="2" t="s">
        <v>2187</v>
      </c>
      <c r="L922" s="2" t="s">
        <v>122</v>
      </c>
    </row>
    <row r="923" spans="1:12" ht="37" customHeight="1">
      <c r="A923" s="2" t="s">
        <v>839</v>
      </c>
      <c r="B923" s="2" t="s">
        <v>640</v>
      </c>
      <c r="C923" s="2" t="s">
        <v>838</v>
      </c>
      <c r="D923" s="2" t="s">
        <v>1765</v>
      </c>
      <c r="E923" s="8" t="s">
        <v>172</v>
      </c>
      <c r="F923" s="7" t="s">
        <v>1766</v>
      </c>
      <c r="G923" s="2" t="s">
        <v>663</v>
      </c>
      <c r="H923" s="2" t="s">
        <v>1759</v>
      </c>
      <c r="I923" s="2" t="s">
        <v>1767</v>
      </c>
      <c r="J923" s="2"/>
      <c r="K923" t="s">
        <v>1817</v>
      </c>
    </row>
    <row r="924" spans="1:12" ht="37" customHeight="1">
      <c r="A924" s="2" t="s">
        <v>843</v>
      </c>
      <c r="B924" s="2" t="s">
        <v>640</v>
      </c>
      <c r="C924" s="2" t="s">
        <v>841</v>
      </c>
      <c r="D924" s="2" t="s">
        <v>1757</v>
      </c>
      <c r="E924" s="4">
        <v>0.4</v>
      </c>
      <c r="F924" s="7" t="s">
        <v>1758</v>
      </c>
      <c r="G924" s="2" t="s">
        <v>842</v>
      </c>
      <c r="H924" s="2" t="s">
        <v>1759</v>
      </c>
      <c r="I924" s="2" t="s">
        <v>2318</v>
      </c>
      <c r="J924" s="2" t="s">
        <v>1781</v>
      </c>
      <c r="K924" s="2" t="s">
        <v>2319</v>
      </c>
      <c r="L924" s="2" t="s">
        <v>122</v>
      </c>
    </row>
    <row r="925" spans="1:12" ht="37" customHeight="1">
      <c r="A925" s="2" t="s">
        <v>843</v>
      </c>
      <c r="B925" s="2" t="s">
        <v>640</v>
      </c>
      <c r="C925" s="2" t="s">
        <v>841</v>
      </c>
      <c r="D925" s="2" t="s">
        <v>254</v>
      </c>
      <c r="E925" s="5">
        <v>0.08</v>
      </c>
      <c r="F925" s="7" t="s">
        <v>1758</v>
      </c>
      <c r="G925" s="2" t="s">
        <v>842</v>
      </c>
      <c r="H925" s="2" t="s">
        <v>1759</v>
      </c>
      <c r="I925" s="2" t="s">
        <v>2318</v>
      </c>
      <c r="J925" s="2" t="s">
        <v>1781</v>
      </c>
      <c r="K925" s="2" t="s">
        <v>2319</v>
      </c>
      <c r="L925" s="2" t="s">
        <v>122</v>
      </c>
    </row>
    <row r="926" spans="1:12" ht="37" customHeight="1">
      <c r="A926" s="2" t="s">
        <v>843</v>
      </c>
      <c r="B926" s="2" t="s">
        <v>640</v>
      </c>
      <c r="C926" s="2" t="s">
        <v>841</v>
      </c>
      <c r="D926" s="2" t="s">
        <v>124</v>
      </c>
      <c r="E926" s="11">
        <v>1</v>
      </c>
      <c r="F926" s="20" t="s">
        <v>1763</v>
      </c>
      <c r="G926" s="21" t="s">
        <v>842</v>
      </c>
      <c r="H926" s="21" t="s">
        <v>1779</v>
      </c>
      <c r="I926" s="2" t="s">
        <v>2320</v>
      </c>
      <c r="J926" s="2" t="s">
        <v>1781</v>
      </c>
      <c r="K926" s="2" t="s">
        <v>2321</v>
      </c>
      <c r="L926" s="2" t="s">
        <v>122</v>
      </c>
    </row>
    <row r="927" spans="1:12" ht="37" customHeight="1">
      <c r="A927" s="2" t="s">
        <v>843</v>
      </c>
      <c r="B927" s="2" t="s">
        <v>640</v>
      </c>
      <c r="C927" s="2" t="s">
        <v>841</v>
      </c>
      <c r="D927" s="2" t="s">
        <v>65</v>
      </c>
      <c r="E927" s="11">
        <v>0</v>
      </c>
      <c r="F927" s="20" t="s">
        <v>1763</v>
      </c>
      <c r="G927" s="21" t="s">
        <v>842</v>
      </c>
      <c r="H927" s="21" t="s">
        <v>1779</v>
      </c>
      <c r="I927" s="2" t="s">
        <v>2320</v>
      </c>
      <c r="J927" s="2" t="s">
        <v>1781</v>
      </c>
      <c r="K927" s="2" t="s">
        <v>2322</v>
      </c>
      <c r="L927" s="2" t="s">
        <v>122</v>
      </c>
    </row>
    <row r="928" spans="1:12" ht="50.5" customHeight="1">
      <c r="A928" s="2" t="s">
        <v>843</v>
      </c>
      <c r="B928" s="2" t="s">
        <v>640</v>
      </c>
      <c r="C928" s="2" t="s">
        <v>841</v>
      </c>
      <c r="D928" s="2" t="s">
        <v>222</v>
      </c>
      <c r="E928" s="5">
        <v>0.08</v>
      </c>
      <c r="F928" s="7" t="s">
        <v>1764</v>
      </c>
      <c r="G928" s="2" t="s">
        <v>842</v>
      </c>
      <c r="H928" s="2" t="s">
        <v>1759</v>
      </c>
      <c r="I928" s="2" t="s">
        <v>2318</v>
      </c>
      <c r="J928" s="2" t="s">
        <v>1781</v>
      </c>
      <c r="K928" s="2" t="s">
        <v>2319</v>
      </c>
      <c r="L928" s="2" t="s">
        <v>122</v>
      </c>
    </row>
    <row r="929" spans="1:12" ht="50.5" customHeight="1">
      <c r="A929" s="2" t="s">
        <v>843</v>
      </c>
      <c r="B929" s="2" t="s">
        <v>640</v>
      </c>
      <c r="C929" s="2" t="s">
        <v>841</v>
      </c>
      <c r="D929" s="2" t="s">
        <v>1765</v>
      </c>
      <c r="E929" s="5" t="s">
        <v>662</v>
      </c>
      <c r="F929" s="7" t="s">
        <v>1766</v>
      </c>
      <c r="G929" s="2" t="s">
        <v>842</v>
      </c>
      <c r="H929" s="2" t="s">
        <v>1759</v>
      </c>
      <c r="I929" s="2" t="s">
        <v>1767</v>
      </c>
      <c r="J929" s="2"/>
      <c r="K929" t="s">
        <v>2323</v>
      </c>
    </row>
    <row r="930" spans="1:12" ht="37" customHeight="1">
      <c r="A930" s="2" t="s">
        <v>848</v>
      </c>
      <c r="B930" s="2" t="s">
        <v>640</v>
      </c>
      <c r="C930" s="2" t="s">
        <v>845</v>
      </c>
      <c r="D930" s="2" t="s">
        <v>1757</v>
      </c>
      <c r="E930" s="5">
        <v>0.55000000000000004</v>
      </c>
      <c r="F930" s="7" t="s">
        <v>1758</v>
      </c>
      <c r="G930" s="2" t="s">
        <v>770</v>
      </c>
      <c r="H930" s="2" t="s">
        <v>1759</v>
      </c>
      <c r="I930" s="2" t="s">
        <v>2255</v>
      </c>
      <c r="J930" s="2" t="s">
        <v>2219</v>
      </c>
      <c r="K930" s="2" t="s">
        <v>2324</v>
      </c>
      <c r="L930" s="2" t="s">
        <v>45</v>
      </c>
    </row>
    <row r="931" spans="1:12" ht="37" customHeight="1">
      <c r="A931" s="2" t="s">
        <v>848</v>
      </c>
      <c r="B931" s="2" t="s">
        <v>640</v>
      </c>
      <c r="C931" s="2" t="s">
        <v>845</v>
      </c>
      <c r="D931" s="2" t="s">
        <v>254</v>
      </c>
      <c r="E931" s="5">
        <v>0.23</v>
      </c>
      <c r="F931" s="7" t="s">
        <v>1758</v>
      </c>
      <c r="G931" s="2" t="s">
        <v>770</v>
      </c>
      <c r="H931" s="2" t="s">
        <v>1759</v>
      </c>
      <c r="I931" s="2" t="s">
        <v>2255</v>
      </c>
      <c r="J931" s="2" t="s">
        <v>2219</v>
      </c>
      <c r="K931" s="2" t="s">
        <v>2324</v>
      </c>
      <c r="L931" s="2" t="s">
        <v>45</v>
      </c>
    </row>
    <row r="932" spans="1:12" ht="37" customHeight="1">
      <c r="A932" s="2" t="s">
        <v>848</v>
      </c>
      <c r="B932" s="2" t="s">
        <v>640</v>
      </c>
      <c r="C932" s="2" t="s">
        <v>845</v>
      </c>
      <c r="D932" s="2" t="s">
        <v>124</v>
      </c>
      <c r="E932" s="11">
        <v>1</v>
      </c>
      <c r="F932" s="20" t="s">
        <v>1763</v>
      </c>
      <c r="G932" s="21" t="s">
        <v>770</v>
      </c>
      <c r="H932" s="21" t="s">
        <v>1779</v>
      </c>
      <c r="I932" s="2" t="s">
        <v>2325</v>
      </c>
      <c r="J932" s="2" t="s">
        <v>1833</v>
      </c>
      <c r="K932" s="2" t="s">
        <v>2326</v>
      </c>
      <c r="L932" s="2" t="s">
        <v>45</v>
      </c>
    </row>
    <row r="933" spans="1:12" ht="34" customHeight="1">
      <c r="A933" s="2" t="s">
        <v>848</v>
      </c>
      <c r="B933" s="2" t="s">
        <v>640</v>
      </c>
      <c r="C933" s="2" t="s">
        <v>845</v>
      </c>
      <c r="D933" s="2" t="s">
        <v>65</v>
      </c>
      <c r="E933" s="11">
        <v>0</v>
      </c>
      <c r="F933" s="20" t="s">
        <v>1763</v>
      </c>
      <c r="G933" s="21" t="s">
        <v>770</v>
      </c>
      <c r="H933" s="21" t="s">
        <v>1779</v>
      </c>
      <c r="I933" s="2" t="s">
        <v>2325</v>
      </c>
      <c r="J933" s="2" t="s">
        <v>1833</v>
      </c>
      <c r="K933" s="2" t="s">
        <v>2327</v>
      </c>
      <c r="L933" s="2" t="s">
        <v>45</v>
      </c>
    </row>
    <row r="934" spans="1:12" ht="37" customHeight="1">
      <c r="A934" s="2" t="s">
        <v>848</v>
      </c>
      <c r="B934" s="2" t="s">
        <v>640</v>
      </c>
      <c r="C934" s="2" t="s">
        <v>845</v>
      </c>
      <c r="D934" s="2" t="s">
        <v>222</v>
      </c>
      <c r="E934" s="7" t="s">
        <v>846</v>
      </c>
      <c r="F934" s="7" t="s">
        <v>1764</v>
      </c>
      <c r="G934" s="2" t="s">
        <v>770</v>
      </c>
      <c r="H934" s="2" t="s">
        <v>1759</v>
      </c>
      <c r="I934" s="2" t="s">
        <v>2255</v>
      </c>
      <c r="J934" s="2" t="s">
        <v>2219</v>
      </c>
      <c r="K934" s="2" t="s">
        <v>2324</v>
      </c>
      <c r="L934" s="2" t="s">
        <v>45</v>
      </c>
    </row>
    <row r="935" spans="1:12" ht="37" customHeight="1">
      <c r="A935" s="2" t="s">
        <v>848</v>
      </c>
      <c r="B935" s="2" t="s">
        <v>640</v>
      </c>
      <c r="C935" s="2" t="s">
        <v>845</v>
      </c>
      <c r="D935" s="2" t="s">
        <v>1765</v>
      </c>
      <c r="E935" s="7" t="s">
        <v>662</v>
      </c>
      <c r="F935" s="7" t="s">
        <v>1766</v>
      </c>
      <c r="G935" s="2" t="s">
        <v>770</v>
      </c>
      <c r="H935" s="2" t="s">
        <v>1759</v>
      </c>
      <c r="I935" s="2" t="s">
        <v>1767</v>
      </c>
      <c r="J935" s="2"/>
      <c r="K935" t="s">
        <v>2328</v>
      </c>
    </row>
    <row r="936" spans="1:12" ht="34" customHeight="1">
      <c r="A936" s="2" t="s">
        <v>853</v>
      </c>
      <c r="B936" s="2" t="s">
        <v>640</v>
      </c>
      <c r="C936" s="2" t="s">
        <v>851</v>
      </c>
      <c r="D936" s="2" t="s">
        <v>1757</v>
      </c>
      <c r="E936" s="5">
        <v>0.55000000000000004</v>
      </c>
      <c r="F936" s="7" t="s">
        <v>1758</v>
      </c>
      <c r="G936" s="2" t="s">
        <v>671</v>
      </c>
      <c r="H936" s="2" t="s">
        <v>1759</v>
      </c>
      <c r="I936" s="2" t="s">
        <v>1867</v>
      </c>
      <c r="J936" s="2" t="s">
        <v>1777</v>
      </c>
      <c r="K936" s="2" t="s">
        <v>2329</v>
      </c>
      <c r="L936" s="2" t="s">
        <v>45</v>
      </c>
    </row>
    <row r="937" spans="1:12" ht="34" customHeight="1">
      <c r="A937" s="2" t="s">
        <v>853</v>
      </c>
      <c r="B937" s="2" t="s">
        <v>640</v>
      </c>
      <c r="C937" s="2" t="s">
        <v>851</v>
      </c>
      <c r="D937" s="2" t="s">
        <v>254</v>
      </c>
      <c r="E937" s="5">
        <v>0.24</v>
      </c>
      <c r="F937" s="7" t="s">
        <v>1758</v>
      </c>
      <c r="G937" s="2" t="s">
        <v>671</v>
      </c>
      <c r="H937" s="2" t="s">
        <v>1759</v>
      </c>
      <c r="I937" s="2" t="s">
        <v>1867</v>
      </c>
      <c r="J937" s="2" t="s">
        <v>1777</v>
      </c>
      <c r="K937" s="2" t="s">
        <v>2329</v>
      </c>
      <c r="L937" s="2" t="s">
        <v>45</v>
      </c>
    </row>
    <row r="938" spans="1:12" ht="50.5" customHeight="1">
      <c r="A938" s="2" t="s">
        <v>853</v>
      </c>
      <c r="B938" s="2" t="s">
        <v>640</v>
      </c>
      <c r="C938" s="2" t="s">
        <v>851</v>
      </c>
      <c r="D938" s="2" t="s">
        <v>124</v>
      </c>
      <c r="E938" s="6">
        <v>1</v>
      </c>
      <c r="F938" s="7" t="s">
        <v>1763</v>
      </c>
      <c r="G938" s="2" t="s">
        <v>671</v>
      </c>
      <c r="H938" s="2" t="s">
        <v>1759</v>
      </c>
      <c r="I938" s="2" t="s">
        <v>1867</v>
      </c>
      <c r="J938" s="2" t="s">
        <v>1777</v>
      </c>
      <c r="K938" s="2" t="s">
        <v>2329</v>
      </c>
      <c r="L938" s="2" t="s">
        <v>45</v>
      </c>
    </row>
    <row r="939" spans="1:12" ht="50.5" customHeight="1">
      <c r="A939" s="2" t="s">
        <v>853</v>
      </c>
      <c r="B939" s="2" t="s">
        <v>640</v>
      </c>
      <c r="C939" s="2" t="s">
        <v>851</v>
      </c>
      <c r="D939" s="2" t="s">
        <v>65</v>
      </c>
      <c r="E939" s="11">
        <v>0</v>
      </c>
      <c r="F939" s="20" t="s">
        <v>1763</v>
      </c>
      <c r="G939" s="21" t="s">
        <v>671</v>
      </c>
      <c r="H939" s="21" t="s">
        <v>1779</v>
      </c>
      <c r="I939" s="2" t="s">
        <v>2325</v>
      </c>
      <c r="J939" s="2" t="s">
        <v>1833</v>
      </c>
      <c r="K939" s="2" t="s">
        <v>2330</v>
      </c>
      <c r="L939" s="2" t="s">
        <v>45</v>
      </c>
    </row>
    <row r="940" spans="1:12" ht="34" customHeight="1">
      <c r="A940" s="2" t="s">
        <v>853</v>
      </c>
      <c r="B940" s="2" t="s">
        <v>640</v>
      </c>
      <c r="C940" s="2" t="s">
        <v>851</v>
      </c>
      <c r="D940" s="2" t="s">
        <v>222</v>
      </c>
      <c r="E940" s="5">
        <v>0.18</v>
      </c>
      <c r="F940" s="7" t="s">
        <v>1764</v>
      </c>
      <c r="G940" s="2" t="s">
        <v>671</v>
      </c>
      <c r="H940" s="2" t="s">
        <v>1759</v>
      </c>
      <c r="I940" s="2" t="s">
        <v>1867</v>
      </c>
      <c r="J940" s="2" t="s">
        <v>1777</v>
      </c>
      <c r="K940" s="2" t="s">
        <v>2329</v>
      </c>
      <c r="L940" s="2" t="s">
        <v>45</v>
      </c>
    </row>
    <row r="941" spans="1:12" ht="34" customHeight="1">
      <c r="A941" s="2" t="s">
        <v>853</v>
      </c>
      <c r="B941" s="2" t="s">
        <v>640</v>
      </c>
      <c r="C941" s="2" t="s">
        <v>851</v>
      </c>
      <c r="D941" s="2" t="s">
        <v>1765</v>
      </c>
      <c r="E941" s="5" t="s">
        <v>662</v>
      </c>
      <c r="F941" s="7" t="s">
        <v>1766</v>
      </c>
      <c r="G941" s="2" t="s">
        <v>671</v>
      </c>
      <c r="H941" s="2" t="s">
        <v>1759</v>
      </c>
      <c r="I941" s="2" t="s">
        <v>1767</v>
      </c>
      <c r="J941" s="2"/>
      <c r="K941" t="s">
        <v>2331</v>
      </c>
    </row>
    <row r="942" spans="1:12" ht="34" customHeight="1">
      <c r="A942" s="2" t="s">
        <v>860</v>
      </c>
      <c r="B942" s="2" t="s">
        <v>640</v>
      </c>
      <c r="C942" s="2" t="s">
        <v>856</v>
      </c>
      <c r="D942" s="2" t="s">
        <v>1757</v>
      </c>
      <c r="E942" s="5">
        <v>0.24</v>
      </c>
      <c r="F942" s="7" t="s">
        <v>1758</v>
      </c>
      <c r="G942" s="2" t="s">
        <v>857</v>
      </c>
      <c r="H942" s="2" t="s">
        <v>1759</v>
      </c>
      <c r="I942" s="2" t="s">
        <v>2332</v>
      </c>
      <c r="J942" s="2" t="s">
        <v>1781</v>
      </c>
      <c r="K942" s="2" t="s">
        <v>2333</v>
      </c>
      <c r="L942" s="2" t="s">
        <v>122</v>
      </c>
    </row>
    <row r="943" spans="1:12" ht="50.5" customHeight="1">
      <c r="A943" s="2" t="s">
        <v>860</v>
      </c>
      <c r="B943" s="2" t="s">
        <v>640</v>
      </c>
      <c r="C943" s="2" t="s">
        <v>856</v>
      </c>
      <c r="D943" s="2" t="s">
        <v>254</v>
      </c>
      <c r="E943" s="5">
        <v>0.04</v>
      </c>
      <c r="F943" s="7" t="s">
        <v>1758</v>
      </c>
      <c r="G943" s="2" t="s">
        <v>857</v>
      </c>
      <c r="H943" s="2" t="s">
        <v>1759</v>
      </c>
      <c r="I943" s="2" t="s">
        <v>2332</v>
      </c>
      <c r="J943" s="2" t="s">
        <v>1781</v>
      </c>
      <c r="K943" s="2" t="s">
        <v>2333</v>
      </c>
      <c r="L943" s="2" t="s">
        <v>122</v>
      </c>
    </row>
    <row r="944" spans="1:12" ht="50.5" customHeight="1">
      <c r="A944" s="2" t="s">
        <v>860</v>
      </c>
      <c r="B944" s="2" t="s">
        <v>640</v>
      </c>
      <c r="C944" s="2" t="s">
        <v>856</v>
      </c>
      <c r="D944" s="2" t="s">
        <v>124</v>
      </c>
      <c r="E944" s="11">
        <v>1</v>
      </c>
      <c r="F944" s="20" t="s">
        <v>1763</v>
      </c>
      <c r="G944" s="21" t="s">
        <v>857</v>
      </c>
      <c r="H944" s="21" t="s">
        <v>1779</v>
      </c>
      <c r="I944" s="2" t="s">
        <v>2334</v>
      </c>
      <c r="J944" s="2" t="s">
        <v>1781</v>
      </c>
      <c r="K944" s="2" t="s">
        <v>2335</v>
      </c>
      <c r="L944" s="2" t="s">
        <v>122</v>
      </c>
    </row>
    <row r="945" spans="1:12" ht="34" customHeight="1">
      <c r="A945" s="2" t="s">
        <v>860</v>
      </c>
      <c r="B945" s="2" t="s">
        <v>640</v>
      </c>
      <c r="C945" s="2" t="s">
        <v>856</v>
      </c>
      <c r="D945" s="2" t="s">
        <v>65</v>
      </c>
      <c r="E945" s="11">
        <v>0</v>
      </c>
      <c r="F945" s="20" t="s">
        <v>1763</v>
      </c>
      <c r="G945" s="21" t="s">
        <v>857</v>
      </c>
      <c r="H945" s="21" t="s">
        <v>1779</v>
      </c>
      <c r="I945" s="2" t="s">
        <v>2334</v>
      </c>
      <c r="J945" s="2" t="s">
        <v>1781</v>
      </c>
      <c r="K945" s="2" t="s">
        <v>2336</v>
      </c>
      <c r="L945" s="2" t="s">
        <v>122</v>
      </c>
    </row>
    <row r="946" spans="1:12" ht="50.5" customHeight="1">
      <c r="A946" s="2" t="s">
        <v>860</v>
      </c>
      <c r="B946" s="2" t="s">
        <v>640</v>
      </c>
      <c r="C946" s="2" t="s">
        <v>856</v>
      </c>
      <c r="D946" s="2" t="s">
        <v>222</v>
      </c>
      <c r="E946" s="8">
        <v>1.4999999999999999E-2</v>
      </c>
      <c r="F946" s="7" t="s">
        <v>1764</v>
      </c>
      <c r="G946" s="2" t="s">
        <v>857</v>
      </c>
      <c r="H946" s="2" t="s">
        <v>1759</v>
      </c>
      <c r="I946" s="2" t="s">
        <v>2332</v>
      </c>
      <c r="J946" s="2" t="s">
        <v>1781</v>
      </c>
      <c r="K946" s="2" t="s">
        <v>2333</v>
      </c>
      <c r="L946" s="2" t="s">
        <v>122</v>
      </c>
    </row>
    <row r="947" spans="1:12" ht="50.5" customHeight="1">
      <c r="A947" s="2" t="s">
        <v>860</v>
      </c>
      <c r="B947" s="2" t="s">
        <v>640</v>
      </c>
      <c r="C947" s="2" t="s">
        <v>856</v>
      </c>
      <c r="D947" s="2" t="s">
        <v>1765</v>
      </c>
      <c r="E947" s="8" t="s">
        <v>829</v>
      </c>
      <c r="F947" s="7" t="s">
        <v>1766</v>
      </c>
      <c r="G947" s="2" t="s">
        <v>857</v>
      </c>
      <c r="H947" s="2" t="s">
        <v>1759</v>
      </c>
      <c r="I947" s="2" t="s">
        <v>1767</v>
      </c>
      <c r="J947" s="2"/>
      <c r="K947" t="s">
        <v>1817</v>
      </c>
    </row>
    <row r="948" spans="1:12" ht="50.5" customHeight="1">
      <c r="A948" s="2" t="s">
        <v>867</v>
      </c>
      <c r="B948" s="2" t="s">
        <v>640</v>
      </c>
      <c r="C948" s="2" t="s">
        <v>864</v>
      </c>
      <c r="D948" s="2" t="s">
        <v>1757</v>
      </c>
      <c r="E948" s="5">
        <v>0.37</v>
      </c>
      <c r="F948" s="7" t="s">
        <v>1758</v>
      </c>
      <c r="G948" s="2" t="s">
        <v>865</v>
      </c>
      <c r="H948" s="2" t="s">
        <v>1759</v>
      </c>
      <c r="I948" s="2" t="s">
        <v>2337</v>
      </c>
      <c r="J948" s="2" t="s">
        <v>1781</v>
      </c>
      <c r="K948" s="2" t="s">
        <v>2338</v>
      </c>
      <c r="L948" s="2" t="s">
        <v>868</v>
      </c>
    </row>
    <row r="949" spans="1:12" ht="50.5" customHeight="1">
      <c r="A949" s="2" t="s">
        <v>867</v>
      </c>
      <c r="B949" s="2" t="s">
        <v>640</v>
      </c>
      <c r="C949" s="2" t="s">
        <v>864</v>
      </c>
      <c r="D949" s="2" t="s">
        <v>254</v>
      </c>
      <c r="E949" s="7"/>
      <c r="F949" s="7" t="s">
        <v>1758</v>
      </c>
      <c r="G949" s="2" t="s">
        <v>865</v>
      </c>
      <c r="H949" s="2" t="s">
        <v>1773</v>
      </c>
      <c r="I949" s="2"/>
      <c r="J949" s="2"/>
      <c r="K949" s="2" t="s">
        <v>2338</v>
      </c>
      <c r="L949" s="2" t="s">
        <v>868</v>
      </c>
    </row>
    <row r="950" spans="1:12" ht="50.5" customHeight="1">
      <c r="A950" s="2" t="s">
        <v>867</v>
      </c>
      <c r="B950" s="2" t="s">
        <v>640</v>
      </c>
      <c r="C950" s="2" t="s">
        <v>864</v>
      </c>
      <c r="D950" s="2" t="s">
        <v>124</v>
      </c>
      <c r="E950" s="6">
        <v>4</v>
      </c>
      <c r="F950" s="7" t="s">
        <v>1763</v>
      </c>
      <c r="G950" s="2" t="s">
        <v>865</v>
      </c>
      <c r="H950" s="2" t="s">
        <v>1759</v>
      </c>
      <c r="I950" s="2" t="s">
        <v>2339</v>
      </c>
      <c r="J950" s="2" t="s">
        <v>1855</v>
      </c>
      <c r="K950" s="2" t="s">
        <v>2338</v>
      </c>
      <c r="L950" s="2" t="s">
        <v>868</v>
      </c>
    </row>
    <row r="951" spans="1:12" ht="34" customHeight="1">
      <c r="A951" s="2" t="s">
        <v>867</v>
      </c>
      <c r="B951" s="2" t="s">
        <v>640</v>
      </c>
      <c r="C951" s="2" t="s">
        <v>864</v>
      </c>
      <c r="D951" s="2" t="s">
        <v>65</v>
      </c>
      <c r="E951" s="7"/>
      <c r="F951" s="7" t="s">
        <v>1763</v>
      </c>
      <c r="G951" s="2" t="s">
        <v>865</v>
      </c>
      <c r="H951" s="2" t="s">
        <v>1773</v>
      </c>
      <c r="I951" s="2"/>
      <c r="J951" s="2"/>
      <c r="K951" s="2" t="s">
        <v>2338</v>
      </c>
      <c r="L951" s="2" t="s">
        <v>868</v>
      </c>
    </row>
    <row r="952" spans="1:12" ht="34" customHeight="1">
      <c r="A952" s="2" t="s">
        <v>867</v>
      </c>
      <c r="B952" s="2" t="s">
        <v>640</v>
      </c>
      <c r="C952" s="2" t="s">
        <v>864</v>
      </c>
      <c r="D952" s="2" t="s">
        <v>222</v>
      </c>
      <c r="E952" s="5">
        <v>0.05</v>
      </c>
      <c r="F952" s="7" t="s">
        <v>1764</v>
      </c>
      <c r="G952" s="2" t="s">
        <v>865</v>
      </c>
      <c r="H952" s="2" t="s">
        <v>1759</v>
      </c>
      <c r="I952" s="2" t="s">
        <v>2337</v>
      </c>
      <c r="J952" s="2" t="s">
        <v>1781</v>
      </c>
      <c r="K952" s="2" t="s">
        <v>2338</v>
      </c>
      <c r="L952" s="2" t="s">
        <v>868</v>
      </c>
    </row>
    <row r="953" spans="1:12" ht="50.5" customHeight="1">
      <c r="A953" s="2" t="s">
        <v>867</v>
      </c>
      <c r="B953" s="2" t="s">
        <v>640</v>
      </c>
      <c r="C953" s="2" t="s">
        <v>864</v>
      </c>
      <c r="D953" s="2" t="s">
        <v>1765</v>
      </c>
      <c r="E953" s="5" t="s">
        <v>172</v>
      </c>
      <c r="F953" s="7" t="s">
        <v>1766</v>
      </c>
      <c r="G953" s="2" t="s">
        <v>865</v>
      </c>
      <c r="H953" s="2" t="s">
        <v>1759</v>
      </c>
      <c r="I953" s="2" t="s">
        <v>1767</v>
      </c>
      <c r="J953" s="2"/>
      <c r="K953" t="s">
        <v>2340</v>
      </c>
    </row>
    <row r="954" spans="1:12" ht="50.5" customHeight="1">
      <c r="A954" s="2" t="s">
        <v>872</v>
      </c>
      <c r="B954" s="2" t="s">
        <v>869</v>
      </c>
      <c r="C954" s="2" t="s">
        <v>870</v>
      </c>
      <c r="D954" s="2" t="s">
        <v>1757</v>
      </c>
      <c r="E954" s="5">
        <v>0.54</v>
      </c>
      <c r="F954" s="7" t="s">
        <v>1758</v>
      </c>
      <c r="G954" s="2" t="s">
        <v>663</v>
      </c>
      <c r="H954" s="2" t="s">
        <v>1759</v>
      </c>
      <c r="I954" s="2" t="s">
        <v>2298</v>
      </c>
      <c r="J954" s="2" t="s">
        <v>1781</v>
      </c>
      <c r="K954" s="2" t="s">
        <v>2341</v>
      </c>
      <c r="L954" s="2" t="s">
        <v>122</v>
      </c>
    </row>
    <row r="955" spans="1:12" ht="34" customHeight="1">
      <c r="A955" s="2" t="s">
        <v>872</v>
      </c>
      <c r="B955" s="2" t="s">
        <v>869</v>
      </c>
      <c r="C955" s="2" t="s">
        <v>870</v>
      </c>
      <c r="D955" s="2" t="s">
        <v>254</v>
      </c>
      <c r="E955" s="5">
        <v>0.12</v>
      </c>
      <c r="F955" s="7" t="s">
        <v>1758</v>
      </c>
      <c r="G955" s="2" t="s">
        <v>663</v>
      </c>
      <c r="H955" s="2" t="s">
        <v>1759</v>
      </c>
      <c r="I955" s="2" t="s">
        <v>2298</v>
      </c>
      <c r="J955" s="2" t="s">
        <v>1781</v>
      </c>
      <c r="K955" s="2" t="s">
        <v>2341</v>
      </c>
      <c r="L955" s="2" t="s">
        <v>122</v>
      </c>
    </row>
    <row r="956" spans="1:12" ht="37" customHeight="1">
      <c r="A956" s="2" t="s">
        <v>872</v>
      </c>
      <c r="B956" s="2" t="s">
        <v>869</v>
      </c>
      <c r="C956" s="2" t="s">
        <v>870</v>
      </c>
      <c r="D956" s="2" t="s">
        <v>124</v>
      </c>
      <c r="E956" s="11">
        <v>1</v>
      </c>
      <c r="F956" s="20" t="s">
        <v>1763</v>
      </c>
      <c r="G956" s="21" t="s">
        <v>663</v>
      </c>
      <c r="H956" s="21" t="s">
        <v>1779</v>
      </c>
      <c r="I956" s="2" t="s">
        <v>2299</v>
      </c>
      <c r="J956" s="2" t="s">
        <v>1781</v>
      </c>
      <c r="K956" s="2" t="s">
        <v>2342</v>
      </c>
      <c r="L956" s="2" t="s">
        <v>122</v>
      </c>
    </row>
    <row r="957" spans="1:12" ht="37" customHeight="1">
      <c r="A957" s="2" t="s">
        <v>872</v>
      </c>
      <c r="B957" s="2" t="s">
        <v>869</v>
      </c>
      <c r="C957" s="2" t="s">
        <v>870</v>
      </c>
      <c r="D957" s="2" t="s">
        <v>65</v>
      </c>
      <c r="E957" s="11">
        <v>0</v>
      </c>
      <c r="F957" s="20" t="s">
        <v>1763</v>
      </c>
      <c r="G957" s="21" t="s">
        <v>663</v>
      </c>
      <c r="H957" s="21" t="s">
        <v>1779</v>
      </c>
      <c r="I957" s="2" t="s">
        <v>2299</v>
      </c>
      <c r="J957" s="2" t="s">
        <v>1781</v>
      </c>
      <c r="K957" s="2" t="s">
        <v>2343</v>
      </c>
      <c r="L957" s="2" t="s">
        <v>122</v>
      </c>
    </row>
    <row r="958" spans="1:12" ht="37" customHeight="1">
      <c r="A958" s="2" t="s">
        <v>872</v>
      </c>
      <c r="B958" s="2" t="s">
        <v>869</v>
      </c>
      <c r="C958" s="2" t="s">
        <v>870</v>
      </c>
      <c r="D958" s="2" t="s">
        <v>222</v>
      </c>
      <c r="E958" s="5">
        <v>0.06</v>
      </c>
      <c r="F958" s="7" t="s">
        <v>1764</v>
      </c>
      <c r="G958" s="2" t="s">
        <v>663</v>
      </c>
      <c r="H958" s="2" t="s">
        <v>1759</v>
      </c>
      <c r="I958" s="2" t="s">
        <v>2298</v>
      </c>
      <c r="J958" s="2" t="s">
        <v>1781</v>
      </c>
      <c r="K958" s="2" t="s">
        <v>2341</v>
      </c>
      <c r="L958" s="2" t="s">
        <v>122</v>
      </c>
    </row>
    <row r="959" spans="1:12" ht="37" customHeight="1">
      <c r="A959" s="2" t="s">
        <v>872</v>
      </c>
      <c r="B959" s="2" t="s">
        <v>869</v>
      </c>
      <c r="C959" s="2" t="s">
        <v>870</v>
      </c>
      <c r="D959" s="2" t="s">
        <v>1765</v>
      </c>
      <c r="E959" s="5" t="s">
        <v>117</v>
      </c>
      <c r="F959" s="7" t="s">
        <v>1766</v>
      </c>
      <c r="G959" s="2" t="s">
        <v>663</v>
      </c>
      <c r="H959" s="2" t="s">
        <v>1759</v>
      </c>
      <c r="I959" s="2" t="s">
        <v>1767</v>
      </c>
      <c r="J959" s="2"/>
      <c r="K959" t="s">
        <v>1817</v>
      </c>
    </row>
    <row r="960" spans="1:12" ht="37" customHeight="1">
      <c r="A960" s="2" t="s">
        <v>878</v>
      </c>
      <c r="B960" s="2" t="s">
        <v>874</v>
      </c>
      <c r="C960" s="2" t="s">
        <v>875</v>
      </c>
      <c r="D960" s="2" t="s">
        <v>1757</v>
      </c>
      <c r="E960" s="4">
        <v>0.9</v>
      </c>
      <c r="F960" s="7" t="s">
        <v>1758</v>
      </c>
      <c r="G960" s="2" t="s">
        <v>876</v>
      </c>
      <c r="H960" s="2" t="s">
        <v>1759</v>
      </c>
      <c r="I960" s="2" t="s">
        <v>2344</v>
      </c>
      <c r="J960" s="2" t="s">
        <v>1781</v>
      </c>
      <c r="K960" s="2" t="s">
        <v>2345</v>
      </c>
      <c r="L960" s="2" t="s">
        <v>45</v>
      </c>
    </row>
    <row r="961" spans="1:12" ht="37" customHeight="1">
      <c r="A961" s="2" t="s">
        <v>878</v>
      </c>
      <c r="B961" s="2" t="s">
        <v>874</v>
      </c>
      <c r="C961" s="2" t="s">
        <v>875</v>
      </c>
      <c r="D961" s="2" t="s">
        <v>254</v>
      </c>
      <c r="E961" s="5">
        <v>0.13</v>
      </c>
      <c r="F961" s="7" t="s">
        <v>1758</v>
      </c>
      <c r="G961" s="2" t="s">
        <v>876</v>
      </c>
      <c r="H961" s="2" t="s">
        <v>1759</v>
      </c>
      <c r="I961" s="2" t="s">
        <v>2344</v>
      </c>
      <c r="J961" s="2" t="s">
        <v>1781</v>
      </c>
      <c r="K961" s="2" t="s">
        <v>2345</v>
      </c>
      <c r="L961" s="2" t="s">
        <v>45</v>
      </c>
    </row>
    <row r="962" spans="1:12" ht="37" customHeight="1">
      <c r="A962" s="2" t="s">
        <v>878</v>
      </c>
      <c r="B962" s="2" t="s">
        <v>874</v>
      </c>
      <c r="C962" s="2" t="s">
        <v>875</v>
      </c>
      <c r="D962" s="2" t="s">
        <v>124</v>
      </c>
      <c r="E962" s="11">
        <v>1</v>
      </c>
      <c r="F962" s="20" t="s">
        <v>1763</v>
      </c>
      <c r="G962" s="21" t="s">
        <v>876</v>
      </c>
      <c r="H962" s="21" t="s">
        <v>1779</v>
      </c>
      <c r="I962" s="2" t="s">
        <v>2346</v>
      </c>
      <c r="J962" s="2" t="s">
        <v>2347</v>
      </c>
      <c r="K962" s="2" t="s">
        <v>2348</v>
      </c>
      <c r="L962" s="2" t="s">
        <v>45</v>
      </c>
    </row>
    <row r="963" spans="1:12" ht="37" customHeight="1">
      <c r="A963" s="2" t="s">
        <v>878</v>
      </c>
      <c r="B963" s="2" t="s">
        <v>874</v>
      </c>
      <c r="C963" s="2" t="s">
        <v>875</v>
      </c>
      <c r="D963" s="2" t="s">
        <v>65</v>
      </c>
      <c r="E963" s="11">
        <v>0</v>
      </c>
      <c r="F963" s="20" t="s">
        <v>1763</v>
      </c>
      <c r="G963" s="21" t="s">
        <v>876</v>
      </c>
      <c r="H963" s="21" t="s">
        <v>1779</v>
      </c>
      <c r="I963" s="2" t="s">
        <v>2346</v>
      </c>
      <c r="J963" s="2" t="s">
        <v>2347</v>
      </c>
      <c r="K963" s="2" t="s">
        <v>2349</v>
      </c>
      <c r="L963" s="2" t="s">
        <v>45</v>
      </c>
    </row>
    <row r="964" spans="1:12" ht="37" customHeight="1">
      <c r="A964" s="2" t="s">
        <v>878</v>
      </c>
      <c r="B964" s="2" t="s">
        <v>874</v>
      </c>
      <c r="C964" s="2" t="s">
        <v>875</v>
      </c>
      <c r="D964" s="2" t="s">
        <v>222</v>
      </c>
      <c r="E964" s="5">
        <v>0.12</v>
      </c>
      <c r="F964" s="7" t="s">
        <v>1764</v>
      </c>
      <c r="G964" s="2" t="s">
        <v>876</v>
      </c>
      <c r="H964" s="2" t="s">
        <v>1759</v>
      </c>
      <c r="I964" s="2" t="s">
        <v>2344</v>
      </c>
      <c r="J964" s="2" t="s">
        <v>1781</v>
      </c>
      <c r="K964" s="2" t="s">
        <v>2345</v>
      </c>
      <c r="L964" s="2" t="s">
        <v>45</v>
      </c>
    </row>
    <row r="965" spans="1:12" ht="37" customHeight="1">
      <c r="A965" s="2" t="s">
        <v>878</v>
      </c>
      <c r="B965" s="2" t="s">
        <v>874</v>
      </c>
      <c r="C965" s="2" t="s">
        <v>875</v>
      </c>
      <c r="D965" s="2" t="s">
        <v>1765</v>
      </c>
      <c r="E965" s="5" t="s">
        <v>309</v>
      </c>
      <c r="F965" s="7" t="s">
        <v>1766</v>
      </c>
      <c r="G965" s="2" t="s">
        <v>876</v>
      </c>
      <c r="H965" s="2" t="s">
        <v>1759</v>
      </c>
      <c r="I965" s="2" t="s">
        <v>1767</v>
      </c>
      <c r="J965" s="2"/>
      <c r="K965" t="s">
        <v>1954</v>
      </c>
    </row>
    <row r="966" spans="1:12" ht="34" customHeight="1">
      <c r="A966" s="2" t="s">
        <v>886</v>
      </c>
      <c r="B966" s="2" t="s">
        <v>874</v>
      </c>
      <c r="C966" s="2" t="s">
        <v>882</v>
      </c>
      <c r="D966" s="2" t="s">
        <v>1757</v>
      </c>
      <c r="E966" s="5">
        <v>0.56000000000000005</v>
      </c>
      <c r="F966" s="7" t="s">
        <v>1758</v>
      </c>
      <c r="G966" s="2" t="s">
        <v>884</v>
      </c>
      <c r="H966" s="2" t="s">
        <v>1759</v>
      </c>
      <c r="I966" s="2" t="s">
        <v>2350</v>
      </c>
      <c r="J966" s="2" t="s">
        <v>2351</v>
      </c>
      <c r="K966" s="2" t="s">
        <v>2352</v>
      </c>
      <c r="L966" s="2" t="s">
        <v>45</v>
      </c>
    </row>
    <row r="967" spans="1:12" ht="34" customHeight="1">
      <c r="A967" s="2" t="s">
        <v>886</v>
      </c>
      <c r="B967" s="2" t="s">
        <v>874</v>
      </c>
      <c r="C967" s="2" t="s">
        <v>882</v>
      </c>
      <c r="D967" s="2" t="s">
        <v>254</v>
      </c>
      <c r="E967" s="5">
        <v>0.17</v>
      </c>
      <c r="F967" s="7" t="s">
        <v>1758</v>
      </c>
      <c r="G967" s="2" t="s">
        <v>884</v>
      </c>
      <c r="H967" s="2" t="s">
        <v>1759</v>
      </c>
      <c r="I967" s="2" t="s">
        <v>2350</v>
      </c>
      <c r="J967" s="2" t="s">
        <v>2351</v>
      </c>
      <c r="K967" s="2" t="s">
        <v>2352</v>
      </c>
      <c r="L967" s="2" t="s">
        <v>45</v>
      </c>
    </row>
    <row r="968" spans="1:12" ht="34" customHeight="1">
      <c r="A968" s="2" t="s">
        <v>886</v>
      </c>
      <c r="B968" s="2" t="s">
        <v>874</v>
      </c>
      <c r="C968" s="2" t="s">
        <v>882</v>
      </c>
      <c r="D968" s="2" t="s">
        <v>124</v>
      </c>
      <c r="E968" s="4">
        <v>1.7</v>
      </c>
      <c r="F968" s="7" t="s">
        <v>1763</v>
      </c>
      <c r="G968" s="2" t="s">
        <v>884</v>
      </c>
      <c r="H968" s="2" t="s">
        <v>1759</v>
      </c>
      <c r="I968" s="2" t="s">
        <v>2350</v>
      </c>
      <c r="J968" s="2" t="s">
        <v>2351</v>
      </c>
      <c r="K968" s="2" t="s">
        <v>2352</v>
      </c>
      <c r="L968" s="2" t="s">
        <v>45</v>
      </c>
    </row>
    <row r="969" spans="1:12" ht="34" customHeight="1">
      <c r="A969" s="2" t="s">
        <v>886</v>
      </c>
      <c r="B969" s="2" t="s">
        <v>874</v>
      </c>
      <c r="C969" s="2" t="s">
        <v>882</v>
      </c>
      <c r="D969" s="2" t="s">
        <v>65</v>
      </c>
      <c r="E969" s="4">
        <v>0.4</v>
      </c>
      <c r="F969" s="7" t="s">
        <v>1763</v>
      </c>
      <c r="G969" s="2" t="s">
        <v>884</v>
      </c>
      <c r="H969" s="2" t="s">
        <v>1759</v>
      </c>
      <c r="I969" s="2" t="s">
        <v>2350</v>
      </c>
      <c r="J969" s="2" t="s">
        <v>2351</v>
      </c>
      <c r="K969" s="2" t="s">
        <v>2352</v>
      </c>
      <c r="L969" s="2" t="s">
        <v>45</v>
      </c>
    </row>
    <row r="970" spans="1:12" ht="34" customHeight="1">
      <c r="A970" s="2" t="s">
        <v>886</v>
      </c>
      <c r="B970" s="2" t="s">
        <v>874</v>
      </c>
      <c r="C970" s="2" t="s">
        <v>882</v>
      </c>
      <c r="D970" s="2" t="s">
        <v>222</v>
      </c>
      <c r="E970" s="5">
        <v>0.17</v>
      </c>
      <c r="F970" s="7" t="s">
        <v>1764</v>
      </c>
      <c r="G970" s="2" t="s">
        <v>884</v>
      </c>
      <c r="H970" s="2" t="s">
        <v>1759</v>
      </c>
      <c r="I970" s="2" t="s">
        <v>2353</v>
      </c>
      <c r="J970" s="2" t="s">
        <v>2351</v>
      </c>
      <c r="K970" s="2" t="s">
        <v>2352</v>
      </c>
      <c r="L970" s="2" t="s">
        <v>45</v>
      </c>
    </row>
    <row r="971" spans="1:12" ht="34" customHeight="1">
      <c r="A971" s="2" t="s">
        <v>886</v>
      </c>
      <c r="B971" s="2" t="s">
        <v>874</v>
      </c>
      <c r="C971" s="2" t="s">
        <v>882</v>
      </c>
      <c r="D971" s="2" t="s">
        <v>1765</v>
      </c>
      <c r="E971" s="5" t="s">
        <v>883</v>
      </c>
      <c r="F971" s="7" t="s">
        <v>1766</v>
      </c>
      <c r="G971" s="2" t="s">
        <v>884</v>
      </c>
      <c r="H971" s="2" t="s">
        <v>1759</v>
      </c>
      <c r="I971" s="2" t="s">
        <v>1767</v>
      </c>
      <c r="J971" s="2"/>
      <c r="K971" t="s">
        <v>2354</v>
      </c>
    </row>
    <row r="972" spans="1:12" ht="34" customHeight="1">
      <c r="A972" s="2" t="s">
        <v>890</v>
      </c>
      <c r="B972" s="2" t="s">
        <v>874</v>
      </c>
      <c r="C972" s="2" t="s">
        <v>888</v>
      </c>
      <c r="D972" s="2" t="s">
        <v>1757</v>
      </c>
      <c r="E972" s="5">
        <v>1.17</v>
      </c>
      <c r="F972" s="7" t="s">
        <v>1758</v>
      </c>
      <c r="G972" s="2" t="s">
        <v>876</v>
      </c>
      <c r="H972" s="2" t="s">
        <v>1759</v>
      </c>
      <c r="I972" s="2" t="s">
        <v>2355</v>
      </c>
      <c r="J972" s="2" t="s">
        <v>1781</v>
      </c>
      <c r="K972" s="2" t="s">
        <v>2345</v>
      </c>
      <c r="L972" s="2" t="s">
        <v>122</v>
      </c>
    </row>
    <row r="973" spans="1:12" ht="34" customHeight="1">
      <c r="A973" s="2" t="s">
        <v>890</v>
      </c>
      <c r="B973" s="2" t="s">
        <v>874</v>
      </c>
      <c r="C973" s="2" t="s">
        <v>888</v>
      </c>
      <c r="D973" s="2" t="s">
        <v>254</v>
      </c>
      <c r="E973" s="5">
        <v>0.26</v>
      </c>
      <c r="F973" s="7" t="s">
        <v>1758</v>
      </c>
      <c r="G973" s="2" t="s">
        <v>876</v>
      </c>
      <c r="H973" s="2" t="s">
        <v>1759</v>
      </c>
      <c r="I973" s="2" t="s">
        <v>2355</v>
      </c>
      <c r="J973" s="2" t="s">
        <v>1781</v>
      </c>
      <c r="K973" s="2" t="s">
        <v>2345</v>
      </c>
      <c r="L973" s="2" t="s">
        <v>122</v>
      </c>
    </row>
    <row r="974" spans="1:12" ht="34" customHeight="1">
      <c r="A974" s="2" t="s">
        <v>890</v>
      </c>
      <c r="B974" s="2" t="s">
        <v>874</v>
      </c>
      <c r="C974" s="2" t="s">
        <v>888</v>
      </c>
      <c r="D974" s="2" t="s">
        <v>124</v>
      </c>
      <c r="E974" s="11">
        <v>1</v>
      </c>
      <c r="F974" s="20" t="s">
        <v>1763</v>
      </c>
      <c r="G974" s="21" t="s">
        <v>876</v>
      </c>
      <c r="H974" s="21" t="s">
        <v>1779</v>
      </c>
      <c r="I974" s="2" t="s">
        <v>2356</v>
      </c>
      <c r="J974" s="2" t="s">
        <v>1781</v>
      </c>
      <c r="K974" s="2" t="s">
        <v>2357</v>
      </c>
      <c r="L974" s="2" t="s">
        <v>122</v>
      </c>
    </row>
    <row r="975" spans="1:12" ht="34" customHeight="1">
      <c r="A975" s="2" t="s">
        <v>890</v>
      </c>
      <c r="B975" s="2" t="s">
        <v>874</v>
      </c>
      <c r="C975" s="2" t="s">
        <v>888</v>
      </c>
      <c r="D975" s="2" t="s">
        <v>65</v>
      </c>
      <c r="E975" s="11">
        <v>0</v>
      </c>
      <c r="F975" s="20" t="s">
        <v>1763</v>
      </c>
      <c r="G975" s="21" t="s">
        <v>876</v>
      </c>
      <c r="H975" s="21" t="s">
        <v>1779</v>
      </c>
      <c r="I975" s="2" t="s">
        <v>2356</v>
      </c>
      <c r="J975" s="2" t="s">
        <v>1781</v>
      </c>
      <c r="K975" s="2" t="s">
        <v>2358</v>
      </c>
      <c r="L975" s="2" t="s">
        <v>122</v>
      </c>
    </row>
    <row r="976" spans="1:12" ht="64" customHeight="1">
      <c r="A976" s="2" t="s">
        <v>890</v>
      </c>
      <c r="B976" s="2" t="s">
        <v>874</v>
      </c>
      <c r="C976" s="2" t="s">
        <v>888</v>
      </c>
      <c r="D976" s="2" t="s">
        <v>222</v>
      </c>
      <c r="E976" s="5">
        <v>0.28000000000000003</v>
      </c>
      <c r="F976" s="7" t="s">
        <v>1764</v>
      </c>
      <c r="G976" s="2" t="s">
        <v>876</v>
      </c>
      <c r="H976" s="2" t="s">
        <v>1759</v>
      </c>
      <c r="I976" s="2" t="s">
        <v>2355</v>
      </c>
      <c r="J976" s="2" t="s">
        <v>1781</v>
      </c>
      <c r="K976" s="2" t="s">
        <v>2345</v>
      </c>
      <c r="L976" s="2" t="s">
        <v>122</v>
      </c>
    </row>
    <row r="977" spans="1:12" ht="64" customHeight="1">
      <c r="A977" s="2" t="s">
        <v>890</v>
      </c>
      <c r="B977" s="2" t="s">
        <v>874</v>
      </c>
      <c r="C977" s="2" t="s">
        <v>888</v>
      </c>
      <c r="D977" s="2" t="s">
        <v>1765</v>
      </c>
      <c r="E977" s="5" t="s">
        <v>889</v>
      </c>
      <c r="F977" s="7" t="s">
        <v>1766</v>
      </c>
      <c r="G977" s="2" t="s">
        <v>876</v>
      </c>
      <c r="H977" s="2" t="s">
        <v>1759</v>
      </c>
      <c r="I977" s="2" t="s">
        <v>1767</v>
      </c>
      <c r="J977" s="2"/>
      <c r="K977" t="s">
        <v>1954</v>
      </c>
    </row>
    <row r="978" spans="1:12" ht="64" customHeight="1">
      <c r="A978" s="2" t="s">
        <v>898</v>
      </c>
      <c r="B978" s="2" t="s">
        <v>874</v>
      </c>
      <c r="C978" s="2" t="s">
        <v>893</v>
      </c>
      <c r="D978" s="2" t="s">
        <v>1757</v>
      </c>
      <c r="E978" s="8">
        <v>2.9670000000000001</v>
      </c>
      <c r="F978" s="7" t="s">
        <v>1758</v>
      </c>
      <c r="G978" s="2" t="s">
        <v>895</v>
      </c>
      <c r="H978" s="2" t="s">
        <v>1759</v>
      </c>
      <c r="I978" s="2" t="s">
        <v>2359</v>
      </c>
      <c r="J978" s="2" t="s">
        <v>2360</v>
      </c>
      <c r="K978" s="2" t="s">
        <v>2361</v>
      </c>
      <c r="L978" s="2" t="s">
        <v>45</v>
      </c>
    </row>
    <row r="979" spans="1:12" ht="77.5" customHeight="1">
      <c r="A979" s="2" t="s">
        <v>898</v>
      </c>
      <c r="B979" s="2" t="s">
        <v>874</v>
      </c>
      <c r="C979" s="2" t="s">
        <v>893</v>
      </c>
      <c r="D979" s="2" t="s">
        <v>254</v>
      </c>
      <c r="E979" s="8">
        <v>1.163</v>
      </c>
      <c r="F979" s="7" t="s">
        <v>1758</v>
      </c>
      <c r="G979" s="2" t="s">
        <v>895</v>
      </c>
      <c r="H979" s="2" t="s">
        <v>1759</v>
      </c>
      <c r="I979" s="2" t="s">
        <v>2359</v>
      </c>
      <c r="J979" s="2" t="s">
        <v>2360</v>
      </c>
      <c r="K979" s="2" t="s">
        <v>2361</v>
      </c>
      <c r="L979" s="2" t="s">
        <v>45</v>
      </c>
    </row>
    <row r="980" spans="1:12" ht="64" customHeight="1">
      <c r="A980" s="2" t="s">
        <v>898</v>
      </c>
      <c r="B980" s="2" t="s">
        <v>874</v>
      </c>
      <c r="C980" s="2" t="s">
        <v>893</v>
      </c>
      <c r="D980" s="2" t="s">
        <v>124</v>
      </c>
      <c r="E980" s="8">
        <v>1.431</v>
      </c>
      <c r="F980" s="7" t="s">
        <v>1763</v>
      </c>
      <c r="G980" s="2" t="s">
        <v>895</v>
      </c>
      <c r="H980" s="2" t="s">
        <v>1759</v>
      </c>
      <c r="I980" s="2" t="s">
        <v>2359</v>
      </c>
      <c r="J980" s="2" t="s">
        <v>2360</v>
      </c>
      <c r="K980" s="2" t="s">
        <v>2361</v>
      </c>
      <c r="L980" s="2" t="s">
        <v>45</v>
      </c>
    </row>
    <row r="981" spans="1:12" ht="34" customHeight="1">
      <c r="A981" s="2" t="s">
        <v>898</v>
      </c>
      <c r="B981" s="2" t="s">
        <v>874</v>
      </c>
      <c r="C981" s="2" t="s">
        <v>893</v>
      </c>
      <c r="D981" s="2" t="s">
        <v>65</v>
      </c>
      <c r="E981" s="8">
        <v>-2.5999999999999999E-2</v>
      </c>
      <c r="F981" s="7" t="s">
        <v>1763</v>
      </c>
      <c r="G981" s="2" t="s">
        <v>895</v>
      </c>
      <c r="H981" s="2" t="s">
        <v>1759</v>
      </c>
      <c r="I981" s="2" t="s">
        <v>2359</v>
      </c>
      <c r="J981" s="2" t="s">
        <v>2360</v>
      </c>
      <c r="K981" s="2" t="s">
        <v>2361</v>
      </c>
      <c r="L981" s="2" t="s">
        <v>45</v>
      </c>
    </row>
    <row r="982" spans="1:12" ht="34" customHeight="1">
      <c r="A982" s="2" t="s">
        <v>898</v>
      </c>
      <c r="B982" s="2" t="s">
        <v>874</v>
      </c>
      <c r="C982" s="2" t="s">
        <v>893</v>
      </c>
      <c r="D982" s="2" t="s">
        <v>222</v>
      </c>
      <c r="E982" s="8">
        <v>3.0539999999999998</v>
      </c>
      <c r="F982" s="7" t="s">
        <v>1764</v>
      </c>
      <c r="G982" s="2" t="s">
        <v>895</v>
      </c>
      <c r="H982" s="2" t="s">
        <v>1759</v>
      </c>
      <c r="I982" s="2" t="s">
        <v>2359</v>
      </c>
      <c r="J982" s="2" t="s">
        <v>2360</v>
      </c>
      <c r="K982" s="2" t="s">
        <v>2361</v>
      </c>
      <c r="L982" s="2" t="s">
        <v>45</v>
      </c>
    </row>
    <row r="983" spans="1:12" ht="50.5" customHeight="1">
      <c r="A983" s="2" t="s">
        <v>898</v>
      </c>
      <c r="B983" s="2" t="s">
        <v>874</v>
      </c>
      <c r="C983" s="2" t="s">
        <v>893</v>
      </c>
      <c r="D983" s="2" t="s">
        <v>1765</v>
      </c>
      <c r="E983" s="8" t="s">
        <v>894</v>
      </c>
      <c r="F983" s="7" t="s">
        <v>1766</v>
      </c>
      <c r="G983" s="2" t="s">
        <v>895</v>
      </c>
      <c r="H983" s="2" t="s">
        <v>1759</v>
      </c>
      <c r="I983" s="2" t="s">
        <v>1767</v>
      </c>
      <c r="J983" s="2"/>
      <c r="K983" t="s">
        <v>2362</v>
      </c>
    </row>
    <row r="984" spans="1:12" ht="50.5" customHeight="1">
      <c r="A984" s="2" t="s">
        <v>904</v>
      </c>
      <c r="B984" s="2" t="s">
        <v>874</v>
      </c>
      <c r="C984" s="2" t="s">
        <v>900</v>
      </c>
      <c r="D984" s="2" t="s">
        <v>1757</v>
      </c>
      <c r="E984" s="5">
        <v>0.85</v>
      </c>
      <c r="F984" s="7" t="s">
        <v>1758</v>
      </c>
      <c r="G984" s="2" t="s">
        <v>180</v>
      </c>
      <c r="H984" s="2" t="s">
        <v>1759</v>
      </c>
      <c r="I984" s="2" t="s">
        <v>2363</v>
      </c>
      <c r="J984" s="2" t="s">
        <v>2364</v>
      </c>
      <c r="K984" s="2" t="s">
        <v>2365</v>
      </c>
      <c r="L984" s="2" t="s">
        <v>45</v>
      </c>
    </row>
    <row r="985" spans="1:12" ht="34" customHeight="1">
      <c r="A985" s="2" t="s">
        <v>904</v>
      </c>
      <c r="B985" s="2" t="s">
        <v>874</v>
      </c>
      <c r="C985" s="2" t="s">
        <v>900</v>
      </c>
      <c r="D985" s="2" t="s">
        <v>254</v>
      </c>
      <c r="E985" s="5">
        <v>0.65</v>
      </c>
      <c r="F985" s="7" t="s">
        <v>1758</v>
      </c>
      <c r="G985" s="2" t="s">
        <v>180</v>
      </c>
      <c r="H985" s="2" t="s">
        <v>1759</v>
      </c>
      <c r="I985" s="2" t="s">
        <v>2363</v>
      </c>
      <c r="J985" s="2" t="s">
        <v>2364</v>
      </c>
      <c r="K985" s="2" t="s">
        <v>2365</v>
      </c>
      <c r="L985" s="2" t="s">
        <v>45</v>
      </c>
    </row>
    <row r="986" spans="1:12" ht="37" customHeight="1">
      <c r="A986" s="2" t="s">
        <v>904</v>
      </c>
      <c r="B986" s="2" t="s">
        <v>874</v>
      </c>
      <c r="C986" s="2" t="s">
        <v>900</v>
      </c>
      <c r="D986" s="2" t="s">
        <v>124</v>
      </c>
      <c r="E986" s="4">
        <v>2.1</v>
      </c>
      <c r="F986" s="7" t="s">
        <v>1763</v>
      </c>
      <c r="G986" s="2" t="s">
        <v>180</v>
      </c>
      <c r="H986" s="2" t="s">
        <v>1759</v>
      </c>
      <c r="I986" s="2" t="s">
        <v>2363</v>
      </c>
      <c r="J986" s="2" t="s">
        <v>2364</v>
      </c>
      <c r="K986" s="2" t="s">
        <v>2365</v>
      </c>
      <c r="L986" s="2" t="s">
        <v>45</v>
      </c>
    </row>
    <row r="987" spans="1:12" ht="37" customHeight="1">
      <c r="A987" s="2" t="s">
        <v>904</v>
      </c>
      <c r="B987" s="2" t="s">
        <v>874</v>
      </c>
      <c r="C987" s="2" t="s">
        <v>900</v>
      </c>
      <c r="D987" s="2" t="s">
        <v>65</v>
      </c>
      <c r="E987" s="4">
        <v>0.5</v>
      </c>
      <c r="F987" s="7" t="s">
        <v>1763</v>
      </c>
      <c r="G987" s="2" t="s">
        <v>180</v>
      </c>
      <c r="H987" s="2" t="s">
        <v>1759</v>
      </c>
      <c r="I987" s="2" t="s">
        <v>2363</v>
      </c>
      <c r="J987" s="2" t="s">
        <v>2364</v>
      </c>
      <c r="K987" s="2" t="s">
        <v>2365</v>
      </c>
      <c r="L987" s="2" t="s">
        <v>45</v>
      </c>
    </row>
    <row r="988" spans="1:12" ht="37" customHeight="1">
      <c r="A988" s="2" t="s">
        <v>904</v>
      </c>
      <c r="B988" s="2" t="s">
        <v>874</v>
      </c>
      <c r="C988" s="2" t="s">
        <v>900</v>
      </c>
      <c r="D988" s="2" t="s">
        <v>222</v>
      </c>
      <c r="E988" s="4">
        <v>1.2</v>
      </c>
      <c r="F988" s="7" t="s">
        <v>1764</v>
      </c>
      <c r="G988" s="2" t="s">
        <v>180</v>
      </c>
      <c r="H988" s="2" t="s">
        <v>1759</v>
      </c>
      <c r="I988" s="2" t="s">
        <v>2363</v>
      </c>
      <c r="J988" s="2" t="s">
        <v>2364</v>
      </c>
      <c r="K988" s="2" t="s">
        <v>2365</v>
      </c>
      <c r="L988" s="2" t="s">
        <v>45</v>
      </c>
    </row>
    <row r="989" spans="1:12" ht="37" customHeight="1">
      <c r="A989" s="2" t="s">
        <v>904</v>
      </c>
      <c r="B989" s="2" t="s">
        <v>874</v>
      </c>
      <c r="C989" s="2" t="s">
        <v>900</v>
      </c>
      <c r="D989" s="2" t="s">
        <v>1765</v>
      </c>
      <c r="E989" s="4" t="s">
        <v>901</v>
      </c>
      <c r="F989" s="7" t="s">
        <v>1766</v>
      </c>
      <c r="G989" s="2" t="s">
        <v>180</v>
      </c>
      <c r="H989" s="2" t="s">
        <v>1759</v>
      </c>
      <c r="I989" s="2" t="s">
        <v>1767</v>
      </c>
      <c r="J989" s="2"/>
      <c r="K989" t="s">
        <v>2366</v>
      </c>
    </row>
    <row r="990" spans="1:12" ht="37" customHeight="1">
      <c r="A990" s="2" t="s">
        <v>912</v>
      </c>
      <c r="B990" s="2" t="s">
        <v>874</v>
      </c>
      <c r="C990" s="2" t="s">
        <v>907</v>
      </c>
      <c r="D990" s="2" t="s">
        <v>1757</v>
      </c>
      <c r="E990" s="4">
        <v>0.7</v>
      </c>
      <c r="F990" s="7" t="s">
        <v>1758</v>
      </c>
      <c r="G990" s="2" t="s">
        <v>71</v>
      </c>
      <c r="H990" s="2" t="s">
        <v>1759</v>
      </c>
      <c r="I990" s="2" t="s">
        <v>2367</v>
      </c>
      <c r="J990" s="2" t="s">
        <v>2368</v>
      </c>
      <c r="K990" s="2" t="s">
        <v>2369</v>
      </c>
      <c r="L990" s="2" t="s">
        <v>45</v>
      </c>
    </row>
    <row r="991" spans="1:12" ht="34" customHeight="1">
      <c r="A991" s="2" t="s">
        <v>912</v>
      </c>
      <c r="B991" s="2" t="s">
        <v>874</v>
      </c>
      <c r="C991" s="2" t="s">
        <v>907</v>
      </c>
      <c r="D991" s="2" t="s">
        <v>254</v>
      </c>
      <c r="E991" s="4">
        <v>0.5</v>
      </c>
      <c r="F991" s="7" t="s">
        <v>1758</v>
      </c>
      <c r="G991" s="2" t="s">
        <v>71</v>
      </c>
      <c r="H991" s="2" t="s">
        <v>1759</v>
      </c>
      <c r="I991" s="2" t="s">
        <v>2367</v>
      </c>
      <c r="J991" s="2" t="s">
        <v>2368</v>
      </c>
      <c r="K991" s="2" t="s">
        <v>2369</v>
      </c>
      <c r="L991" s="2" t="s">
        <v>45</v>
      </c>
    </row>
    <row r="992" spans="1:12" ht="34" customHeight="1">
      <c r="A992" s="2" t="s">
        <v>912</v>
      </c>
      <c r="B992" s="2" t="s">
        <v>874</v>
      </c>
      <c r="C992" s="2" t="s">
        <v>907</v>
      </c>
      <c r="D992" s="2" t="s">
        <v>124</v>
      </c>
      <c r="E992" s="4">
        <v>2.5</v>
      </c>
      <c r="F992" s="7" t="s">
        <v>1763</v>
      </c>
      <c r="G992" s="2" t="s">
        <v>71</v>
      </c>
      <c r="H992" s="2" t="s">
        <v>1759</v>
      </c>
      <c r="I992" s="2" t="s">
        <v>2367</v>
      </c>
      <c r="J992" s="2" t="s">
        <v>2368</v>
      </c>
      <c r="K992" s="2" t="s">
        <v>2369</v>
      </c>
      <c r="L992" s="2" t="s">
        <v>45</v>
      </c>
    </row>
    <row r="993" spans="1:12" ht="34" customHeight="1">
      <c r="A993" s="2" t="s">
        <v>912</v>
      </c>
      <c r="B993" s="2" t="s">
        <v>874</v>
      </c>
      <c r="C993" s="2" t="s">
        <v>907</v>
      </c>
      <c r="D993" s="2" t="s">
        <v>65</v>
      </c>
      <c r="E993" s="7" t="s">
        <v>908</v>
      </c>
      <c r="F993" s="7" t="s">
        <v>1763</v>
      </c>
      <c r="G993" s="2" t="s">
        <v>71</v>
      </c>
      <c r="H993" s="2" t="s">
        <v>1759</v>
      </c>
      <c r="I993" s="2" t="s">
        <v>2367</v>
      </c>
      <c r="J993" s="2" t="s">
        <v>2368</v>
      </c>
      <c r="K993" s="2" t="s">
        <v>2369</v>
      </c>
      <c r="L993" s="2" t="s">
        <v>45</v>
      </c>
    </row>
    <row r="994" spans="1:12" ht="34" customHeight="1">
      <c r="A994" s="2" t="s">
        <v>912</v>
      </c>
      <c r="B994" s="2" t="s">
        <v>874</v>
      </c>
      <c r="C994" s="2" t="s">
        <v>907</v>
      </c>
      <c r="D994" s="2" t="s">
        <v>222</v>
      </c>
      <c r="E994" s="6">
        <v>1</v>
      </c>
      <c r="F994" s="7" t="s">
        <v>1764</v>
      </c>
      <c r="G994" s="2" t="s">
        <v>71</v>
      </c>
      <c r="H994" s="2" t="s">
        <v>1759</v>
      </c>
      <c r="I994" s="2" t="s">
        <v>2367</v>
      </c>
      <c r="J994" s="2" t="s">
        <v>2368</v>
      </c>
      <c r="K994" s="2" t="s">
        <v>2369</v>
      </c>
      <c r="L994" s="2" t="s">
        <v>45</v>
      </c>
    </row>
    <row r="995" spans="1:12" ht="34" customHeight="1">
      <c r="A995" s="2" t="s">
        <v>912</v>
      </c>
      <c r="B995" s="2" t="s">
        <v>874</v>
      </c>
      <c r="C995" s="2" t="s">
        <v>907</v>
      </c>
      <c r="D995" s="2" t="s">
        <v>1765</v>
      </c>
      <c r="E995" s="6" t="s">
        <v>909</v>
      </c>
      <c r="F995" s="7" t="s">
        <v>1766</v>
      </c>
      <c r="G995" s="2" t="s">
        <v>71</v>
      </c>
      <c r="H995" s="2" t="s">
        <v>1759</v>
      </c>
      <c r="I995" s="2" t="s">
        <v>1767</v>
      </c>
      <c r="J995" s="2"/>
      <c r="K995" t="s">
        <v>1795</v>
      </c>
    </row>
    <row r="996" spans="1:12" ht="37" customHeight="1">
      <c r="A996" s="2" t="s">
        <v>916</v>
      </c>
      <c r="B996" s="2" t="s">
        <v>874</v>
      </c>
      <c r="C996" s="2" t="s">
        <v>914</v>
      </c>
      <c r="D996" s="2" t="s">
        <v>1757</v>
      </c>
      <c r="E996" s="5">
        <v>0.82</v>
      </c>
      <c r="F996" s="7" t="s">
        <v>1758</v>
      </c>
      <c r="G996" s="2" t="s">
        <v>29</v>
      </c>
      <c r="H996" s="2" t="s">
        <v>1759</v>
      </c>
      <c r="I996" s="2" t="s">
        <v>2363</v>
      </c>
      <c r="J996" s="2" t="s">
        <v>2364</v>
      </c>
      <c r="K996" s="2" t="s">
        <v>2370</v>
      </c>
      <c r="L996" s="2" t="s">
        <v>45</v>
      </c>
    </row>
    <row r="997" spans="1:12" ht="37" customHeight="1">
      <c r="A997" s="2" t="s">
        <v>916</v>
      </c>
      <c r="B997" s="2" t="s">
        <v>874</v>
      </c>
      <c r="C997" s="2" t="s">
        <v>914</v>
      </c>
      <c r="D997" s="2" t="s">
        <v>254</v>
      </c>
      <c r="E997" s="5">
        <v>0.53</v>
      </c>
      <c r="F997" s="7" t="s">
        <v>1758</v>
      </c>
      <c r="G997" s="2" t="s">
        <v>29</v>
      </c>
      <c r="H997" s="2" t="s">
        <v>1759</v>
      </c>
      <c r="I997" s="2" t="s">
        <v>2363</v>
      </c>
      <c r="J997" s="2" t="s">
        <v>2364</v>
      </c>
      <c r="K997" s="2" t="s">
        <v>2370</v>
      </c>
      <c r="L997" s="2" t="s">
        <v>45</v>
      </c>
    </row>
    <row r="998" spans="1:12" ht="50.5" customHeight="1">
      <c r="A998" s="2" t="s">
        <v>916</v>
      </c>
      <c r="B998" s="2" t="s">
        <v>874</v>
      </c>
      <c r="C998" s="2" t="s">
        <v>914</v>
      </c>
      <c r="D998" s="2" t="s">
        <v>124</v>
      </c>
      <c r="E998" s="4">
        <v>2.5</v>
      </c>
      <c r="F998" s="7" t="s">
        <v>1763</v>
      </c>
      <c r="G998" s="2" t="s">
        <v>29</v>
      </c>
      <c r="H998" s="2" t="s">
        <v>1759</v>
      </c>
      <c r="I998" s="2" t="s">
        <v>2363</v>
      </c>
      <c r="J998" s="2" t="s">
        <v>2364</v>
      </c>
      <c r="K998" s="2" t="s">
        <v>2370</v>
      </c>
      <c r="L998" s="2" t="s">
        <v>45</v>
      </c>
    </row>
    <row r="999" spans="1:12" ht="50.5" customHeight="1">
      <c r="A999" s="2" t="s">
        <v>916</v>
      </c>
      <c r="B999" s="2" t="s">
        <v>874</v>
      </c>
      <c r="C999" s="2" t="s">
        <v>914</v>
      </c>
      <c r="D999" s="2" t="s">
        <v>65</v>
      </c>
      <c r="E999" s="4">
        <v>0.5</v>
      </c>
      <c r="F999" s="7" t="s">
        <v>1763</v>
      </c>
      <c r="G999" s="2" t="s">
        <v>29</v>
      </c>
      <c r="H999" s="2" t="s">
        <v>1759</v>
      </c>
      <c r="I999" s="2" t="s">
        <v>2363</v>
      </c>
      <c r="J999" s="2" t="s">
        <v>2364</v>
      </c>
      <c r="K999" s="2" t="s">
        <v>2370</v>
      </c>
      <c r="L999" s="2" t="s">
        <v>45</v>
      </c>
    </row>
    <row r="1000" spans="1:12" ht="37" customHeight="1">
      <c r="A1000" s="2" t="s">
        <v>916</v>
      </c>
      <c r="B1000" s="2" t="s">
        <v>874</v>
      </c>
      <c r="C1000" s="2" t="s">
        <v>914</v>
      </c>
      <c r="D1000" s="2" t="s">
        <v>222</v>
      </c>
      <c r="E1000" s="6">
        <v>2</v>
      </c>
      <c r="F1000" s="7" t="s">
        <v>1764</v>
      </c>
      <c r="G1000" s="2" t="s">
        <v>29</v>
      </c>
      <c r="H1000" s="2" t="s">
        <v>1759</v>
      </c>
      <c r="I1000" s="2" t="s">
        <v>2363</v>
      </c>
      <c r="J1000" s="2" t="s">
        <v>2364</v>
      </c>
      <c r="K1000" s="2" t="s">
        <v>2370</v>
      </c>
      <c r="L1000" s="2" t="s">
        <v>45</v>
      </c>
    </row>
    <row r="1001" spans="1:12" ht="34" customHeight="1">
      <c r="A1001" s="2" t="s">
        <v>916</v>
      </c>
      <c r="B1001" s="2" t="s">
        <v>874</v>
      </c>
      <c r="C1001" s="2" t="s">
        <v>914</v>
      </c>
      <c r="D1001" s="2" t="s">
        <v>1765</v>
      </c>
      <c r="E1001" s="6" t="s">
        <v>909</v>
      </c>
      <c r="F1001" s="7" t="s">
        <v>1766</v>
      </c>
      <c r="G1001" s="2" t="s">
        <v>29</v>
      </c>
      <c r="H1001" s="2" t="s">
        <v>1759</v>
      </c>
      <c r="I1001" s="2" t="s">
        <v>1767</v>
      </c>
      <c r="J1001" s="2"/>
      <c r="K1001" t="s">
        <v>1795</v>
      </c>
    </row>
    <row r="1002" spans="1:12" ht="34" customHeight="1">
      <c r="A1002" s="2" t="s">
        <v>923</v>
      </c>
      <c r="B1002" s="2" t="s">
        <v>874</v>
      </c>
      <c r="C1002" s="2" t="s">
        <v>918</v>
      </c>
      <c r="D1002" s="2" t="s">
        <v>1757</v>
      </c>
      <c r="E1002" s="5">
        <v>4.25</v>
      </c>
      <c r="F1002" s="7" t="s">
        <v>1758</v>
      </c>
      <c r="G1002" s="2" t="s">
        <v>920</v>
      </c>
      <c r="H1002" s="2" t="s">
        <v>1759</v>
      </c>
      <c r="I1002" s="2" t="s">
        <v>2371</v>
      </c>
      <c r="J1002" s="2" t="s">
        <v>2372</v>
      </c>
      <c r="K1002" s="2" t="s">
        <v>2373</v>
      </c>
      <c r="L1002" s="2" t="s">
        <v>45</v>
      </c>
    </row>
    <row r="1003" spans="1:12" ht="50.5" customHeight="1">
      <c r="A1003" s="2" t="s">
        <v>923</v>
      </c>
      <c r="B1003" s="2" t="s">
        <v>874</v>
      </c>
      <c r="C1003" s="2" t="s">
        <v>918</v>
      </c>
      <c r="D1003" s="2" t="s">
        <v>254</v>
      </c>
      <c r="E1003" s="17">
        <v>1.98</v>
      </c>
      <c r="F1003" s="20" t="s">
        <v>1758</v>
      </c>
      <c r="G1003" s="21" t="s">
        <v>920</v>
      </c>
      <c r="H1003" s="21" t="s">
        <v>1779</v>
      </c>
      <c r="I1003" s="2" t="s">
        <v>2374</v>
      </c>
      <c r="J1003" s="2" t="s">
        <v>2372</v>
      </c>
      <c r="K1003" s="2" t="s">
        <v>2375</v>
      </c>
      <c r="L1003" s="2" t="s">
        <v>45</v>
      </c>
    </row>
    <row r="1004" spans="1:12" ht="50.5" customHeight="1">
      <c r="A1004" s="2" t="s">
        <v>923</v>
      </c>
      <c r="B1004" s="2" t="s">
        <v>874</v>
      </c>
      <c r="C1004" s="2" t="s">
        <v>918</v>
      </c>
      <c r="D1004" s="2" t="s">
        <v>124</v>
      </c>
      <c r="E1004" s="5">
        <v>2.35</v>
      </c>
      <c r="F1004" s="7" t="s">
        <v>1763</v>
      </c>
      <c r="G1004" s="2" t="s">
        <v>920</v>
      </c>
      <c r="H1004" s="2" t="s">
        <v>1759</v>
      </c>
      <c r="I1004" s="2" t="s">
        <v>2371</v>
      </c>
      <c r="J1004" s="2" t="s">
        <v>2372</v>
      </c>
      <c r="K1004" s="2" t="s">
        <v>2373</v>
      </c>
      <c r="L1004" s="2" t="s">
        <v>45</v>
      </c>
    </row>
    <row r="1005" spans="1:12" ht="34" customHeight="1">
      <c r="A1005" s="2" t="s">
        <v>923</v>
      </c>
      <c r="B1005" s="2" t="s">
        <v>874</v>
      </c>
      <c r="C1005" s="2" t="s">
        <v>918</v>
      </c>
      <c r="D1005" s="2" t="s">
        <v>65</v>
      </c>
      <c r="E1005" s="4">
        <v>0.5</v>
      </c>
      <c r="F1005" s="7" t="s">
        <v>1763</v>
      </c>
      <c r="G1005" s="2" t="s">
        <v>920</v>
      </c>
      <c r="H1005" s="2" t="s">
        <v>1759</v>
      </c>
      <c r="I1005" s="2" t="s">
        <v>2371</v>
      </c>
      <c r="J1005" s="2" t="s">
        <v>2372</v>
      </c>
      <c r="K1005" s="2" t="s">
        <v>2373</v>
      </c>
      <c r="L1005" s="2" t="s">
        <v>45</v>
      </c>
    </row>
    <row r="1006" spans="1:12" ht="34" customHeight="1">
      <c r="A1006" s="2" t="s">
        <v>923</v>
      </c>
      <c r="B1006" s="2" t="s">
        <v>874</v>
      </c>
      <c r="C1006" s="2" t="s">
        <v>918</v>
      </c>
      <c r="D1006" s="2" t="s">
        <v>222</v>
      </c>
      <c r="E1006" s="4">
        <v>13.6</v>
      </c>
      <c r="F1006" s="7" t="s">
        <v>1764</v>
      </c>
      <c r="G1006" s="2" t="s">
        <v>920</v>
      </c>
      <c r="H1006" s="2" t="s">
        <v>1759</v>
      </c>
      <c r="I1006" s="2" t="s">
        <v>2371</v>
      </c>
      <c r="J1006" s="2" t="s">
        <v>2372</v>
      </c>
      <c r="K1006" s="2" t="s">
        <v>2373</v>
      </c>
      <c r="L1006" s="2" t="s">
        <v>45</v>
      </c>
    </row>
    <row r="1007" spans="1:12" ht="34" customHeight="1">
      <c r="A1007" s="2" t="s">
        <v>923</v>
      </c>
      <c r="B1007" s="2" t="s">
        <v>874</v>
      </c>
      <c r="C1007" s="2" t="s">
        <v>918</v>
      </c>
      <c r="D1007" s="2" t="s">
        <v>1765</v>
      </c>
      <c r="E1007" s="4" t="s">
        <v>919</v>
      </c>
      <c r="F1007" s="7" t="s">
        <v>1766</v>
      </c>
      <c r="G1007" s="2" t="s">
        <v>920</v>
      </c>
      <c r="H1007" s="2" t="s">
        <v>1759</v>
      </c>
      <c r="I1007" s="2" t="s">
        <v>1767</v>
      </c>
      <c r="J1007" s="2"/>
      <c r="K1007" t="s">
        <v>2376</v>
      </c>
    </row>
    <row r="1008" spans="1:12" ht="50.5" customHeight="1">
      <c r="A1008" s="2" t="s">
        <v>929</v>
      </c>
      <c r="B1008" s="2" t="s">
        <v>874</v>
      </c>
      <c r="C1008" s="2" t="s">
        <v>927</v>
      </c>
      <c r="D1008" s="2" t="s">
        <v>1757</v>
      </c>
      <c r="E1008" s="6">
        <v>5</v>
      </c>
      <c r="F1008" s="7" t="s">
        <v>1758</v>
      </c>
      <c r="G1008" s="2" t="s">
        <v>920</v>
      </c>
      <c r="H1008" s="2" t="s">
        <v>1759</v>
      </c>
      <c r="I1008" s="2" t="s">
        <v>2371</v>
      </c>
      <c r="J1008" s="2" t="s">
        <v>2372</v>
      </c>
      <c r="K1008" s="2" t="s">
        <v>2377</v>
      </c>
      <c r="L1008" s="2" t="s">
        <v>45</v>
      </c>
    </row>
    <row r="1009" spans="1:12" ht="50.5" customHeight="1">
      <c r="A1009" s="2" t="s">
        <v>929</v>
      </c>
      <c r="B1009" s="2" t="s">
        <v>874</v>
      </c>
      <c r="C1009" s="2" t="s">
        <v>927</v>
      </c>
      <c r="D1009" s="2" t="s">
        <v>254</v>
      </c>
      <c r="E1009" s="17">
        <v>2.17</v>
      </c>
      <c r="F1009" s="20" t="s">
        <v>1758</v>
      </c>
      <c r="G1009" s="21" t="s">
        <v>920</v>
      </c>
      <c r="H1009" s="21" t="s">
        <v>1779</v>
      </c>
      <c r="I1009" s="2" t="s">
        <v>2374</v>
      </c>
      <c r="J1009" s="2" t="s">
        <v>2372</v>
      </c>
      <c r="K1009" s="2" t="s">
        <v>2378</v>
      </c>
      <c r="L1009" s="2" t="s">
        <v>45</v>
      </c>
    </row>
    <row r="1010" spans="1:12" ht="34" customHeight="1">
      <c r="A1010" s="2" t="s">
        <v>929</v>
      </c>
      <c r="B1010" s="2" t="s">
        <v>874</v>
      </c>
      <c r="C1010" s="2" t="s">
        <v>927</v>
      </c>
      <c r="D1010" s="2" t="s">
        <v>124</v>
      </c>
      <c r="E1010" s="5">
        <v>2.42</v>
      </c>
      <c r="F1010" s="7" t="s">
        <v>1763</v>
      </c>
      <c r="G1010" s="2" t="s">
        <v>920</v>
      </c>
      <c r="H1010" s="2" t="s">
        <v>1759</v>
      </c>
      <c r="I1010" s="2" t="s">
        <v>2371</v>
      </c>
      <c r="J1010" s="2" t="s">
        <v>2372</v>
      </c>
      <c r="K1010" s="2" t="s">
        <v>2377</v>
      </c>
      <c r="L1010" s="2" t="s">
        <v>45</v>
      </c>
    </row>
    <row r="1011" spans="1:12" ht="34" customHeight="1">
      <c r="A1011" s="2" t="s">
        <v>929</v>
      </c>
      <c r="B1011" s="2" t="s">
        <v>874</v>
      </c>
      <c r="C1011" s="2" t="s">
        <v>927</v>
      </c>
      <c r="D1011" s="2" t="s">
        <v>65</v>
      </c>
      <c r="E1011" s="4">
        <v>0.5</v>
      </c>
      <c r="F1011" s="7" t="s">
        <v>1763</v>
      </c>
      <c r="G1011" s="2" t="s">
        <v>920</v>
      </c>
      <c r="H1011" s="2" t="s">
        <v>1759</v>
      </c>
      <c r="I1011" s="2" t="s">
        <v>2371</v>
      </c>
      <c r="J1011" s="2" t="s">
        <v>2372</v>
      </c>
      <c r="K1011" s="2" t="s">
        <v>2377</v>
      </c>
      <c r="L1011" s="2" t="s">
        <v>45</v>
      </c>
    </row>
    <row r="1012" spans="1:12" ht="34" customHeight="1">
      <c r="A1012" s="2" t="s">
        <v>929</v>
      </c>
      <c r="B1012" s="2" t="s">
        <v>874</v>
      </c>
      <c r="C1012" s="2" t="s">
        <v>927</v>
      </c>
      <c r="D1012" s="2" t="s">
        <v>222</v>
      </c>
      <c r="E1012" s="4">
        <v>14.8</v>
      </c>
      <c r="F1012" s="7" t="s">
        <v>1764</v>
      </c>
      <c r="G1012" s="2" t="s">
        <v>920</v>
      </c>
      <c r="H1012" s="2" t="s">
        <v>1759</v>
      </c>
      <c r="I1012" s="2" t="s">
        <v>2371</v>
      </c>
      <c r="J1012" s="2" t="s">
        <v>2372</v>
      </c>
      <c r="K1012" s="2" t="s">
        <v>2377</v>
      </c>
      <c r="L1012" s="2" t="s">
        <v>45</v>
      </c>
    </row>
    <row r="1013" spans="1:12" ht="50.5" customHeight="1">
      <c r="A1013" s="2" t="s">
        <v>929</v>
      </c>
      <c r="B1013" s="2" t="s">
        <v>874</v>
      </c>
      <c r="C1013" s="2" t="s">
        <v>927</v>
      </c>
      <c r="D1013" s="2" t="s">
        <v>1765</v>
      </c>
      <c r="E1013" s="4" t="s">
        <v>928</v>
      </c>
      <c r="F1013" s="7" t="s">
        <v>1766</v>
      </c>
      <c r="G1013" s="2" t="s">
        <v>920</v>
      </c>
      <c r="H1013" s="2" t="s">
        <v>1759</v>
      </c>
      <c r="I1013" s="2" t="s">
        <v>1767</v>
      </c>
      <c r="J1013" s="2"/>
      <c r="K1013" t="s">
        <v>2379</v>
      </c>
    </row>
    <row r="1014" spans="1:12" ht="50.5" customHeight="1">
      <c r="A1014" s="2" t="s">
        <v>934</v>
      </c>
      <c r="B1014" s="2" t="s">
        <v>874</v>
      </c>
      <c r="C1014" s="2" t="s">
        <v>931</v>
      </c>
      <c r="D1014" s="2" t="s">
        <v>1757</v>
      </c>
      <c r="E1014" s="5">
        <v>0.25</v>
      </c>
      <c r="F1014" s="7" t="s">
        <v>1758</v>
      </c>
      <c r="G1014" s="2" t="s">
        <v>71</v>
      </c>
      <c r="H1014" s="2" t="s">
        <v>1759</v>
      </c>
      <c r="I1014" s="2" t="s">
        <v>2380</v>
      </c>
      <c r="J1014" s="2" t="s">
        <v>2381</v>
      </c>
      <c r="K1014" s="2" t="s">
        <v>2382</v>
      </c>
      <c r="L1014" s="2" t="s">
        <v>45</v>
      </c>
    </row>
    <row r="1015" spans="1:12" ht="34" customHeight="1">
      <c r="A1015" s="2" t="s">
        <v>934</v>
      </c>
      <c r="B1015" s="2" t="s">
        <v>874</v>
      </c>
      <c r="C1015" s="2" t="s">
        <v>931</v>
      </c>
      <c r="D1015" s="2" t="s">
        <v>254</v>
      </c>
      <c r="E1015" s="8">
        <v>0.125</v>
      </c>
      <c r="F1015" s="7" t="s">
        <v>1758</v>
      </c>
      <c r="G1015" s="2" t="s">
        <v>71</v>
      </c>
      <c r="H1015" s="2" t="s">
        <v>1759</v>
      </c>
      <c r="I1015" s="2" t="s">
        <v>2380</v>
      </c>
      <c r="J1015" s="2" t="s">
        <v>2381</v>
      </c>
      <c r="K1015" s="2" t="s">
        <v>2382</v>
      </c>
      <c r="L1015" s="2" t="s">
        <v>45</v>
      </c>
    </row>
    <row r="1016" spans="1:12" ht="37" customHeight="1">
      <c r="A1016" s="2" t="s">
        <v>934</v>
      </c>
      <c r="B1016" s="2" t="s">
        <v>874</v>
      </c>
      <c r="C1016" s="2" t="s">
        <v>931</v>
      </c>
      <c r="D1016" s="2" t="s">
        <v>124</v>
      </c>
      <c r="E1016" s="7"/>
      <c r="F1016" s="7" t="s">
        <v>1763</v>
      </c>
      <c r="G1016" s="2" t="s">
        <v>71</v>
      </c>
      <c r="H1016" s="2" t="s">
        <v>1773</v>
      </c>
      <c r="I1016" s="2"/>
      <c r="J1016" s="2"/>
      <c r="K1016" s="2" t="s">
        <v>2382</v>
      </c>
      <c r="L1016" s="2" t="s">
        <v>45</v>
      </c>
    </row>
    <row r="1017" spans="1:12" ht="37" customHeight="1">
      <c r="A1017" s="2" t="s">
        <v>934</v>
      </c>
      <c r="B1017" s="2" t="s">
        <v>874</v>
      </c>
      <c r="C1017" s="2" t="s">
        <v>931</v>
      </c>
      <c r="D1017" s="2" t="s">
        <v>65</v>
      </c>
      <c r="E1017" s="7"/>
      <c r="F1017" s="7" t="s">
        <v>1763</v>
      </c>
      <c r="G1017" s="2" t="s">
        <v>71</v>
      </c>
      <c r="H1017" s="2" t="s">
        <v>1773</v>
      </c>
      <c r="I1017" s="2"/>
      <c r="J1017" s="2"/>
      <c r="K1017" s="2" t="s">
        <v>2382</v>
      </c>
      <c r="L1017" s="2" t="s">
        <v>45</v>
      </c>
    </row>
    <row r="1018" spans="1:12" ht="37" customHeight="1">
      <c r="A1018" s="2" t="s">
        <v>934</v>
      </c>
      <c r="B1018" s="2" t="s">
        <v>874</v>
      </c>
      <c r="C1018" s="2" t="s">
        <v>931</v>
      </c>
      <c r="D1018" s="2" t="s">
        <v>222</v>
      </c>
      <c r="E1018" s="7" t="s">
        <v>932</v>
      </c>
      <c r="F1018" s="7" t="s">
        <v>1764</v>
      </c>
      <c r="G1018" s="2" t="s">
        <v>71</v>
      </c>
      <c r="H1018" s="2" t="s">
        <v>1759</v>
      </c>
      <c r="I1018" s="2" t="s">
        <v>2380</v>
      </c>
      <c r="J1018" s="2" t="s">
        <v>2381</v>
      </c>
      <c r="K1018" s="2" t="s">
        <v>2382</v>
      </c>
      <c r="L1018" s="2" t="s">
        <v>45</v>
      </c>
    </row>
    <row r="1019" spans="1:12" ht="37" customHeight="1">
      <c r="A1019" s="2" t="s">
        <v>934</v>
      </c>
      <c r="B1019" s="2" t="s">
        <v>874</v>
      </c>
      <c r="C1019" s="2" t="s">
        <v>931</v>
      </c>
      <c r="D1019" s="2" t="s">
        <v>1765</v>
      </c>
      <c r="E1019" s="7" t="s">
        <v>408</v>
      </c>
      <c r="F1019" s="7" t="s">
        <v>1766</v>
      </c>
      <c r="G1019" s="2" t="s">
        <v>71</v>
      </c>
      <c r="H1019" s="2" t="s">
        <v>1759</v>
      </c>
      <c r="I1019" s="2" t="s">
        <v>1767</v>
      </c>
      <c r="J1019" s="2"/>
      <c r="K1019" t="s">
        <v>2383</v>
      </c>
    </row>
    <row r="1020" spans="1:12" ht="37" customHeight="1">
      <c r="A1020" s="2" t="s">
        <v>941</v>
      </c>
      <c r="B1020" s="2" t="s">
        <v>874</v>
      </c>
      <c r="C1020" s="2" t="s">
        <v>937</v>
      </c>
      <c r="D1020" s="2" t="s">
        <v>1757</v>
      </c>
      <c r="E1020" s="5">
        <v>0.25</v>
      </c>
      <c r="F1020" s="7" t="s">
        <v>1758</v>
      </c>
      <c r="G1020" s="2" t="s">
        <v>938</v>
      </c>
      <c r="H1020" s="2" t="s">
        <v>1759</v>
      </c>
      <c r="I1020" s="2" t="s">
        <v>2384</v>
      </c>
      <c r="J1020" s="2" t="s">
        <v>2385</v>
      </c>
      <c r="K1020" s="2" t="s">
        <v>2386</v>
      </c>
      <c r="L1020" s="2" t="s">
        <v>45</v>
      </c>
    </row>
    <row r="1021" spans="1:12" ht="50.5" customHeight="1">
      <c r="A1021" s="2" t="s">
        <v>941</v>
      </c>
      <c r="B1021" s="2" t="s">
        <v>874</v>
      </c>
      <c r="C1021" s="2" t="s">
        <v>937</v>
      </c>
      <c r="D1021" s="2" t="s">
        <v>254</v>
      </c>
      <c r="E1021" s="7"/>
      <c r="F1021" s="7" t="s">
        <v>1758</v>
      </c>
      <c r="G1021" s="2" t="s">
        <v>938</v>
      </c>
      <c r="H1021" s="2" t="s">
        <v>1773</v>
      </c>
      <c r="I1021" s="2"/>
      <c r="J1021" s="2"/>
      <c r="K1021" s="2" t="s">
        <v>2386</v>
      </c>
      <c r="L1021" s="2" t="s">
        <v>45</v>
      </c>
    </row>
    <row r="1022" spans="1:12" ht="50.5" customHeight="1">
      <c r="A1022" s="2" t="s">
        <v>941</v>
      </c>
      <c r="B1022" s="2" t="s">
        <v>874</v>
      </c>
      <c r="C1022" s="2" t="s">
        <v>937</v>
      </c>
      <c r="D1022" s="2" t="s">
        <v>124</v>
      </c>
      <c r="E1022" s="7"/>
      <c r="F1022" s="7" t="s">
        <v>1763</v>
      </c>
      <c r="G1022" s="2" t="s">
        <v>938</v>
      </c>
      <c r="H1022" s="2" t="s">
        <v>1773</v>
      </c>
      <c r="I1022" s="2"/>
      <c r="J1022" s="2"/>
      <c r="K1022" s="2" t="s">
        <v>2386</v>
      </c>
      <c r="L1022" s="2" t="s">
        <v>45</v>
      </c>
    </row>
    <row r="1023" spans="1:12" ht="64" customHeight="1">
      <c r="A1023" s="2" t="s">
        <v>941</v>
      </c>
      <c r="B1023" s="2" t="s">
        <v>874</v>
      </c>
      <c r="C1023" s="2" t="s">
        <v>937</v>
      </c>
      <c r="D1023" s="2" t="s">
        <v>65</v>
      </c>
      <c r="E1023" s="7"/>
      <c r="F1023" s="7" t="s">
        <v>1763</v>
      </c>
      <c r="G1023" s="2" t="s">
        <v>938</v>
      </c>
      <c r="H1023" s="2" t="s">
        <v>1773</v>
      </c>
      <c r="I1023" s="2"/>
      <c r="J1023" s="2"/>
      <c r="K1023" s="2" t="s">
        <v>2386</v>
      </c>
      <c r="L1023" s="2" t="s">
        <v>45</v>
      </c>
    </row>
    <row r="1024" spans="1:12" ht="64" customHeight="1">
      <c r="A1024" s="2" t="s">
        <v>941</v>
      </c>
      <c r="B1024" s="2" t="s">
        <v>874</v>
      </c>
      <c r="C1024" s="2" t="s">
        <v>937</v>
      </c>
      <c r="D1024" s="2" t="s">
        <v>222</v>
      </c>
      <c r="E1024" s="7"/>
      <c r="F1024" s="7" t="s">
        <v>1764</v>
      </c>
      <c r="G1024" s="2" t="s">
        <v>938</v>
      </c>
      <c r="H1024" s="2" t="s">
        <v>1773</v>
      </c>
      <c r="I1024" s="2"/>
      <c r="J1024" s="2"/>
      <c r="K1024" s="2" t="s">
        <v>2386</v>
      </c>
      <c r="L1024" s="2" t="s">
        <v>45</v>
      </c>
    </row>
    <row r="1025" spans="1:12" ht="50.5" customHeight="1">
      <c r="A1025" s="2" t="s">
        <v>941</v>
      </c>
      <c r="B1025" s="2" t="s">
        <v>874</v>
      </c>
      <c r="C1025" s="2" t="s">
        <v>937</v>
      </c>
      <c r="D1025" s="2" t="s">
        <v>1765</v>
      </c>
      <c r="E1025" s="7" t="s">
        <v>408</v>
      </c>
      <c r="F1025" s="7" t="s">
        <v>1766</v>
      </c>
      <c r="G1025" s="2" t="s">
        <v>938</v>
      </c>
      <c r="H1025" s="2" t="s">
        <v>1759</v>
      </c>
      <c r="I1025" s="2" t="s">
        <v>1767</v>
      </c>
      <c r="J1025" s="2"/>
      <c r="K1025" t="s">
        <v>2383</v>
      </c>
    </row>
    <row r="1026" spans="1:12" ht="37" customHeight="1">
      <c r="A1026" s="2" t="s">
        <v>947</v>
      </c>
      <c r="B1026" s="2" t="s">
        <v>874</v>
      </c>
      <c r="C1026" s="2" t="s">
        <v>944</v>
      </c>
      <c r="D1026" s="2" t="s">
        <v>1757</v>
      </c>
      <c r="E1026" s="4">
        <v>0.4</v>
      </c>
      <c r="F1026" s="7" t="s">
        <v>1758</v>
      </c>
      <c r="G1026" s="2" t="s">
        <v>29</v>
      </c>
      <c r="H1026" s="2" t="s">
        <v>1759</v>
      </c>
      <c r="I1026" s="2" t="s">
        <v>2363</v>
      </c>
      <c r="J1026" s="2" t="s">
        <v>2364</v>
      </c>
      <c r="K1026" s="2" t="s">
        <v>2387</v>
      </c>
      <c r="L1026" s="2" t="s">
        <v>45</v>
      </c>
    </row>
    <row r="1027" spans="1:12" ht="37" customHeight="1">
      <c r="A1027" s="2" t="s">
        <v>947</v>
      </c>
      <c r="B1027" s="2" t="s">
        <v>874</v>
      </c>
      <c r="C1027" s="2" t="s">
        <v>944</v>
      </c>
      <c r="D1027" s="2" t="s">
        <v>254</v>
      </c>
      <c r="E1027" s="5">
        <v>0.24</v>
      </c>
      <c r="F1027" s="7" t="s">
        <v>1758</v>
      </c>
      <c r="G1027" s="2" t="s">
        <v>29</v>
      </c>
      <c r="H1027" s="2" t="s">
        <v>1759</v>
      </c>
      <c r="I1027" s="2" t="s">
        <v>2363</v>
      </c>
      <c r="J1027" s="2" t="s">
        <v>2364</v>
      </c>
      <c r="K1027" s="2" t="s">
        <v>2387</v>
      </c>
      <c r="L1027" s="2" t="s">
        <v>45</v>
      </c>
    </row>
    <row r="1028" spans="1:12" ht="37" customHeight="1">
      <c r="A1028" s="2" t="s">
        <v>947</v>
      </c>
      <c r="B1028" s="2" t="s">
        <v>874</v>
      </c>
      <c r="C1028" s="2" t="s">
        <v>944</v>
      </c>
      <c r="D1028" s="2" t="s">
        <v>124</v>
      </c>
      <c r="E1028" s="4">
        <v>2.5</v>
      </c>
      <c r="F1028" s="7" t="s">
        <v>1763</v>
      </c>
      <c r="G1028" s="2" t="s">
        <v>29</v>
      </c>
      <c r="H1028" s="2" t="s">
        <v>1759</v>
      </c>
      <c r="I1028" s="2" t="s">
        <v>2363</v>
      </c>
      <c r="J1028" s="2" t="s">
        <v>2364</v>
      </c>
      <c r="K1028" s="2" t="s">
        <v>2387</v>
      </c>
      <c r="L1028" s="2" t="s">
        <v>45</v>
      </c>
    </row>
    <row r="1029" spans="1:12" ht="37" customHeight="1">
      <c r="A1029" s="2" t="s">
        <v>947</v>
      </c>
      <c r="B1029" s="2" t="s">
        <v>874</v>
      </c>
      <c r="C1029" s="2" t="s">
        <v>944</v>
      </c>
      <c r="D1029" s="2" t="s">
        <v>65</v>
      </c>
      <c r="E1029" s="5">
        <v>0.35</v>
      </c>
      <c r="F1029" s="7" t="s">
        <v>1763</v>
      </c>
      <c r="G1029" s="2" t="s">
        <v>29</v>
      </c>
      <c r="H1029" s="2" t="s">
        <v>1759</v>
      </c>
      <c r="I1029" s="2" t="s">
        <v>2363</v>
      </c>
      <c r="J1029" s="2" t="s">
        <v>2364</v>
      </c>
      <c r="K1029" s="2" t="s">
        <v>2387</v>
      </c>
      <c r="L1029" s="2" t="s">
        <v>45</v>
      </c>
    </row>
    <row r="1030" spans="1:12" ht="37" customHeight="1">
      <c r="A1030" s="2" t="s">
        <v>947</v>
      </c>
      <c r="B1030" s="2" t="s">
        <v>874</v>
      </c>
      <c r="C1030" s="2" t="s">
        <v>944</v>
      </c>
      <c r="D1030" s="2" t="s">
        <v>222</v>
      </c>
      <c r="E1030" s="6">
        <v>2</v>
      </c>
      <c r="F1030" s="7" t="s">
        <v>1764</v>
      </c>
      <c r="G1030" s="2" t="s">
        <v>29</v>
      </c>
      <c r="H1030" s="2" t="s">
        <v>1759</v>
      </c>
      <c r="I1030" s="2" t="s">
        <v>2363</v>
      </c>
      <c r="J1030" s="2" t="s">
        <v>2364</v>
      </c>
      <c r="K1030" s="2" t="s">
        <v>2387</v>
      </c>
      <c r="L1030" s="2" t="s">
        <v>45</v>
      </c>
    </row>
    <row r="1031" spans="1:12" ht="37" customHeight="1">
      <c r="A1031" s="2" t="s">
        <v>947</v>
      </c>
      <c r="B1031" s="2" t="s">
        <v>874</v>
      </c>
      <c r="C1031" s="2" t="s">
        <v>944</v>
      </c>
      <c r="D1031" s="2" t="s">
        <v>1765</v>
      </c>
      <c r="E1031" s="6" t="s">
        <v>76</v>
      </c>
      <c r="F1031" s="7" t="s">
        <v>1766</v>
      </c>
      <c r="G1031" s="2" t="s">
        <v>29</v>
      </c>
      <c r="H1031" s="2" t="s">
        <v>1759</v>
      </c>
      <c r="I1031" s="2" t="s">
        <v>1767</v>
      </c>
      <c r="J1031" s="2"/>
      <c r="K1031" t="s">
        <v>2388</v>
      </c>
    </row>
    <row r="1032" spans="1:12" ht="37" customHeight="1">
      <c r="A1032" s="2" t="s">
        <v>950</v>
      </c>
      <c r="B1032" s="2" t="s">
        <v>874</v>
      </c>
      <c r="C1032" s="2" t="s">
        <v>948</v>
      </c>
      <c r="D1032" s="2" t="s">
        <v>1757</v>
      </c>
      <c r="E1032" s="7"/>
      <c r="F1032" s="7" t="s">
        <v>1758</v>
      </c>
      <c r="G1032" s="2" t="s">
        <v>49</v>
      </c>
      <c r="H1032" s="2" t="s">
        <v>1773</v>
      </c>
      <c r="I1032" s="2"/>
      <c r="J1032" s="2"/>
      <c r="K1032" s="2" t="s">
        <v>2389</v>
      </c>
      <c r="L1032" s="2" t="s">
        <v>130</v>
      </c>
    </row>
    <row r="1033" spans="1:12" ht="37" customHeight="1">
      <c r="A1033" s="2" t="s">
        <v>950</v>
      </c>
      <c r="B1033" s="2" t="s">
        <v>874</v>
      </c>
      <c r="C1033" s="2" t="s">
        <v>948</v>
      </c>
      <c r="D1033" s="2" t="s">
        <v>254</v>
      </c>
      <c r="E1033" s="7"/>
      <c r="F1033" s="7" t="s">
        <v>1758</v>
      </c>
      <c r="G1033" s="2" t="s">
        <v>49</v>
      </c>
      <c r="H1033" s="2" t="s">
        <v>1773</v>
      </c>
      <c r="I1033" s="2"/>
      <c r="J1033" s="2"/>
      <c r="K1033" s="2" t="s">
        <v>2389</v>
      </c>
      <c r="L1033" s="2" t="s">
        <v>130</v>
      </c>
    </row>
    <row r="1034" spans="1:12" ht="37" customHeight="1">
      <c r="A1034" s="2" t="s">
        <v>950</v>
      </c>
      <c r="B1034" s="2" t="s">
        <v>874</v>
      </c>
      <c r="C1034" s="2" t="s">
        <v>948</v>
      </c>
      <c r="D1034" s="2" t="s">
        <v>124</v>
      </c>
      <c r="E1034" s="7"/>
      <c r="F1034" s="7" t="s">
        <v>1763</v>
      </c>
      <c r="G1034" s="2" t="s">
        <v>49</v>
      </c>
      <c r="H1034" s="2" t="s">
        <v>1773</v>
      </c>
      <c r="I1034" s="2"/>
      <c r="J1034" s="2"/>
      <c r="K1034" s="2" t="s">
        <v>2389</v>
      </c>
      <c r="L1034" s="2" t="s">
        <v>130</v>
      </c>
    </row>
    <row r="1035" spans="1:12" ht="37" customHeight="1">
      <c r="A1035" s="2" t="s">
        <v>950</v>
      </c>
      <c r="B1035" s="2" t="s">
        <v>874</v>
      </c>
      <c r="C1035" s="2" t="s">
        <v>948</v>
      </c>
      <c r="D1035" s="2" t="s">
        <v>65</v>
      </c>
      <c r="E1035" s="7"/>
      <c r="F1035" s="7" t="s">
        <v>1763</v>
      </c>
      <c r="G1035" s="2" t="s">
        <v>49</v>
      </c>
      <c r="H1035" s="2" t="s">
        <v>1773</v>
      </c>
      <c r="I1035" s="2"/>
      <c r="J1035" s="2"/>
      <c r="K1035" s="2" t="s">
        <v>2389</v>
      </c>
      <c r="L1035" s="2" t="s">
        <v>130</v>
      </c>
    </row>
    <row r="1036" spans="1:12" ht="37" customHeight="1">
      <c r="A1036" s="2" t="s">
        <v>950</v>
      </c>
      <c r="B1036" s="2" t="s">
        <v>874</v>
      </c>
      <c r="C1036" s="2" t="s">
        <v>948</v>
      </c>
      <c r="D1036" s="2" t="s">
        <v>222</v>
      </c>
      <c r="E1036" s="7"/>
      <c r="F1036" s="7" t="s">
        <v>1764</v>
      </c>
      <c r="G1036" s="2" t="s">
        <v>49</v>
      </c>
      <c r="H1036" s="2" t="s">
        <v>1773</v>
      </c>
      <c r="I1036" s="2"/>
      <c r="J1036" s="2"/>
      <c r="K1036" s="2" t="s">
        <v>2389</v>
      </c>
      <c r="L1036" s="2" t="s">
        <v>130</v>
      </c>
    </row>
    <row r="1037" spans="1:12" ht="37" customHeight="1">
      <c r="A1037" s="2" t="s">
        <v>950</v>
      </c>
      <c r="B1037" s="2" t="s">
        <v>874</v>
      </c>
      <c r="C1037" s="2" t="s">
        <v>948</v>
      </c>
      <c r="D1037" s="2" t="s">
        <v>1765</v>
      </c>
      <c r="E1037" s="7"/>
      <c r="F1037" s="7" t="s">
        <v>1766</v>
      </c>
      <c r="G1037" s="2" t="s">
        <v>49</v>
      </c>
      <c r="H1037" s="2" t="s">
        <v>1803</v>
      </c>
      <c r="I1037" s="2"/>
      <c r="J1037" s="2"/>
      <c r="K1037" t="s">
        <v>1804</v>
      </c>
    </row>
    <row r="1038" spans="1:12" ht="50.5" customHeight="1">
      <c r="A1038" s="2" t="s">
        <v>957</v>
      </c>
      <c r="B1038" s="2" t="s">
        <v>874</v>
      </c>
      <c r="C1038" s="2" t="s">
        <v>953</v>
      </c>
      <c r="D1038" s="2" t="s">
        <v>1757</v>
      </c>
      <c r="E1038" s="4">
        <v>0.3</v>
      </c>
      <c r="F1038" s="7" t="s">
        <v>1758</v>
      </c>
      <c r="G1038" s="2" t="s">
        <v>180</v>
      </c>
      <c r="H1038" s="2" t="s">
        <v>1759</v>
      </c>
      <c r="I1038" s="2" t="s">
        <v>2363</v>
      </c>
      <c r="J1038" s="2" t="s">
        <v>2364</v>
      </c>
      <c r="K1038" s="2" t="s">
        <v>2390</v>
      </c>
      <c r="L1038" s="2" t="s">
        <v>45</v>
      </c>
    </row>
    <row r="1039" spans="1:12" ht="50.5" customHeight="1">
      <c r="A1039" s="2" t="s">
        <v>957</v>
      </c>
      <c r="B1039" s="2" t="s">
        <v>874</v>
      </c>
      <c r="C1039" s="2" t="s">
        <v>953</v>
      </c>
      <c r="D1039" s="2" t="s">
        <v>254</v>
      </c>
      <c r="E1039" s="5">
        <v>0.23</v>
      </c>
      <c r="F1039" s="7" t="s">
        <v>1758</v>
      </c>
      <c r="G1039" s="2" t="s">
        <v>180</v>
      </c>
      <c r="H1039" s="2" t="s">
        <v>1759</v>
      </c>
      <c r="I1039" s="2" t="s">
        <v>2363</v>
      </c>
      <c r="J1039" s="2" t="s">
        <v>2364</v>
      </c>
      <c r="K1039" s="2" t="s">
        <v>2390</v>
      </c>
      <c r="L1039" s="2" t="s">
        <v>45</v>
      </c>
    </row>
    <row r="1040" spans="1:12" ht="37" customHeight="1">
      <c r="A1040" s="2" t="s">
        <v>957</v>
      </c>
      <c r="B1040" s="2" t="s">
        <v>874</v>
      </c>
      <c r="C1040" s="2" t="s">
        <v>953</v>
      </c>
      <c r="D1040" s="2" t="s">
        <v>124</v>
      </c>
      <c r="E1040" s="4">
        <v>1.8</v>
      </c>
      <c r="F1040" s="7" t="s">
        <v>1763</v>
      </c>
      <c r="G1040" s="2" t="s">
        <v>180</v>
      </c>
      <c r="H1040" s="2" t="s">
        <v>1759</v>
      </c>
      <c r="I1040" s="2" t="s">
        <v>2363</v>
      </c>
      <c r="J1040" s="2" t="s">
        <v>2364</v>
      </c>
      <c r="K1040" s="2" t="s">
        <v>2390</v>
      </c>
      <c r="L1040" s="2" t="s">
        <v>45</v>
      </c>
    </row>
    <row r="1041" spans="1:12" ht="34" customHeight="1">
      <c r="A1041" s="2" t="s">
        <v>957</v>
      </c>
      <c r="B1041" s="2" t="s">
        <v>874</v>
      </c>
      <c r="C1041" s="2" t="s">
        <v>953</v>
      </c>
      <c r="D1041" s="2" t="s">
        <v>65</v>
      </c>
      <c r="E1041" s="4">
        <v>0.5</v>
      </c>
      <c r="F1041" s="7" t="s">
        <v>1763</v>
      </c>
      <c r="G1041" s="2" t="s">
        <v>180</v>
      </c>
      <c r="H1041" s="2" t="s">
        <v>1759</v>
      </c>
      <c r="I1041" s="2" t="s">
        <v>2363</v>
      </c>
      <c r="J1041" s="2" t="s">
        <v>2364</v>
      </c>
      <c r="K1041" s="2" t="s">
        <v>2390</v>
      </c>
      <c r="L1041" s="2" t="s">
        <v>45</v>
      </c>
    </row>
    <row r="1042" spans="1:12" ht="34" customHeight="1">
      <c r="A1042" s="2" t="s">
        <v>957</v>
      </c>
      <c r="B1042" s="2" t="s">
        <v>874</v>
      </c>
      <c r="C1042" s="2" t="s">
        <v>953</v>
      </c>
      <c r="D1042" s="2" t="s">
        <v>222</v>
      </c>
      <c r="E1042" s="4">
        <v>0.3</v>
      </c>
      <c r="F1042" s="7" t="s">
        <v>1764</v>
      </c>
      <c r="G1042" s="2" t="s">
        <v>180</v>
      </c>
      <c r="H1042" s="2" t="s">
        <v>1759</v>
      </c>
      <c r="I1042" s="2" t="s">
        <v>2363</v>
      </c>
      <c r="J1042" s="2" t="s">
        <v>2364</v>
      </c>
      <c r="K1042" s="2" t="s">
        <v>2390</v>
      </c>
      <c r="L1042" s="2" t="s">
        <v>45</v>
      </c>
    </row>
    <row r="1043" spans="1:12" ht="34" customHeight="1">
      <c r="A1043" s="2" t="s">
        <v>957</v>
      </c>
      <c r="B1043" s="2" t="s">
        <v>874</v>
      </c>
      <c r="C1043" s="2" t="s">
        <v>953</v>
      </c>
      <c r="D1043" s="2" t="s">
        <v>1765</v>
      </c>
      <c r="E1043" s="4" t="s">
        <v>954</v>
      </c>
      <c r="F1043" s="7" t="s">
        <v>1766</v>
      </c>
      <c r="G1043" s="2" t="s">
        <v>180</v>
      </c>
      <c r="H1043" s="2" t="s">
        <v>1759</v>
      </c>
      <c r="I1043" s="2" t="s">
        <v>1767</v>
      </c>
      <c r="J1043" s="2"/>
      <c r="K1043" t="s">
        <v>1954</v>
      </c>
    </row>
    <row r="1044" spans="1:12" ht="34" customHeight="1">
      <c r="A1044" s="2" t="s">
        <v>964</v>
      </c>
      <c r="B1044" s="2" t="s">
        <v>874</v>
      </c>
      <c r="C1044" s="2" t="s">
        <v>959</v>
      </c>
      <c r="D1044" s="2" t="s">
        <v>1757</v>
      </c>
      <c r="E1044" s="4">
        <v>3.6</v>
      </c>
      <c r="F1044" s="7" t="s">
        <v>1758</v>
      </c>
      <c r="G1044" s="2" t="s">
        <v>29</v>
      </c>
      <c r="H1044" s="2" t="s">
        <v>1759</v>
      </c>
      <c r="I1044" s="2" t="s">
        <v>2391</v>
      </c>
      <c r="J1044" s="2" t="s">
        <v>2392</v>
      </c>
      <c r="K1044" s="2" t="s">
        <v>2393</v>
      </c>
      <c r="L1044" s="2" t="s">
        <v>35</v>
      </c>
    </row>
    <row r="1045" spans="1:12" ht="34" customHeight="1">
      <c r="A1045" s="2" t="s">
        <v>964</v>
      </c>
      <c r="B1045" s="2" t="s">
        <v>874</v>
      </c>
      <c r="C1045" s="2" t="s">
        <v>959</v>
      </c>
      <c r="D1045" s="2" t="s">
        <v>254</v>
      </c>
      <c r="E1045" s="6">
        <v>2</v>
      </c>
      <c r="F1045" s="7" t="s">
        <v>1758</v>
      </c>
      <c r="G1045" s="2" t="s">
        <v>29</v>
      </c>
      <c r="H1045" s="2" t="s">
        <v>1759</v>
      </c>
      <c r="I1045" s="2" t="s">
        <v>2394</v>
      </c>
      <c r="J1045" s="2" t="s">
        <v>2395</v>
      </c>
      <c r="K1045" s="2" t="s">
        <v>2393</v>
      </c>
      <c r="L1045" s="2" t="s">
        <v>35</v>
      </c>
    </row>
    <row r="1046" spans="1:12" ht="34" customHeight="1">
      <c r="A1046" s="2" t="s">
        <v>964</v>
      </c>
      <c r="B1046" s="2" t="s">
        <v>874</v>
      </c>
      <c r="C1046" s="2" t="s">
        <v>959</v>
      </c>
      <c r="D1046" s="2" t="s">
        <v>124</v>
      </c>
      <c r="E1046" s="5">
        <v>2.93</v>
      </c>
      <c r="F1046" s="7" t="s">
        <v>1763</v>
      </c>
      <c r="G1046" s="2" t="s">
        <v>29</v>
      </c>
      <c r="H1046" s="2" t="s">
        <v>1759</v>
      </c>
      <c r="I1046" s="2" t="s">
        <v>2391</v>
      </c>
      <c r="J1046" s="2" t="s">
        <v>2392</v>
      </c>
      <c r="K1046" s="2" t="s">
        <v>2393</v>
      </c>
      <c r="L1046" s="2" t="s">
        <v>35</v>
      </c>
    </row>
    <row r="1047" spans="1:12" ht="34" customHeight="1">
      <c r="A1047" s="2" t="s">
        <v>964</v>
      </c>
      <c r="B1047" s="2" t="s">
        <v>874</v>
      </c>
      <c r="C1047" s="2" t="s">
        <v>959</v>
      </c>
      <c r="D1047" s="2" t="s">
        <v>65</v>
      </c>
      <c r="E1047" s="4">
        <v>0.5</v>
      </c>
      <c r="F1047" s="7" t="s">
        <v>1763</v>
      </c>
      <c r="G1047" s="2" t="s">
        <v>29</v>
      </c>
      <c r="H1047" s="2" t="s">
        <v>1759</v>
      </c>
      <c r="I1047" s="2" t="s">
        <v>2391</v>
      </c>
      <c r="J1047" s="2" t="s">
        <v>2392</v>
      </c>
      <c r="K1047" s="2" t="s">
        <v>2393</v>
      </c>
      <c r="L1047" s="2" t="s">
        <v>35</v>
      </c>
    </row>
    <row r="1048" spans="1:12" ht="50.5" customHeight="1">
      <c r="A1048" s="2" t="s">
        <v>964</v>
      </c>
      <c r="B1048" s="2" t="s">
        <v>874</v>
      </c>
      <c r="C1048" s="2" t="s">
        <v>959</v>
      </c>
      <c r="D1048" s="2" t="s">
        <v>222</v>
      </c>
      <c r="E1048" s="7" t="s">
        <v>960</v>
      </c>
      <c r="F1048" s="7" t="s">
        <v>1764</v>
      </c>
      <c r="G1048" s="2" t="s">
        <v>29</v>
      </c>
      <c r="H1048" s="2" t="s">
        <v>1759</v>
      </c>
      <c r="I1048" s="2" t="s">
        <v>2391</v>
      </c>
      <c r="J1048" s="2" t="s">
        <v>2392</v>
      </c>
      <c r="K1048" s="2" t="s">
        <v>2393</v>
      </c>
      <c r="L1048" s="2" t="s">
        <v>35</v>
      </c>
    </row>
    <row r="1049" spans="1:12" ht="50.5" customHeight="1">
      <c r="A1049" s="2" t="s">
        <v>964</v>
      </c>
      <c r="B1049" s="2" t="s">
        <v>874</v>
      </c>
      <c r="C1049" s="2" t="s">
        <v>959</v>
      </c>
      <c r="D1049" s="2" t="s">
        <v>1765</v>
      </c>
      <c r="E1049" s="7" t="s">
        <v>961</v>
      </c>
      <c r="F1049" s="7" t="s">
        <v>1766</v>
      </c>
      <c r="G1049" s="2" t="s">
        <v>29</v>
      </c>
      <c r="H1049" s="2" t="s">
        <v>1759</v>
      </c>
      <c r="I1049" s="2" t="s">
        <v>1767</v>
      </c>
      <c r="J1049" s="2"/>
      <c r="K1049" t="s">
        <v>2396</v>
      </c>
    </row>
    <row r="1050" spans="1:12" ht="34" customHeight="1">
      <c r="A1050" s="2" t="s">
        <v>973</v>
      </c>
      <c r="B1050" s="2" t="s">
        <v>874</v>
      </c>
      <c r="C1050" s="2" t="s">
        <v>967</v>
      </c>
      <c r="D1050" s="2" t="s">
        <v>1757</v>
      </c>
      <c r="E1050" s="4">
        <v>0.3</v>
      </c>
      <c r="F1050" s="7" t="s">
        <v>1758</v>
      </c>
      <c r="G1050" s="2" t="s">
        <v>971</v>
      </c>
      <c r="H1050" s="2" t="s">
        <v>1759</v>
      </c>
      <c r="I1050" s="2" t="s">
        <v>2397</v>
      </c>
      <c r="J1050" s="2" t="s">
        <v>2398</v>
      </c>
      <c r="K1050" s="2" t="s">
        <v>2399</v>
      </c>
      <c r="L1050" s="2" t="s">
        <v>974</v>
      </c>
    </row>
    <row r="1051" spans="1:12" ht="50.5" customHeight="1">
      <c r="A1051" s="2" t="s">
        <v>973</v>
      </c>
      <c r="B1051" s="2" t="s">
        <v>874</v>
      </c>
      <c r="C1051" s="2" t="s">
        <v>967</v>
      </c>
      <c r="D1051" s="2" t="s">
        <v>254</v>
      </c>
      <c r="E1051" s="7" t="s">
        <v>968</v>
      </c>
      <c r="F1051" s="7" t="s">
        <v>1758</v>
      </c>
      <c r="G1051" s="2" t="s">
        <v>971</v>
      </c>
      <c r="H1051" s="2" t="s">
        <v>1759</v>
      </c>
      <c r="I1051" s="2" t="s">
        <v>2397</v>
      </c>
      <c r="J1051" s="2" t="s">
        <v>2398</v>
      </c>
      <c r="K1051" s="2" t="s">
        <v>2399</v>
      </c>
      <c r="L1051" s="2" t="s">
        <v>974</v>
      </c>
    </row>
    <row r="1052" spans="1:12" ht="50.5" customHeight="1">
      <c r="A1052" s="2" t="s">
        <v>973</v>
      </c>
      <c r="B1052" s="2" t="s">
        <v>874</v>
      </c>
      <c r="C1052" s="2" t="s">
        <v>967</v>
      </c>
      <c r="D1052" s="2" t="s">
        <v>124</v>
      </c>
      <c r="E1052" s="7" t="s">
        <v>969</v>
      </c>
      <c r="F1052" s="7" t="s">
        <v>1763</v>
      </c>
      <c r="G1052" s="2" t="s">
        <v>971</v>
      </c>
      <c r="H1052" s="2" t="s">
        <v>1759</v>
      </c>
      <c r="I1052" s="2" t="s">
        <v>2397</v>
      </c>
      <c r="J1052" s="2" t="s">
        <v>2398</v>
      </c>
      <c r="K1052" s="2" t="s">
        <v>2399</v>
      </c>
      <c r="L1052" s="2" t="s">
        <v>974</v>
      </c>
    </row>
    <row r="1053" spans="1:12" ht="64" customHeight="1">
      <c r="A1053" s="2" t="s">
        <v>973</v>
      </c>
      <c r="B1053" s="2" t="s">
        <v>874</v>
      </c>
      <c r="C1053" s="2" t="s">
        <v>967</v>
      </c>
      <c r="D1053" s="2" t="s">
        <v>65</v>
      </c>
      <c r="E1053" s="11">
        <v>0</v>
      </c>
      <c r="F1053" s="20" t="s">
        <v>1763</v>
      </c>
      <c r="G1053" s="21" t="s">
        <v>971</v>
      </c>
      <c r="H1053" s="21" t="s">
        <v>1779</v>
      </c>
      <c r="I1053" s="2" t="s">
        <v>2400</v>
      </c>
      <c r="J1053" s="2" t="s">
        <v>2398</v>
      </c>
      <c r="K1053" s="2" t="s">
        <v>2401</v>
      </c>
      <c r="L1053" s="2" t="s">
        <v>974</v>
      </c>
    </row>
    <row r="1054" spans="1:12" ht="64" customHeight="1">
      <c r="A1054" s="2" t="s">
        <v>973</v>
      </c>
      <c r="B1054" s="2" t="s">
        <v>874</v>
      </c>
      <c r="C1054" s="2" t="s">
        <v>967</v>
      </c>
      <c r="D1054" s="2" t="s">
        <v>222</v>
      </c>
      <c r="E1054" s="7" t="s">
        <v>970</v>
      </c>
      <c r="F1054" s="7" t="s">
        <v>1764</v>
      </c>
      <c r="G1054" s="2" t="s">
        <v>971</v>
      </c>
      <c r="H1054" s="2" t="s">
        <v>1759</v>
      </c>
      <c r="I1054" s="2" t="s">
        <v>2397</v>
      </c>
      <c r="J1054" s="2" t="s">
        <v>2398</v>
      </c>
      <c r="K1054" s="2" t="s">
        <v>2399</v>
      </c>
      <c r="L1054" s="2" t="s">
        <v>974</v>
      </c>
    </row>
    <row r="1055" spans="1:12" ht="50.5" customHeight="1">
      <c r="A1055" s="2" t="s">
        <v>973</v>
      </c>
      <c r="B1055" s="2" t="s">
        <v>874</v>
      </c>
      <c r="C1055" s="2" t="s">
        <v>967</v>
      </c>
      <c r="D1055" s="2" t="s">
        <v>1765</v>
      </c>
      <c r="E1055" s="7" t="s">
        <v>293</v>
      </c>
      <c r="F1055" s="7" t="s">
        <v>1766</v>
      </c>
      <c r="G1055" s="2" t="s">
        <v>971</v>
      </c>
      <c r="H1055" s="2" t="s">
        <v>1759</v>
      </c>
      <c r="I1055" s="2" t="s">
        <v>1767</v>
      </c>
      <c r="J1055" s="2"/>
      <c r="K1055" t="s">
        <v>1954</v>
      </c>
    </row>
    <row r="1056" spans="1:12" ht="64" customHeight="1">
      <c r="A1056" s="2" t="s">
        <v>982</v>
      </c>
      <c r="B1056" s="2" t="s">
        <v>977</v>
      </c>
      <c r="C1056" s="2" t="s">
        <v>978</v>
      </c>
      <c r="D1056" s="2" t="s">
        <v>1757</v>
      </c>
      <c r="E1056" s="5">
        <v>8.14</v>
      </c>
      <c r="F1056" s="7" t="s">
        <v>1758</v>
      </c>
      <c r="G1056" s="2" t="s">
        <v>29</v>
      </c>
      <c r="H1056" s="2" t="s">
        <v>1759</v>
      </c>
      <c r="I1056" s="2" t="s">
        <v>2402</v>
      </c>
      <c r="J1056" s="2" t="s">
        <v>2403</v>
      </c>
      <c r="K1056" s="2" t="s">
        <v>2404</v>
      </c>
      <c r="L1056" s="2" t="s">
        <v>45</v>
      </c>
    </row>
    <row r="1057" spans="1:12" ht="64" customHeight="1">
      <c r="A1057" s="2" t="s">
        <v>982</v>
      </c>
      <c r="B1057" s="2" t="s">
        <v>977</v>
      </c>
      <c r="C1057" s="2" t="s">
        <v>978</v>
      </c>
      <c r="D1057" s="2" t="s">
        <v>254</v>
      </c>
      <c r="E1057" s="4">
        <v>2.8</v>
      </c>
      <c r="F1057" s="7" t="s">
        <v>1758</v>
      </c>
      <c r="G1057" s="2" t="s">
        <v>29</v>
      </c>
      <c r="H1057" s="2" t="s">
        <v>1759</v>
      </c>
      <c r="I1057" s="2" t="s">
        <v>2402</v>
      </c>
      <c r="J1057" s="2" t="s">
        <v>2403</v>
      </c>
      <c r="K1057" s="2" t="s">
        <v>2404</v>
      </c>
      <c r="L1057" s="2" t="s">
        <v>45</v>
      </c>
    </row>
    <row r="1058" spans="1:12" ht="77.5" customHeight="1">
      <c r="A1058" s="2" t="s">
        <v>982</v>
      </c>
      <c r="B1058" s="2" t="s">
        <v>977</v>
      </c>
      <c r="C1058" s="2" t="s">
        <v>978</v>
      </c>
      <c r="D1058" s="2" t="s">
        <v>124</v>
      </c>
      <c r="E1058" s="4">
        <v>1.6</v>
      </c>
      <c r="F1058" s="7" t="s">
        <v>1763</v>
      </c>
      <c r="G1058" s="2" t="s">
        <v>29</v>
      </c>
      <c r="H1058" s="2" t="s">
        <v>1759</v>
      </c>
      <c r="I1058" s="2" t="s">
        <v>2405</v>
      </c>
      <c r="J1058" s="2" t="s">
        <v>2403</v>
      </c>
      <c r="K1058" s="2" t="s">
        <v>2404</v>
      </c>
      <c r="L1058" s="2" t="s">
        <v>45</v>
      </c>
    </row>
    <row r="1059" spans="1:12" ht="77.5" customHeight="1">
      <c r="A1059" s="2" t="s">
        <v>982</v>
      </c>
      <c r="B1059" s="2" t="s">
        <v>977</v>
      </c>
      <c r="C1059" s="2" t="s">
        <v>978</v>
      </c>
      <c r="D1059" s="2" t="s">
        <v>65</v>
      </c>
      <c r="E1059" s="5">
        <v>0.24</v>
      </c>
      <c r="F1059" s="7" t="s">
        <v>1763</v>
      </c>
      <c r="G1059" s="2" t="s">
        <v>29</v>
      </c>
      <c r="H1059" s="2" t="s">
        <v>1759</v>
      </c>
      <c r="I1059" s="2" t="s">
        <v>2406</v>
      </c>
      <c r="J1059" s="2" t="s">
        <v>2403</v>
      </c>
      <c r="K1059" s="2" t="s">
        <v>2404</v>
      </c>
      <c r="L1059" s="2" t="s">
        <v>45</v>
      </c>
    </row>
    <row r="1060" spans="1:12" ht="64" customHeight="1">
      <c r="A1060" s="2" t="s">
        <v>982</v>
      </c>
      <c r="B1060" s="2" t="s">
        <v>977</v>
      </c>
      <c r="C1060" s="2" t="s">
        <v>978</v>
      </c>
      <c r="D1060" s="2" t="s">
        <v>222</v>
      </c>
      <c r="E1060" s="6">
        <v>21</v>
      </c>
      <c r="F1060" s="7" t="s">
        <v>1764</v>
      </c>
      <c r="G1060" s="2" t="s">
        <v>29</v>
      </c>
      <c r="H1060" s="2" t="s">
        <v>1759</v>
      </c>
      <c r="I1060" s="2" t="s">
        <v>2402</v>
      </c>
      <c r="J1060" s="2" t="s">
        <v>2403</v>
      </c>
      <c r="K1060" s="2" t="s">
        <v>2404</v>
      </c>
      <c r="L1060" s="2" t="s">
        <v>45</v>
      </c>
    </row>
    <row r="1061" spans="1:12" ht="37" customHeight="1">
      <c r="A1061" s="2" t="s">
        <v>982</v>
      </c>
      <c r="B1061" s="2" t="s">
        <v>977</v>
      </c>
      <c r="C1061" s="2" t="s">
        <v>978</v>
      </c>
      <c r="D1061" s="2" t="s">
        <v>1765</v>
      </c>
      <c r="E1061" s="6" t="s">
        <v>979</v>
      </c>
      <c r="F1061" s="7" t="s">
        <v>1766</v>
      </c>
      <c r="G1061" s="2" t="s">
        <v>29</v>
      </c>
      <c r="H1061" s="2" t="s">
        <v>1759</v>
      </c>
      <c r="I1061" s="2" t="s">
        <v>1767</v>
      </c>
      <c r="J1061" s="2"/>
      <c r="K1061" t="s">
        <v>2407</v>
      </c>
    </row>
    <row r="1062" spans="1:12" ht="37" customHeight="1">
      <c r="A1062" s="2" t="s">
        <v>987</v>
      </c>
      <c r="B1062" s="2" t="s">
        <v>977</v>
      </c>
      <c r="C1062" s="2" t="s">
        <v>985</v>
      </c>
      <c r="D1062" s="2" t="s">
        <v>1757</v>
      </c>
      <c r="E1062" s="4">
        <v>6.2</v>
      </c>
      <c r="F1062" s="7" t="s">
        <v>1758</v>
      </c>
      <c r="G1062" s="2" t="s">
        <v>29</v>
      </c>
      <c r="H1062" s="2" t="s">
        <v>1759</v>
      </c>
      <c r="I1062" s="2" t="s">
        <v>2408</v>
      </c>
      <c r="J1062" s="2" t="s">
        <v>2409</v>
      </c>
      <c r="K1062" s="2" t="s">
        <v>2410</v>
      </c>
      <c r="L1062" s="2" t="s">
        <v>35</v>
      </c>
    </row>
    <row r="1063" spans="1:12" ht="64" customHeight="1">
      <c r="A1063" s="2" t="s">
        <v>987</v>
      </c>
      <c r="B1063" s="2" t="s">
        <v>977</v>
      </c>
      <c r="C1063" s="2" t="s">
        <v>985</v>
      </c>
      <c r="D1063" s="2" t="s">
        <v>254</v>
      </c>
      <c r="E1063" s="6">
        <v>2</v>
      </c>
      <c r="F1063" s="7" t="s">
        <v>1758</v>
      </c>
      <c r="G1063" s="2" t="s">
        <v>29</v>
      </c>
      <c r="H1063" s="2" t="s">
        <v>1759</v>
      </c>
      <c r="I1063" s="2" t="s">
        <v>2408</v>
      </c>
      <c r="J1063" s="2" t="s">
        <v>2409</v>
      </c>
      <c r="K1063" s="2" t="s">
        <v>2410</v>
      </c>
      <c r="L1063" s="2" t="s">
        <v>35</v>
      </c>
    </row>
    <row r="1064" spans="1:12" ht="64" customHeight="1">
      <c r="A1064" s="2" t="s">
        <v>987</v>
      </c>
      <c r="B1064" s="2" t="s">
        <v>977</v>
      </c>
      <c r="C1064" s="2" t="s">
        <v>985</v>
      </c>
      <c r="D1064" s="2" t="s">
        <v>124</v>
      </c>
      <c r="E1064" s="5">
        <v>1.85</v>
      </c>
      <c r="F1064" s="7" t="s">
        <v>1763</v>
      </c>
      <c r="G1064" s="2" t="s">
        <v>29</v>
      </c>
      <c r="H1064" s="2" t="s">
        <v>1759</v>
      </c>
      <c r="I1064" s="2" t="s">
        <v>2408</v>
      </c>
      <c r="J1064" s="2" t="s">
        <v>2409</v>
      </c>
      <c r="K1064" s="2" t="s">
        <v>2410</v>
      </c>
      <c r="L1064" s="2" t="s">
        <v>35</v>
      </c>
    </row>
    <row r="1065" spans="1:12" ht="37" customHeight="1">
      <c r="A1065" s="2" t="s">
        <v>987</v>
      </c>
      <c r="B1065" s="2" t="s">
        <v>977</v>
      </c>
      <c r="C1065" s="2" t="s">
        <v>985</v>
      </c>
      <c r="D1065" s="2" t="s">
        <v>65</v>
      </c>
      <c r="E1065" s="5">
        <v>0.49</v>
      </c>
      <c r="F1065" s="7" t="s">
        <v>1763</v>
      </c>
      <c r="G1065" s="2" t="s">
        <v>29</v>
      </c>
      <c r="H1065" s="2" t="s">
        <v>1759</v>
      </c>
      <c r="I1065" s="2" t="s">
        <v>2408</v>
      </c>
      <c r="J1065" s="2" t="s">
        <v>2409</v>
      </c>
      <c r="K1065" s="2" t="s">
        <v>2410</v>
      </c>
      <c r="L1065" s="2" t="s">
        <v>35</v>
      </c>
    </row>
    <row r="1066" spans="1:12" ht="34" customHeight="1">
      <c r="A1066" s="2" t="s">
        <v>987</v>
      </c>
      <c r="B1066" s="2" t="s">
        <v>977</v>
      </c>
      <c r="C1066" s="2" t="s">
        <v>985</v>
      </c>
      <c r="D1066" s="2" t="s">
        <v>222</v>
      </c>
      <c r="E1066" s="6">
        <v>15</v>
      </c>
      <c r="F1066" s="7" t="s">
        <v>1764</v>
      </c>
      <c r="G1066" s="2" t="s">
        <v>29</v>
      </c>
      <c r="H1066" s="2" t="s">
        <v>1759</v>
      </c>
      <c r="I1066" s="2" t="s">
        <v>2408</v>
      </c>
      <c r="J1066" s="2" t="s">
        <v>2409</v>
      </c>
      <c r="K1066" s="2" t="s">
        <v>2410</v>
      </c>
      <c r="L1066" s="2" t="s">
        <v>35</v>
      </c>
    </row>
    <row r="1067" spans="1:12" ht="34" customHeight="1">
      <c r="A1067" s="2" t="s">
        <v>987</v>
      </c>
      <c r="B1067" s="2" t="s">
        <v>977</v>
      </c>
      <c r="C1067" s="2" t="s">
        <v>985</v>
      </c>
      <c r="D1067" s="2" t="s">
        <v>1765</v>
      </c>
      <c r="E1067" s="6" t="s">
        <v>979</v>
      </c>
      <c r="F1067" s="7" t="s">
        <v>1766</v>
      </c>
      <c r="G1067" s="2" t="s">
        <v>29</v>
      </c>
      <c r="H1067" s="2" t="s">
        <v>1759</v>
      </c>
      <c r="I1067" s="2" t="s">
        <v>1767</v>
      </c>
      <c r="J1067" s="2"/>
      <c r="K1067" t="s">
        <v>2407</v>
      </c>
    </row>
    <row r="1068" spans="1:12" ht="50.5" customHeight="1">
      <c r="A1068" s="2" t="s">
        <v>991</v>
      </c>
      <c r="B1068" s="2" t="s">
        <v>977</v>
      </c>
      <c r="C1068" s="2" t="s">
        <v>990</v>
      </c>
      <c r="D1068" s="2" t="s">
        <v>1757</v>
      </c>
      <c r="E1068" s="5">
        <v>0.72</v>
      </c>
      <c r="F1068" s="7" t="s">
        <v>1758</v>
      </c>
      <c r="G1068" s="2" t="s">
        <v>876</v>
      </c>
      <c r="H1068" s="2" t="s">
        <v>1759</v>
      </c>
      <c r="I1068" s="2" t="s">
        <v>2411</v>
      </c>
      <c r="J1068" s="2" t="s">
        <v>1781</v>
      </c>
      <c r="K1068" s="2" t="s">
        <v>2345</v>
      </c>
      <c r="L1068" s="2" t="s">
        <v>122</v>
      </c>
    </row>
    <row r="1069" spans="1:12" ht="50.5" customHeight="1">
      <c r="A1069" s="2" t="s">
        <v>991</v>
      </c>
      <c r="B1069" s="2" t="s">
        <v>977</v>
      </c>
      <c r="C1069" s="2" t="s">
        <v>990</v>
      </c>
      <c r="D1069" s="2" t="s">
        <v>254</v>
      </c>
      <c r="E1069" s="5">
        <v>0.14000000000000001</v>
      </c>
      <c r="F1069" s="7" t="s">
        <v>1758</v>
      </c>
      <c r="G1069" s="2" t="s">
        <v>876</v>
      </c>
      <c r="H1069" s="2" t="s">
        <v>1759</v>
      </c>
      <c r="I1069" s="2" t="s">
        <v>2411</v>
      </c>
      <c r="J1069" s="2" t="s">
        <v>1781</v>
      </c>
      <c r="K1069" s="2" t="s">
        <v>2345</v>
      </c>
      <c r="L1069" s="2" t="s">
        <v>122</v>
      </c>
    </row>
    <row r="1070" spans="1:12" ht="34" customHeight="1">
      <c r="A1070" s="2" t="s">
        <v>991</v>
      </c>
      <c r="B1070" s="2" t="s">
        <v>977</v>
      </c>
      <c r="C1070" s="2" t="s">
        <v>990</v>
      </c>
      <c r="D1070" s="2" t="s">
        <v>124</v>
      </c>
      <c r="E1070" s="11">
        <v>1</v>
      </c>
      <c r="F1070" s="20" t="s">
        <v>1763</v>
      </c>
      <c r="G1070" s="21" t="s">
        <v>876</v>
      </c>
      <c r="H1070" s="21" t="s">
        <v>1779</v>
      </c>
      <c r="I1070" s="2" t="s">
        <v>2412</v>
      </c>
      <c r="J1070" s="2" t="s">
        <v>1781</v>
      </c>
      <c r="K1070" s="2" t="s">
        <v>2357</v>
      </c>
      <c r="L1070" s="2" t="s">
        <v>122</v>
      </c>
    </row>
    <row r="1071" spans="1:12" ht="37" customHeight="1">
      <c r="A1071" s="2" t="s">
        <v>991</v>
      </c>
      <c r="B1071" s="2" t="s">
        <v>977</v>
      </c>
      <c r="C1071" s="2" t="s">
        <v>990</v>
      </c>
      <c r="D1071" s="2" t="s">
        <v>65</v>
      </c>
      <c r="E1071" s="11">
        <v>0</v>
      </c>
      <c r="F1071" s="20" t="s">
        <v>1763</v>
      </c>
      <c r="G1071" s="21" t="s">
        <v>876</v>
      </c>
      <c r="H1071" s="21" t="s">
        <v>1779</v>
      </c>
      <c r="I1071" s="2" t="s">
        <v>2412</v>
      </c>
      <c r="J1071" s="2" t="s">
        <v>1781</v>
      </c>
      <c r="K1071" s="2" t="s">
        <v>2358</v>
      </c>
      <c r="L1071" s="2" t="s">
        <v>122</v>
      </c>
    </row>
    <row r="1072" spans="1:12" ht="37" customHeight="1">
      <c r="A1072" s="2" t="s">
        <v>991</v>
      </c>
      <c r="B1072" s="2" t="s">
        <v>977</v>
      </c>
      <c r="C1072" s="2" t="s">
        <v>990</v>
      </c>
      <c r="D1072" s="2" t="s">
        <v>222</v>
      </c>
      <c r="E1072" s="5">
        <v>0.08</v>
      </c>
      <c r="F1072" s="7" t="s">
        <v>1764</v>
      </c>
      <c r="G1072" s="2" t="s">
        <v>876</v>
      </c>
      <c r="H1072" s="2" t="s">
        <v>1759</v>
      </c>
      <c r="I1072" s="2" t="s">
        <v>2411</v>
      </c>
      <c r="J1072" s="2" t="s">
        <v>1781</v>
      </c>
      <c r="K1072" s="2" t="s">
        <v>2345</v>
      </c>
      <c r="L1072" s="2" t="s">
        <v>122</v>
      </c>
    </row>
    <row r="1073" spans="1:12" ht="64" customHeight="1">
      <c r="A1073" s="2" t="s">
        <v>991</v>
      </c>
      <c r="B1073" s="2" t="s">
        <v>977</v>
      </c>
      <c r="C1073" s="2" t="s">
        <v>990</v>
      </c>
      <c r="D1073" s="2" t="s">
        <v>1765</v>
      </c>
      <c r="E1073" s="5" t="s">
        <v>829</v>
      </c>
      <c r="F1073" s="7" t="s">
        <v>1766</v>
      </c>
      <c r="G1073" s="2" t="s">
        <v>876</v>
      </c>
      <c r="H1073" s="2" t="s">
        <v>1759</v>
      </c>
      <c r="I1073" s="2" t="s">
        <v>1767</v>
      </c>
      <c r="J1073" s="2"/>
      <c r="K1073" t="s">
        <v>2413</v>
      </c>
    </row>
    <row r="1074" spans="1:12" ht="64" customHeight="1">
      <c r="A1074" s="2" t="s">
        <v>995</v>
      </c>
      <c r="B1074" s="2" t="s">
        <v>977</v>
      </c>
      <c r="C1074" s="2" t="s">
        <v>994</v>
      </c>
      <c r="D1074" s="2" t="s">
        <v>1757</v>
      </c>
      <c r="E1074" s="5">
        <v>0.72</v>
      </c>
      <c r="F1074" s="7" t="s">
        <v>1758</v>
      </c>
      <c r="G1074" s="2" t="s">
        <v>876</v>
      </c>
      <c r="H1074" s="2" t="s">
        <v>1759</v>
      </c>
      <c r="I1074" s="2" t="s">
        <v>2411</v>
      </c>
      <c r="J1074" s="2" t="s">
        <v>1781</v>
      </c>
      <c r="K1074" s="2" t="s">
        <v>2345</v>
      </c>
      <c r="L1074" s="2" t="s">
        <v>122</v>
      </c>
    </row>
    <row r="1075" spans="1:12" ht="37" customHeight="1">
      <c r="A1075" s="2" t="s">
        <v>995</v>
      </c>
      <c r="B1075" s="2" t="s">
        <v>977</v>
      </c>
      <c r="C1075" s="2" t="s">
        <v>994</v>
      </c>
      <c r="D1075" s="2" t="s">
        <v>254</v>
      </c>
      <c r="E1075" s="5">
        <v>0.16</v>
      </c>
      <c r="F1075" s="7" t="s">
        <v>1758</v>
      </c>
      <c r="G1075" s="2" t="s">
        <v>876</v>
      </c>
      <c r="H1075" s="2" t="s">
        <v>1759</v>
      </c>
      <c r="I1075" s="2" t="s">
        <v>2411</v>
      </c>
      <c r="J1075" s="2" t="s">
        <v>1781</v>
      </c>
      <c r="K1075" s="2" t="s">
        <v>2345</v>
      </c>
      <c r="L1075" s="2" t="s">
        <v>122</v>
      </c>
    </row>
    <row r="1076" spans="1:12" ht="37" customHeight="1">
      <c r="A1076" s="2" t="s">
        <v>995</v>
      </c>
      <c r="B1076" s="2" t="s">
        <v>977</v>
      </c>
      <c r="C1076" s="2" t="s">
        <v>994</v>
      </c>
      <c r="D1076" s="2" t="s">
        <v>124</v>
      </c>
      <c r="E1076" s="11">
        <v>1</v>
      </c>
      <c r="F1076" s="20" t="s">
        <v>1763</v>
      </c>
      <c r="G1076" s="21" t="s">
        <v>876</v>
      </c>
      <c r="H1076" s="21" t="s">
        <v>1779</v>
      </c>
      <c r="I1076" s="2" t="s">
        <v>2412</v>
      </c>
      <c r="J1076" s="2" t="s">
        <v>1781</v>
      </c>
      <c r="K1076" s="2" t="s">
        <v>2357</v>
      </c>
      <c r="L1076" s="2" t="s">
        <v>122</v>
      </c>
    </row>
    <row r="1077" spans="1:12" ht="37" customHeight="1">
      <c r="A1077" s="2" t="s">
        <v>995</v>
      </c>
      <c r="B1077" s="2" t="s">
        <v>977</v>
      </c>
      <c r="C1077" s="2" t="s">
        <v>994</v>
      </c>
      <c r="D1077" s="2" t="s">
        <v>65</v>
      </c>
      <c r="E1077" s="11">
        <v>0</v>
      </c>
      <c r="F1077" s="20" t="s">
        <v>1763</v>
      </c>
      <c r="G1077" s="21" t="s">
        <v>876</v>
      </c>
      <c r="H1077" s="21" t="s">
        <v>1779</v>
      </c>
      <c r="I1077" s="2" t="s">
        <v>2412</v>
      </c>
      <c r="J1077" s="2" t="s">
        <v>1781</v>
      </c>
      <c r="K1077" s="2" t="s">
        <v>2358</v>
      </c>
      <c r="L1077" s="2" t="s">
        <v>122</v>
      </c>
    </row>
    <row r="1078" spans="1:12" ht="37" customHeight="1">
      <c r="A1078" s="2" t="s">
        <v>995</v>
      </c>
      <c r="B1078" s="2" t="s">
        <v>977</v>
      </c>
      <c r="C1078" s="2" t="s">
        <v>994</v>
      </c>
      <c r="D1078" s="2" t="s">
        <v>222</v>
      </c>
      <c r="E1078" s="5">
        <v>0.23</v>
      </c>
      <c r="F1078" s="7" t="s">
        <v>1764</v>
      </c>
      <c r="G1078" s="2" t="s">
        <v>876</v>
      </c>
      <c r="H1078" s="2" t="s">
        <v>1759</v>
      </c>
      <c r="I1078" s="2" t="s">
        <v>2411</v>
      </c>
      <c r="J1078" s="2" t="s">
        <v>1781</v>
      </c>
      <c r="K1078" s="2" t="s">
        <v>2345</v>
      </c>
      <c r="L1078" s="2" t="s">
        <v>122</v>
      </c>
    </row>
    <row r="1079" spans="1:12" ht="37" customHeight="1">
      <c r="A1079" s="2" t="s">
        <v>995</v>
      </c>
      <c r="B1079" s="2" t="s">
        <v>977</v>
      </c>
      <c r="C1079" s="2" t="s">
        <v>994</v>
      </c>
      <c r="D1079" s="2" t="s">
        <v>1765</v>
      </c>
      <c r="E1079" s="5" t="s">
        <v>114</v>
      </c>
      <c r="F1079" s="7" t="s">
        <v>1766</v>
      </c>
      <c r="G1079" s="2" t="s">
        <v>876</v>
      </c>
      <c r="H1079" s="2" t="s">
        <v>1759</v>
      </c>
      <c r="I1079" s="2" t="s">
        <v>1767</v>
      </c>
      <c r="J1079" s="2"/>
      <c r="K1079" t="s">
        <v>1817</v>
      </c>
    </row>
    <row r="1080" spans="1:12" ht="37" customHeight="1">
      <c r="A1080" s="2" t="s">
        <v>999</v>
      </c>
      <c r="B1080" s="2" t="s">
        <v>977</v>
      </c>
      <c r="C1080" s="2" t="s">
        <v>997</v>
      </c>
      <c r="D1080" s="2" t="s">
        <v>1757</v>
      </c>
      <c r="E1080" s="6">
        <v>1</v>
      </c>
      <c r="F1080" s="7" t="s">
        <v>1758</v>
      </c>
      <c r="G1080" s="2" t="s">
        <v>876</v>
      </c>
      <c r="H1080" s="2" t="s">
        <v>1759</v>
      </c>
      <c r="I1080" s="2" t="s">
        <v>2414</v>
      </c>
      <c r="J1080" s="2" t="s">
        <v>1781</v>
      </c>
      <c r="K1080" s="2" t="s">
        <v>2345</v>
      </c>
      <c r="L1080" s="2" t="s">
        <v>122</v>
      </c>
    </row>
    <row r="1081" spans="1:12" ht="34" customHeight="1">
      <c r="A1081" s="2" t="s">
        <v>999</v>
      </c>
      <c r="B1081" s="2" t="s">
        <v>977</v>
      </c>
      <c r="C1081" s="2" t="s">
        <v>997</v>
      </c>
      <c r="D1081" s="2" t="s">
        <v>254</v>
      </c>
      <c r="E1081" s="4">
        <v>0.2</v>
      </c>
      <c r="F1081" s="7" t="s">
        <v>1758</v>
      </c>
      <c r="G1081" s="2" t="s">
        <v>876</v>
      </c>
      <c r="H1081" s="2" t="s">
        <v>1759</v>
      </c>
      <c r="I1081" s="2" t="s">
        <v>2414</v>
      </c>
      <c r="J1081" s="2" t="s">
        <v>1781</v>
      </c>
      <c r="K1081" s="2" t="s">
        <v>2345</v>
      </c>
      <c r="L1081" s="2" t="s">
        <v>122</v>
      </c>
    </row>
    <row r="1082" spans="1:12" ht="34" customHeight="1">
      <c r="A1082" s="2" t="s">
        <v>999</v>
      </c>
      <c r="B1082" s="2" t="s">
        <v>977</v>
      </c>
      <c r="C1082" s="2" t="s">
        <v>997</v>
      </c>
      <c r="D1082" s="2" t="s">
        <v>124</v>
      </c>
      <c r="E1082" s="11">
        <v>1</v>
      </c>
      <c r="F1082" s="20" t="s">
        <v>1763</v>
      </c>
      <c r="G1082" s="21" t="s">
        <v>876</v>
      </c>
      <c r="H1082" s="21" t="s">
        <v>1779</v>
      </c>
      <c r="I1082" s="2" t="s">
        <v>2415</v>
      </c>
      <c r="J1082" s="2" t="s">
        <v>1781</v>
      </c>
      <c r="K1082" s="2" t="s">
        <v>2357</v>
      </c>
      <c r="L1082" s="2" t="s">
        <v>122</v>
      </c>
    </row>
    <row r="1083" spans="1:12" ht="50.5" customHeight="1">
      <c r="A1083" s="2" t="s">
        <v>999</v>
      </c>
      <c r="B1083" s="2" t="s">
        <v>977</v>
      </c>
      <c r="C1083" s="2" t="s">
        <v>997</v>
      </c>
      <c r="D1083" s="2" t="s">
        <v>65</v>
      </c>
      <c r="E1083" s="11">
        <v>0</v>
      </c>
      <c r="F1083" s="20" t="s">
        <v>1763</v>
      </c>
      <c r="G1083" s="21" t="s">
        <v>876</v>
      </c>
      <c r="H1083" s="21" t="s">
        <v>1779</v>
      </c>
      <c r="I1083" s="2" t="s">
        <v>2415</v>
      </c>
      <c r="J1083" s="2" t="s">
        <v>1781</v>
      </c>
      <c r="K1083" s="2" t="s">
        <v>2358</v>
      </c>
      <c r="L1083" s="2" t="s">
        <v>122</v>
      </c>
    </row>
    <row r="1084" spans="1:12" ht="50.5" customHeight="1">
      <c r="A1084" s="2" t="s">
        <v>999</v>
      </c>
      <c r="B1084" s="2" t="s">
        <v>977</v>
      </c>
      <c r="C1084" s="2" t="s">
        <v>997</v>
      </c>
      <c r="D1084" s="2" t="s">
        <v>222</v>
      </c>
      <c r="E1084" s="5">
        <v>0.49</v>
      </c>
      <c r="F1084" s="7" t="s">
        <v>1764</v>
      </c>
      <c r="G1084" s="2" t="s">
        <v>876</v>
      </c>
      <c r="H1084" s="2" t="s">
        <v>1759</v>
      </c>
      <c r="I1084" s="2" t="s">
        <v>2414</v>
      </c>
      <c r="J1084" s="2" t="s">
        <v>1781</v>
      </c>
      <c r="K1084" s="2" t="s">
        <v>2345</v>
      </c>
      <c r="L1084" s="2" t="s">
        <v>122</v>
      </c>
    </row>
    <row r="1085" spans="1:12" ht="34" customHeight="1">
      <c r="A1085" s="2" t="s">
        <v>999</v>
      </c>
      <c r="B1085" s="2" t="s">
        <v>977</v>
      </c>
      <c r="C1085" s="2" t="s">
        <v>997</v>
      </c>
      <c r="D1085" s="2" t="s">
        <v>1765</v>
      </c>
      <c r="E1085" s="5" t="s">
        <v>998</v>
      </c>
      <c r="F1085" s="7" t="s">
        <v>1766</v>
      </c>
      <c r="G1085" s="2" t="s">
        <v>876</v>
      </c>
      <c r="H1085" s="2" t="s">
        <v>1759</v>
      </c>
      <c r="I1085" s="2" t="s">
        <v>1767</v>
      </c>
      <c r="J1085" s="2"/>
      <c r="K1085" t="s">
        <v>2416</v>
      </c>
    </row>
    <row r="1086" spans="1:12" ht="34" customHeight="1">
      <c r="A1086" s="2" t="s">
        <v>1003</v>
      </c>
      <c r="B1086" s="2" t="s">
        <v>977</v>
      </c>
      <c r="C1086" s="2" t="s">
        <v>1002</v>
      </c>
      <c r="D1086" s="2" t="s">
        <v>1757</v>
      </c>
      <c r="E1086" s="6">
        <v>1</v>
      </c>
      <c r="F1086" s="7" t="s">
        <v>1758</v>
      </c>
      <c r="G1086" s="2" t="s">
        <v>876</v>
      </c>
      <c r="H1086" s="2" t="s">
        <v>1759</v>
      </c>
      <c r="I1086" s="2" t="s">
        <v>2414</v>
      </c>
      <c r="J1086" s="2" t="s">
        <v>1781</v>
      </c>
      <c r="K1086" s="2" t="s">
        <v>2417</v>
      </c>
      <c r="L1086" s="2" t="s">
        <v>122</v>
      </c>
    </row>
    <row r="1087" spans="1:12" ht="34" customHeight="1">
      <c r="A1087" s="2" t="s">
        <v>1003</v>
      </c>
      <c r="B1087" s="2" t="s">
        <v>977</v>
      </c>
      <c r="C1087" s="2" t="s">
        <v>1002</v>
      </c>
      <c r="D1087" s="2" t="s">
        <v>254</v>
      </c>
      <c r="E1087" s="4">
        <v>0.2</v>
      </c>
      <c r="F1087" s="7" t="s">
        <v>1758</v>
      </c>
      <c r="G1087" s="2" t="s">
        <v>876</v>
      </c>
      <c r="H1087" s="2" t="s">
        <v>1759</v>
      </c>
      <c r="I1087" s="2" t="s">
        <v>2414</v>
      </c>
      <c r="J1087" s="2" t="s">
        <v>1781</v>
      </c>
      <c r="K1087" s="2" t="s">
        <v>2417</v>
      </c>
      <c r="L1087" s="2" t="s">
        <v>122</v>
      </c>
    </row>
    <row r="1088" spans="1:12" ht="50.5" customHeight="1">
      <c r="A1088" s="2" t="s">
        <v>1003</v>
      </c>
      <c r="B1088" s="2" t="s">
        <v>977</v>
      </c>
      <c r="C1088" s="2" t="s">
        <v>1002</v>
      </c>
      <c r="D1088" s="2" t="s">
        <v>124</v>
      </c>
      <c r="E1088" s="11">
        <v>1</v>
      </c>
      <c r="F1088" s="20" t="s">
        <v>1763</v>
      </c>
      <c r="G1088" s="21" t="s">
        <v>876</v>
      </c>
      <c r="H1088" s="21" t="s">
        <v>1779</v>
      </c>
      <c r="I1088" s="2" t="s">
        <v>2415</v>
      </c>
      <c r="J1088" s="2" t="s">
        <v>1781</v>
      </c>
      <c r="K1088" s="2" t="s">
        <v>2418</v>
      </c>
      <c r="L1088" s="2" t="s">
        <v>122</v>
      </c>
    </row>
    <row r="1089" spans="1:12" ht="50.5" customHeight="1">
      <c r="A1089" s="2" t="s">
        <v>1003</v>
      </c>
      <c r="B1089" s="2" t="s">
        <v>977</v>
      </c>
      <c r="C1089" s="2" t="s">
        <v>1002</v>
      </c>
      <c r="D1089" s="2" t="s">
        <v>65</v>
      </c>
      <c r="E1089" s="11">
        <v>0</v>
      </c>
      <c r="F1089" s="20" t="s">
        <v>1763</v>
      </c>
      <c r="G1089" s="21" t="s">
        <v>876</v>
      </c>
      <c r="H1089" s="21" t="s">
        <v>1779</v>
      </c>
      <c r="I1089" s="2" t="s">
        <v>2415</v>
      </c>
      <c r="J1089" s="2" t="s">
        <v>1781</v>
      </c>
      <c r="K1089" s="2" t="s">
        <v>2419</v>
      </c>
      <c r="L1089" s="2" t="s">
        <v>122</v>
      </c>
    </row>
    <row r="1090" spans="1:12" ht="34" customHeight="1">
      <c r="A1090" s="2" t="s">
        <v>1003</v>
      </c>
      <c r="B1090" s="2" t="s">
        <v>977</v>
      </c>
      <c r="C1090" s="2" t="s">
        <v>1002</v>
      </c>
      <c r="D1090" s="2" t="s">
        <v>222</v>
      </c>
      <c r="E1090" s="5">
        <v>0.49</v>
      </c>
      <c r="F1090" s="7" t="s">
        <v>1764</v>
      </c>
      <c r="G1090" s="2" t="s">
        <v>876</v>
      </c>
      <c r="H1090" s="2" t="s">
        <v>1759</v>
      </c>
      <c r="I1090" s="2" t="s">
        <v>2414</v>
      </c>
      <c r="J1090" s="2" t="s">
        <v>1781</v>
      </c>
      <c r="K1090" s="2" t="s">
        <v>2417</v>
      </c>
      <c r="L1090" s="2" t="s">
        <v>122</v>
      </c>
    </row>
    <row r="1091" spans="1:12" ht="34" customHeight="1">
      <c r="A1091" s="2" t="s">
        <v>1003</v>
      </c>
      <c r="B1091" s="2" t="s">
        <v>977</v>
      </c>
      <c r="C1091" s="2" t="s">
        <v>1002</v>
      </c>
      <c r="D1091" s="2" t="s">
        <v>1765</v>
      </c>
      <c r="E1091" s="5" t="s">
        <v>998</v>
      </c>
      <c r="F1091" s="7" t="s">
        <v>1766</v>
      </c>
      <c r="G1091" s="2" t="s">
        <v>876</v>
      </c>
      <c r="H1091" s="2" t="s">
        <v>1759</v>
      </c>
      <c r="I1091" s="2" t="s">
        <v>1767</v>
      </c>
      <c r="J1091" s="2"/>
      <c r="K1091" t="s">
        <v>2416</v>
      </c>
    </row>
    <row r="1092" spans="1:12" ht="34" customHeight="1">
      <c r="A1092" s="2" t="s">
        <v>1008</v>
      </c>
      <c r="B1092" s="2" t="s">
        <v>977</v>
      </c>
      <c r="C1092" s="2" t="s">
        <v>1005</v>
      </c>
      <c r="D1092" s="2" t="s">
        <v>1757</v>
      </c>
      <c r="E1092" s="8">
        <v>2.2829999999999999</v>
      </c>
      <c r="F1092" s="7" t="s">
        <v>1758</v>
      </c>
      <c r="G1092" s="2" t="s">
        <v>1006</v>
      </c>
      <c r="H1092" s="2" t="s">
        <v>1759</v>
      </c>
      <c r="I1092" s="2" t="s">
        <v>2420</v>
      </c>
      <c r="J1092" s="2" t="s">
        <v>2421</v>
      </c>
      <c r="K1092" s="2" t="s">
        <v>2422</v>
      </c>
      <c r="L1092" s="2" t="s">
        <v>45</v>
      </c>
    </row>
    <row r="1093" spans="1:12" ht="34" customHeight="1">
      <c r="A1093" s="2" t="s">
        <v>1008</v>
      </c>
      <c r="B1093" s="2" t="s">
        <v>977</v>
      </c>
      <c r="C1093" s="2" t="s">
        <v>1005</v>
      </c>
      <c r="D1093" s="2" t="s">
        <v>254</v>
      </c>
      <c r="E1093" s="9">
        <v>0.71319999999999995</v>
      </c>
      <c r="F1093" s="7" t="s">
        <v>1758</v>
      </c>
      <c r="G1093" s="2" t="s">
        <v>1006</v>
      </c>
      <c r="H1093" s="2" t="s">
        <v>1759</v>
      </c>
      <c r="I1093" s="2" t="s">
        <v>2420</v>
      </c>
      <c r="J1093" s="2" t="s">
        <v>2421</v>
      </c>
      <c r="K1093" s="2" t="s">
        <v>2422</v>
      </c>
      <c r="L1093" s="2" t="s">
        <v>45</v>
      </c>
    </row>
    <row r="1094" spans="1:12" ht="34" customHeight="1">
      <c r="A1094" s="2" t="s">
        <v>1008</v>
      </c>
      <c r="B1094" s="2" t="s">
        <v>977</v>
      </c>
      <c r="C1094" s="2" t="s">
        <v>1005</v>
      </c>
      <c r="D1094" s="2" t="s">
        <v>124</v>
      </c>
      <c r="E1094" s="6">
        <v>1</v>
      </c>
      <c r="F1094" s="7" t="s">
        <v>1763</v>
      </c>
      <c r="G1094" s="2" t="s">
        <v>1006</v>
      </c>
      <c r="H1094" s="2" t="s">
        <v>1759</v>
      </c>
      <c r="I1094" s="2" t="s">
        <v>2420</v>
      </c>
      <c r="J1094" s="2" t="s">
        <v>2421</v>
      </c>
      <c r="K1094" s="2" t="s">
        <v>2422</v>
      </c>
      <c r="L1094" s="2" t="s">
        <v>45</v>
      </c>
    </row>
    <row r="1095" spans="1:12" ht="34" customHeight="1">
      <c r="A1095" s="2" t="s">
        <v>1008</v>
      </c>
      <c r="B1095" s="2" t="s">
        <v>977</v>
      </c>
      <c r="C1095" s="2" t="s">
        <v>1005</v>
      </c>
      <c r="D1095" s="2" t="s">
        <v>65</v>
      </c>
      <c r="E1095" s="6">
        <v>0</v>
      </c>
      <c r="F1095" s="7" t="s">
        <v>1763</v>
      </c>
      <c r="G1095" s="2" t="s">
        <v>1006</v>
      </c>
      <c r="H1095" s="2" t="s">
        <v>1759</v>
      </c>
      <c r="I1095" s="2" t="s">
        <v>2420</v>
      </c>
      <c r="J1095" s="2" t="s">
        <v>2421</v>
      </c>
      <c r="K1095" s="2" t="s">
        <v>2422</v>
      </c>
      <c r="L1095" s="2" t="s">
        <v>45</v>
      </c>
    </row>
    <row r="1096" spans="1:12" ht="34" customHeight="1">
      <c r="A1096" s="2" t="s">
        <v>1008</v>
      </c>
      <c r="B1096" s="2" t="s">
        <v>977</v>
      </c>
      <c r="C1096" s="2" t="s">
        <v>1005</v>
      </c>
      <c r="D1096" s="2" t="s">
        <v>222</v>
      </c>
      <c r="E1096" s="9">
        <v>0.4022</v>
      </c>
      <c r="F1096" s="7" t="s">
        <v>1764</v>
      </c>
      <c r="G1096" s="2" t="s">
        <v>1006</v>
      </c>
      <c r="H1096" s="2" t="s">
        <v>1759</v>
      </c>
      <c r="I1096" s="2" t="s">
        <v>2420</v>
      </c>
      <c r="J1096" s="2" t="s">
        <v>2421</v>
      </c>
      <c r="K1096" s="2" t="s">
        <v>2422</v>
      </c>
      <c r="L1096" s="2" t="s">
        <v>45</v>
      </c>
    </row>
    <row r="1097" spans="1:12" ht="34" customHeight="1">
      <c r="A1097" s="2" t="s">
        <v>1008</v>
      </c>
      <c r="B1097" s="2" t="s">
        <v>977</v>
      </c>
      <c r="C1097" s="2" t="s">
        <v>1005</v>
      </c>
      <c r="D1097" s="2" t="s">
        <v>1765</v>
      </c>
      <c r="E1097" s="9" t="s">
        <v>48</v>
      </c>
      <c r="F1097" s="7" t="s">
        <v>1766</v>
      </c>
      <c r="G1097" s="2" t="s">
        <v>1006</v>
      </c>
      <c r="H1097" s="2" t="s">
        <v>1759</v>
      </c>
      <c r="I1097" s="2" t="s">
        <v>1767</v>
      </c>
      <c r="J1097" s="2"/>
      <c r="K1097" t="s">
        <v>2423</v>
      </c>
    </row>
    <row r="1098" spans="1:12" ht="34" customHeight="1">
      <c r="A1098" s="2" t="s">
        <v>1013</v>
      </c>
      <c r="B1098" s="2" t="s">
        <v>977</v>
      </c>
      <c r="C1098" s="2" t="s">
        <v>1011</v>
      </c>
      <c r="D1098" s="2" t="s">
        <v>1757</v>
      </c>
      <c r="E1098" s="5">
        <v>0.72</v>
      </c>
      <c r="F1098" s="7" t="s">
        <v>1758</v>
      </c>
      <c r="G1098" s="2" t="s">
        <v>876</v>
      </c>
      <c r="H1098" s="2" t="s">
        <v>1759</v>
      </c>
      <c r="I1098" s="2" t="s">
        <v>2424</v>
      </c>
      <c r="J1098" s="2" t="s">
        <v>1781</v>
      </c>
      <c r="K1098" s="2" t="s">
        <v>2345</v>
      </c>
      <c r="L1098" s="2" t="s">
        <v>122</v>
      </c>
    </row>
    <row r="1099" spans="1:12" ht="34" customHeight="1">
      <c r="A1099" s="2" t="s">
        <v>1013</v>
      </c>
      <c r="B1099" s="2" t="s">
        <v>977</v>
      </c>
      <c r="C1099" s="2" t="s">
        <v>1011</v>
      </c>
      <c r="D1099" s="2" t="s">
        <v>254</v>
      </c>
      <c r="E1099" s="5">
        <v>0.19</v>
      </c>
      <c r="F1099" s="7" t="s">
        <v>1758</v>
      </c>
      <c r="G1099" s="2" t="s">
        <v>876</v>
      </c>
      <c r="H1099" s="2" t="s">
        <v>1759</v>
      </c>
      <c r="I1099" s="2" t="s">
        <v>2424</v>
      </c>
      <c r="J1099" s="2" t="s">
        <v>1781</v>
      </c>
      <c r="K1099" s="2" t="s">
        <v>2345</v>
      </c>
      <c r="L1099" s="2" t="s">
        <v>122</v>
      </c>
    </row>
    <row r="1100" spans="1:12" ht="34" customHeight="1">
      <c r="A1100" s="2" t="s">
        <v>1013</v>
      </c>
      <c r="B1100" s="2" t="s">
        <v>977</v>
      </c>
      <c r="C1100" s="2" t="s">
        <v>1011</v>
      </c>
      <c r="D1100" s="2" t="s">
        <v>124</v>
      </c>
      <c r="E1100" s="11">
        <v>1</v>
      </c>
      <c r="F1100" s="20" t="s">
        <v>1763</v>
      </c>
      <c r="G1100" s="21" t="s">
        <v>876</v>
      </c>
      <c r="H1100" s="21" t="s">
        <v>1779</v>
      </c>
      <c r="I1100" s="2" t="s">
        <v>2425</v>
      </c>
      <c r="J1100" s="2" t="s">
        <v>1781</v>
      </c>
      <c r="K1100" s="2" t="s">
        <v>2357</v>
      </c>
      <c r="L1100" s="2" t="s">
        <v>122</v>
      </c>
    </row>
    <row r="1101" spans="1:12" ht="37" customHeight="1">
      <c r="A1101" s="2" t="s">
        <v>1013</v>
      </c>
      <c r="B1101" s="2" t="s">
        <v>977</v>
      </c>
      <c r="C1101" s="2" t="s">
        <v>1011</v>
      </c>
      <c r="D1101" s="2" t="s">
        <v>65</v>
      </c>
      <c r="E1101" s="11">
        <v>0</v>
      </c>
      <c r="F1101" s="20" t="s">
        <v>1763</v>
      </c>
      <c r="G1101" s="21" t="s">
        <v>876</v>
      </c>
      <c r="H1101" s="21" t="s">
        <v>1779</v>
      </c>
      <c r="I1101" s="2" t="s">
        <v>2425</v>
      </c>
      <c r="J1101" s="2" t="s">
        <v>1781</v>
      </c>
      <c r="K1101" s="2" t="s">
        <v>2358</v>
      </c>
      <c r="L1101" s="2" t="s">
        <v>122</v>
      </c>
    </row>
    <row r="1102" spans="1:12" ht="37" customHeight="1">
      <c r="A1102" s="2" t="s">
        <v>1013</v>
      </c>
      <c r="B1102" s="2" t="s">
        <v>977</v>
      </c>
      <c r="C1102" s="2" t="s">
        <v>1011</v>
      </c>
      <c r="D1102" s="2" t="s">
        <v>222</v>
      </c>
      <c r="E1102" s="5">
        <v>0.04</v>
      </c>
      <c r="F1102" s="7" t="s">
        <v>1764</v>
      </c>
      <c r="G1102" s="2" t="s">
        <v>876</v>
      </c>
      <c r="H1102" s="2" t="s">
        <v>1759</v>
      </c>
      <c r="I1102" s="2" t="s">
        <v>2424</v>
      </c>
      <c r="J1102" s="2" t="s">
        <v>1781</v>
      </c>
      <c r="K1102" s="2" t="s">
        <v>2345</v>
      </c>
      <c r="L1102" s="2" t="s">
        <v>122</v>
      </c>
    </row>
    <row r="1103" spans="1:12" ht="37" customHeight="1">
      <c r="A1103" s="2" t="s">
        <v>1013</v>
      </c>
      <c r="B1103" s="2" t="s">
        <v>977</v>
      </c>
      <c r="C1103" s="2" t="s">
        <v>1011</v>
      </c>
      <c r="D1103" s="2" t="s">
        <v>1765</v>
      </c>
      <c r="E1103" s="5" t="s">
        <v>1012</v>
      </c>
      <c r="F1103" s="7" t="s">
        <v>1766</v>
      </c>
      <c r="G1103" s="2" t="s">
        <v>876</v>
      </c>
      <c r="H1103" s="2" t="s">
        <v>1759</v>
      </c>
      <c r="I1103" s="2" t="s">
        <v>1767</v>
      </c>
      <c r="J1103" s="2"/>
      <c r="K1103" t="s">
        <v>2426</v>
      </c>
    </row>
    <row r="1104" spans="1:12" ht="37" customHeight="1">
      <c r="A1104" s="2" t="s">
        <v>1018</v>
      </c>
      <c r="B1104" s="2" t="s">
        <v>977</v>
      </c>
      <c r="C1104" s="2" t="s">
        <v>1016</v>
      </c>
      <c r="D1104" s="2" t="s">
        <v>1757</v>
      </c>
      <c r="E1104" s="4">
        <v>2.5</v>
      </c>
      <c r="F1104" s="7" t="s">
        <v>1758</v>
      </c>
      <c r="G1104" s="2" t="s">
        <v>71</v>
      </c>
      <c r="H1104" s="2" t="s">
        <v>1759</v>
      </c>
      <c r="I1104" s="2" t="s">
        <v>2427</v>
      </c>
      <c r="J1104" s="2" t="s">
        <v>2368</v>
      </c>
      <c r="K1104" s="2" t="s">
        <v>2428</v>
      </c>
      <c r="L1104" s="2" t="s">
        <v>45</v>
      </c>
    </row>
    <row r="1105" spans="1:12" ht="37" customHeight="1">
      <c r="A1105" s="2" t="s">
        <v>1018</v>
      </c>
      <c r="B1105" s="2" t="s">
        <v>977</v>
      </c>
      <c r="C1105" s="2" t="s">
        <v>1016</v>
      </c>
      <c r="D1105" s="2" t="s">
        <v>254</v>
      </c>
      <c r="E1105" s="4">
        <v>0.5</v>
      </c>
      <c r="F1105" s="7" t="s">
        <v>1758</v>
      </c>
      <c r="G1105" s="2" t="s">
        <v>71</v>
      </c>
      <c r="H1105" s="2" t="s">
        <v>1759</v>
      </c>
      <c r="I1105" s="2" t="s">
        <v>2427</v>
      </c>
      <c r="J1105" s="2" t="s">
        <v>2368</v>
      </c>
      <c r="K1105" s="2" t="s">
        <v>2428</v>
      </c>
      <c r="L1105" s="2" t="s">
        <v>45</v>
      </c>
    </row>
    <row r="1106" spans="1:12" ht="34" customHeight="1">
      <c r="A1106" s="2" t="s">
        <v>1018</v>
      </c>
      <c r="B1106" s="2" t="s">
        <v>977</v>
      </c>
      <c r="C1106" s="2" t="s">
        <v>1016</v>
      </c>
      <c r="D1106" s="2" t="s">
        <v>124</v>
      </c>
      <c r="E1106" s="5">
        <v>1.35</v>
      </c>
      <c r="F1106" s="7" t="s">
        <v>1763</v>
      </c>
      <c r="G1106" s="2" t="s">
        <v>71</v>
      </c>
      <c r="H1106" s="2" t="s">
        <v>1759</v>
      </c>
      <c r="I1106" s="2" t="s">
        <v>2427</v>
      </c>
      <c r="J1106" s="2" t="s">
        <v>2368</v>
      </c>
      <c r="K1106" s="2" t="s">
        <v>2428</v>
      </c>
      <c r="L1106" s="2" t="s">
        <v>45</v>
      </c>
    </row>
    <row r="1107" spans="1:12" ht="50.5" customHeight="1">
      <c r="A1107" s="2" t="s">
        <v>1018</v>
      </c>
      <c r="B1107" s="2" t="s">
        <v>977</v>
      </c>
      <c r="C1107" s="2" t="s">
        <v>1016</v>
      </c>
      <c r="D1107" s="2" t="s">
        <v>65</v>
      </c>
      <c r="E1107" s="7" t="s">
        <v>685</v>
      </c>
      <c r="F1107" s="7" t="s">
        <v>1763</v>
      </c>
      <c r="G1107" s="2" t="s">
        <v>71</v>
      </c>
      <c r="H1107" s="2" t="s">
        <v>1759</v>
      </c>
      <c r="I1107" s="2" t="s">
        <v>2427</v>
      </c>
      <c r="J1107" s="2" t="s">
        <v>2368</v>
      </c>
      <c r="K1107" s="2" t="s">
        <v>2428</v>
      </c>
      <c r="L1107" s="2" t="s">
        <v>45</v>
      </c>
    </row>
    <row r="1108" spans="1:12" ht="34" customHeight="1">
      <c r="A1108" s="2" t="s">
        <v>1018</v>
      </c>
      <c r="B1108" s="2" t="s">
        <v>977</v>
      </c>
      <c r="C1108" s="2" t="s">
        <v>1016</v>
      </c>
      <c r="D1108" s="2" t="s">
        <v>222</v>
      </c>
      <c r="E1108" s="6">
        <v>1</v>
      </c>
      <c r="F1108" s="7" t="s">
        <v>1764</v>
      </c>
      <c r="G1108" s="2" t="s">
        <v>71</v>
      </c>
      <c r="H1108" s="2" t="s">
        <v>1759</v>
      </c>
      <c r="I1108" s="2" t="s">
        <v>2427</v>
      </c>
      <c r="J1108" s="2" t="s">
        <v>2368</v>
      </c>
      <c r="K1108" s="2" t="s">
        <v>2428</v>
      </c>
      <c r="L1108" s="2" t="s">
        <v>45</v>
      </c>
    </row>
    <row r="1109" spans="1:12" ht="34" customHeight="1">
      <c r="A1109" s="2" t="s">
        <v>1018</v>
      </c>
      <c r="B1109" s="2" t="s">
        <v>977</v>
      </c>
      <c r="C1109" s="2" t="s">
        <v>1016</v>
      </c>
      <c r="D1109" s="2" t="s">
        <v>1765</v>
      </c>
      <c r="E1109" s="6" t="s">
        <v>1017</v>
      </c>
      <c r="F1109" s="7" t="s">
        <v>1766</v>
      </c>
      <c r="G1109" s="2" t="s">
        <v>71</v>
      </c>
      <c r="H1109" s="2" t="s">
        <v>1759</v>
      </c>
      <c r="I1109" s="2" t="s">
        <v>1767</v>
      </c>
      <c r="J1109" s="2"/>
      <c r="K1109" t="s">
        <v>2429</v>
      </c>
    </row>
    <row r="1110" spans="1:12" ht="34" customHeight="1">
      <c r="A1110" s="2" t="s">
        <v>1026</v>
      </c>
      <c r="B1110" s="2" t="s">
        <v>1021</v>
      </c>
      <c r="C1110" s="2" t="s">
        <v>1022</v>
      </c>
      <c r="D1110" s="2" t="s">
        <v>1757</v>
      </c>
      <c r="E1110" s="5">
        <v>1.65</v>
      </c>
      <c r="F1110" s="7" t="s">
        <v>1758</v>
      </c>
      <c r="G1110" s="2" t="s">
        <v>1023</v>
      </c>
      <c r="H1110" s="2" t="s">
        <v>1759</v>
      </c>
      <c r="I1110" s="2" t="s">
        <v>2430</v>
      </c>
      <c r="J1110" s="2" t="s">
        <v>2431</v>
      </c>
      <c r="K1110" s="2" t="s">
        <v>2432</v>
      </c>
      <c r="L1110" s="2" t="s">
        <v>35</v>
      </c>
    </row>
    <row r="1111" spans="1:12" ht="34" customHeight="1">
      <c r="A1111" s="2" t="s">
        <v>1026</v>
      </c>
      <c r="B1111" s="2" t="s">
        <v>1021</v>
      </c>
      <c r="C1111" s="2" t="s">
        <v>1022</v>
      </c>
      <c r="D1111" s="2" t="s">
        <v>254</v>
      </c>
      <c r="E1111" s="4">
        <v>0.4</v>
      </c>
      <c r="F1111" s="7" t="s">
        <v>1758</v>
      </c>
      <c r="G1111" s="2" t="s">
        <v>1023</v>
      </c>
      <c r="H1111" s="2" t="s">
        <v>1759</v>
      </c>
      <c r="I1111" s="2" t="s">
        <v>2430</v>
      </c>
      <c r="J1111" s="2" t="s">
        <v>2431</v>
      </c>
      <c r="K1111" s="2" t="s">
        <v>2432</v>
      </c>
      <c r="L1111" s="2" t="s">
        <v>35</v>
      </c>
    </row>
    <row r="1112" spans="1:12" ht="37" customHeight="1">
      <c r="A1112" s="2" t="s">
        <v>1026</v>
      </c>
      <c r="B1112" s="2" t="s">
        <v>1021</v>
      </c>
      <c r="C1112" s="2" t="s">
        <v>1022</v>
      </c>
      <c r="D1112" s="2" t="s">
        <v>124</v>
      </c>
      <c r="E1112" s="11">
        <v>1</v>
      </c>
      <c r="F1112" s="20" t="s">
        <v>1763</v>
      </c>
      <c r="G1112" s="21" t="s">
        <v>1023</v>
      </c>
      <c r="H1112" s="21" t="s">
        <v>1779</v>
      </c>
      <c r="I1112" s="2" t="s">
        <v>2346</v>
      </c>
      <c r="J1112" s="2" t="s">
        <v>2347</v>
      </c>
      <c r="K1112" s="2" t="s">
        <v>2433</v>
      </c>
      <c r="L1112" s="2" t="s">
        <v>35</v>
      </c>
    </row>
    <row r="1113" spans="1:12" ht="34" customHeight="1">
      <c r="A1113" s="2" t="s">
        <v>1026</v>
      </c>
      <c r="B1113" s="2" t="s">
        <v>1021</v>
      </c>
      <c r="C1113" s="2" t="s">
        <v>1022</v>
      </c>
      <c r="D1113" s="2" t="s">
        <v>65</v>
      </c>
      <c r="E1113" s="11">
        <v>0</v>
      </c>
      <c r="F1113" s="20" t="s">
        <v>1763</v>
      </c>
      <c r="G1113" s="21" t="s">
        <v>1023</v>
      </c>
      <c r="H1113" s="21" t="s">
        <v>1779</v>
      </c>
      <c r="I1113" s="2" t="s">
        <v>2346</v>
      </c>
      <c r="J1113" s="2" t="s">
        <v>2347</v>
      </c>
      <c r="K1113" s="2" t="s">
        <v>2434</v>
      </c>
      <c r="L1113" s="2" t="s">
        <v>35</v>
      </c>
    </row>
    <row r="1114" spans="1:12" ht="34" customHeight="1">
      <c r="A1114" s="2" t="s">
        <v>1026</v>
      </c>
      <c r="B1114" s="2" t="s">
        <v>1021</v>
      </c>
      <c r="C1114" s="2" t="s">
        <v>1022</v>
      </c>
      <c r="D1114" s="2" t="s">
        <v>222</v>
      </c>
      <c r="E1114" s="7" t="s">
        <v>1012</v>
      </c>
      <c r="F1114" s="7" t="s">
        <v>1764</v>
      </c>
      <c r="G1114" s="2" t="s">
        <v>1023</v>
      </c>
      <c r="H1114" s="2" t="s">
        <v>1759</v>
      </c>
      <c r="I1114" s="2" t="s">
        <v>2430</v>
      </c>
      <c r="J1114" s="2" t="s">
        <v>2431</v>
      </c>
      <c r="K1114" s="2" t="s">
        <v>2432</v>
      </c>
      <c r="L1114" s="2" t="s">
        <v>35</v>
      </c>
    </row>
    <row r="1115" spans="1:12" ht="34" customHeight="1">
      <c r="A1115" s="2" t="s">
        <v>1026</v>
      </c>
      <c r="B1115" s="2" t="s">
        <v>1021</v>
      </c>
      <c r="C1115" s="2" t="s">
        <v>1022</v>
      </c>
      <c r="D1115" s="2" t="s">
        <v>1765</v>
      </c>
      <c r="E1115" s="7" t="s">
        <v>323</v>
      </c>
      <c r="F1115" s="7" t="s">
        <v>1766</v>
      </c>
      <c r="G1115" s="2" t="s">
        <v>1023</v>
      </c>
      <c r="H1115" s="2" t="s">
        <v>1759</v>
      </c>
      <c r="I1115" s="2" t="s">
        <v>1767</v>
      </c>
      <c r="J1115" s="2"/>
      <c r="K1115" t="s">
        <v>2435</v>
      </c>
    </row>
    <row r="1116" spans="1:12" ht="34" customHeight="1">
      <c r="A1116" s="2" t="s">
        <v>1033</v>
      </c>
      <c r="B1116" s="2" t="s">
        <v>1021</v>
      </c>
      <c r="C1116" s="2" t="s">
        <v>1030</v>
      </c>
      <c r="D1116" s="2" t="s">
        <v>1757</v>
      </c>
      <c r="E1116" s="5">
        <v>1.65</v>
      </c>
      <c r="F1116" s="7" t="s">
        <v>1758</v>
      </c>
      <c r="G1116" s="2" t="s">
        <v>71</v>
      </c>
      <c r="H1116" s="2" t="s">
        <v>1759</v>
      </c>
      <c r="I1116" s="2" t="s">
        <v>2436</v>
      </c>
      <c r="J1116" s="2" t="s">
        <v>2368</v>
      </c>
      <c r="K1116" s="2" t="s">
        <v>2437</v>
      </c>
      <c r="L1116" s="2" t="s">
        <v>45</v>
      </c>
    </row>
    <row r="1117" spans="1:12" ht="37" customHeight="1">
      <c r="A1117" s="2" t="s">
        <v>1033</v>
      </c>
      <c r="B1117" s="2" t="s">
        <v>1021</v>
      </c>
      <c r="C1117" s="2" t="s">
        <v>1030</v>
      </c>
      <c r="D1117" s="2" t="s">
        <v>254</v>
      </c>
      <c r="E1117" s="4">
        <v>0.5</v>
      </c>
      <c r="F1117" s="7" t="s">
        <v>1758</v>
      </c>
      <c r="G1117" s="2" t="s">
        <v>71</v>
      </c>
      <c r="H1117" s="2" t="s">
        <v>1759</v>
      </c>
      <c r="I1117" s="2" t="s">
        <v>2436</v>
      </c>
      <c r="J1117" s="2" t="s">
        <v>2368</v>
      </c>
      <c r="K1117" s="2" t="s">
        <v>2437</v>
      </c>
      <c r="L1117" s="2" t="s">
        <v>45</v>
      </c>
    </row>
    <row r="1118" spans="1:12" ht="34" customHeight="1">
      <c r="A1118" s="2" t="s">
        <v>1033</v>
      </c>
      <c r="B1118" s="2" t="s">
        <v>1021</v>
      </c>
      <c r="C1118" s="2" t="s">
        <v>1030</v>
      </c>
      <c r="D1118" s="2" t="s">
        <v>124</v>
      </c>
      <c r="E1118" s="4">
        <v>1.6</v>
      </c>
      <c r="F1118" s="7" t="s">
        <v>1763</v>
      </c>
      <c r="G1118" s="2" t="s">
        <v>71</v>
      </c>
      <c r="H1118" s="2" t="s">
        <v>1759</v>
      </c>
      <c r="I1118" s="2" t="s">
        <v>2438</v>
      </c>
      <c r="J1118" s="2" t="s">
        <v>2439</v>
      </c>
      <c r="K1118" s="2" t="s">
        <v>2437</v>
      </c>
      <c r="L1118" s="2" t="s">
        <v>45</v>
      </c>
    </row>
    <row r="1119" spans="1:12" ht="34" customHeight="1">
      <c r="A1119" s="2" t="s">
        <v>1033</v>
      </c>
      <c r="B1119" s="2" t="s">
        <v>1021</v>
      </c>
      <c r="C1119" s="2" t="s">
        <v>1030</v>
      </c>
      <c r="D1119" s="2" t="s">
        <v>65</v>
      </c>
      <c r="E1119" s="7" t="s">
        <v>1031</v>
      </c>
      <c r="F1119" s="7" t="s">
        <v>1763</v>
      </c>
      <c r="G1119" s="2" t="s">
        <v>71</v>
      </c>
      <c r="H1119" s="2" t="s">
        <v>1759</v>
      </c>
      <c r="I1119" s="2" t="s">
        <v>2436</v>
      </c>
      <c r="J1119" s="2" t="s">
        <v>2368</v>
      </c>
      <c r="K1119" s="2" t="s">
        <v>2437</v>
      </c>
      <c r="L1119" s="2" t="s">
        <v>45</v>
      </c>
    </row>
    <row r="1120" spans="1:12" ht="34" customHeight="1">
      <c r="A1120" s="2" t="s">
        <v>1033</v>
      </c>
      <c r="B1120" s="2" t="s">
        <v>1021</v>
      </c>
      <c r="C1120" s="2" t="s">
        <v>1030</v>
      </c>
      <c r="D1120" s="2" t="s">
        <v>222</v>
      </c>
      <c r="E1120" s="4">
        <v>1.4</v>
      </c>
      <c r="F1120" s="7" t="s">
        <v>1764</v>
      </c>
      <c r="G1120" s="2" t="s">
        <v>71</v>
      </c>
      <c r="H1120" s="2" t="s">
        <v>1759</v>
      </c>
      <c r="I1120" s="2" t="s">
        <v>2436</v>
      </c>
      <c r="J1120" s="2" t="s">
        <v>2368</v>
      </c>
      <c r="K1120" s="2" t="s">
        <v>2437</v>
      </c>
      <c r="L1120" s="2" t="s">
        <v>45</v>
      </c>
    </row>
    <row r="1121" spans="1:12" ht="34" customHeight="1">
      <c r="A1121" s="2" t="s">
        <v>1033</v>
      </c>
      <c r="B1121" s="2" t="s">
        <v>1021</v>
      </c>
      <c r="C1121" s="2" t="s">
        <v>1030</v>
      </c>
      <c r="D1121" s="2" t="s">
        <v>1765</v>
      </c>
      <c r="E1121" s="4" t="s">
        <v>961</v>
      </c>
      <c r="F1121" s="7" t="s">
        <v>1766</v>
      </c>
      <c r="G1121" s="2" t="s">
        <v>71</v>
      </c>
      <c r="H1121" s="2" t="s">
        <v>1759</v>
      </c>
      <c r="I1121" s="2" t="s">
        <v>1767</v>
      </c>
      <c r="J1121" s="2"/>
      <c r="K1121" t="s">
        <v>2440</v>
      </c>
    </row>
    <row r="1122" spans="1:12" ht="37" customHeight="1">
      <c r="A1122" s="2" t="s">
        <v>1037</v>
      </c>
      <c r="B1122" s="2" t="s">
        <v>1021</v>
      </c>
      <c r="C1122" s="2" t="s">
        <v>1036</v>
      </c>
      <c r="D1122" s="2" t="s">
        <v>1757</v>
      </c>
      <c r="E1122" s="4">
        <v>0.7</v>
      </c>
      <c r="F1122" s="7" t="s">
        <v>1758</v>
      </c>
      <c r="G1122" s="2" t="s">
        <v>876</v>
      </c>
      <c r="H1122" s="2" t="s">
        <v>1759</v>
      </c>
      <c r="I1122" s="2" t="s">
        <v>2411</v>
      </c>
      <c r="J1122" s="2" t="s">
        <v>1781</v>
      </c>
      <c r="K1122" s="2" t="s">
        <v>2345</v>
      </c>
      <c r="L1122" s="2" t="s">
        <v>122</v>
      </c>
    </row>
    <row r="1123" spans="1:12" ht="34" customHeight="1">
      <c r="A1123" s="2" t="s">
        <v>1037</v>
      </c>
      <c r="B1123" s="2" t="s">
        <v>1021</v>
      </c>
      <c r="C1123" s="2" t="s">
        <v>1036</v>
      </c>
      <c r="D1123" s="2" t="s">
        <v>254</v>
      </c>
      <c r="E1123" s="5">
        <v>0.11</v>
      </c>
      <c r="F1123" s="7" t="s">
        <v>1758</v>
      </c>
      <c r="G1123" s="2" t="s">
        <v>876</v>
      </c>
      <c r="H1123" s="2" t="s">
        <v>1759</v>
      </c>
      <c r="I1123" s="2" t="s">
        <v>2411</v>
      </c>
      <c r="J1123" s="2" t="s">
        <v>1781</v>
      </c>
      <c r="K1123" s="2" t="s">
        <v>2345</v>
      </c>
      <c r="L1123" s="2" t="s">
        <v>122</v>
      </c>
    </row>
    <row r="1124" spans="1:12" ht="34" customHeight="1">
      <c r="A1124" s="2" t="s">
        <v>1037</v>
      </c>
      <c r="B1124" s="2" t="s">
        <v>1021</v>
      </c>
      <c r="C1124" s="2" t="s">
        <v>1036</v>
      </c>
      <c r="D1124" s="2" t="s">
        <v>124</v>
      </c>
      <c r="E1124" s="11">
        <v>1</v>
      </c>
      <c r="F1124" s="20" t="s">
        <v>1763</v>
      </c>
      <c r="G1124" s="21" t="s">
        <v>876</v>
      </c>
      <c r="H1124" s="21" t="s">
        <v>1779</v>
      </c>
      <c r="I1124" s="2" t="s">
        <v>2412</v>
      </c>
      <c r="J1124" s="2" t="s">
        <v>1781</v>
      </c>
      <c r="K1124" s="2" t="s">
        <v>2357</v>
      </c>
      <c r="L1124" s="2" t="s">
        <v>122</v>
      </c>
    </row>
    <row r="1125" spans="1:12" ht="34" customHeight="1">
      <c r="A1125" s="2" t="s">
        <v>1037</v>
      </c>
      <c r="B1125" s="2" t="s">
        <v>1021</v>
      </c>
      <c r="C1125" s="2" t="s">
        <v>1036</v>
      </c>
      <c r="D1125" s="2" t="s">
        <v>65</v>
      </c>
      <c r="E1125" s="11">
        <v>0</v>
      </c>
      <c r="F1125" s="20" t="s">
        <v>1763</v>
      </c>
      <c r="G1125" s="21" t="s">
        <v>876</v>
      </c>
      <c r="H1125" s="21" t="s">
        <v>1779</v>
      </c>
      <c r="I1125" s="2" t="s">
        <v>2412</v>
      </c>
      <c r="J1125" s="2" t="s">
        <v>1781</v>
      </c>
      <c r="K1125" s="2" t="s">
        <v>2358</v>
      </c>
      <c r="L1125" s="2" t="s">
        <v>122</v>
      </c>
    </row>
    <row r="1126" spans="1:12" ht="34" customHeight="1">
      <c r="A1126" s="2" t="s">
        <v>1037</v>
      </c>
      <c r="B1126" s="2" t="s">
        <v>1021</v>
      </c>
      <c r="C1126" s="2" t="s">
        <v>1036</v>
      </c>
      <c r="D1126" s="2" t="s">
        <v>222</v>
      </c>
      <c r="E1126" s="8">
        <v>0.125</v>
      </c>
      <c r="F1126" s="7" t="s">
        <v>1764</v>
      </c>
      <c r="G1126" s="2" t="s">
        <v>876</v>
      </c>
      <c r="H1126" s="2" t="s">
        <v>1759</v>
      </c>
      <c r="I1126" s="2" t="s">
        <v>2411</v>
      </c>
      <c r="J1126" s="2" t="s">
        <v>1781</v>
      </c>
      <c r="K1126" s="2" t="s">
        <v>2345</v>
      </c>
      <c r="L1126" s="2" t="s">
        <v>122</v>
      </c>
    </row>
    <row r="1127" spans="1:12" ht="34" customHeight="1">
      <c r="A1127" s="2" t="s">
        <v>1037</v>
      </c>
      <c r="B1127" s="2" t="s">
        <v>1021</v>
      </c>
      <c r="C1127" s="2" t="s">
        <v>1036</v>
      </c>
      <c r="D1127" s="2" t="s">
        <v>1765</v>
      </c>
      <c r="E1127" s="8" t="s">
        <v>76</v>
      </c>
      <c r="F1127" s="7" t="s">
        <v>1766</v>
      </c>
      <c r="G1127" s="2" t="s">
        <v>876</v>
      </c>
      <c r="H1127" s="2" t="s">
        <v>1759</v>
      </c>
      <c r="I1127" s="2" t="s">
        <v>1767</v>
      </c>
      <c r="J1127" s="2"/>
      <c r="K1127" t="s">
        <v>2441</v>
      </c>
    </row>
    <row r="1128" spans="1:12" ht="34" customHeight="1">
      <c r="A1128" s="2" t="s">
        <v>1042</v>
      </c>
      <c r="B1128" s="2" t="s">
        <v>1021</v>
      </c>
      <c r="C1128" s="2" t="s">
        <v>1040</v>
      </c>
      <c r="D1128" s="2" t="s">
        <v>1757</v>
      </c>
      <c r="E1128" s="5">
        <v>0.25</v>
      </c>
      <c r="F1128" s="7" t="s">
        <v>1758</v>
      </c>
      <c r="G1128" s="2" t="s">
        <v>876</v>
      </c>
      <c r="H1128" s="2" t="s">
        <v>1759</v>
      </c>
      <c r="I1128" s="2" t="s">
        <v>2442</v>
      </c>
      <c r="J1128" s="2" t="s">
        <v>1781</v>
      </c>
      <c r="K1128" s="2" t="s">
        <v>2443</v>
      </c>
      <c r="L1128" s="2" t="s">
        <v>122</v>
      </c>
    </row>
    <row r="1129" spans="1:12" ht="34" customHeight="1">
      <c r="A1129" s="2" t="s">
        <v>1042</v>
      </c>
      <c r="B1129" s="2" t="s">
        <v>1021</v>
      </c>
      <c r="C1129" s="2" t="s">
        <v>1040</v>
      </c>
      <c r="D1129" s="2" t="s">
        <v>254</v>
      </c>
      <c r="E1129" s="4">
        <v>0.1</v>
      </c>
      <c r="F1129" s="7" t="s">
        <v>1758</v>
      </c>
      <c r="G1129" s="2" t="s">
        <v>876</v>
      </c>
      <c r="H1129" s="2" t="s">
        <v>1759</v>
      </c>
      <c r="I1129" s="2" t="s">
        <v>2442</v>
      </c>
      <c r="J1129" s="2" t="s">
        <v>1781</v>
      </c>
      <c r="K1129" s="2" t="s">
        <v>2443</v>
      </c>
      <c r="L1129" s="2" t="s">
        <v>122</v>
      </c>
    </row>
    <row r="1130" spans="1:12" ht="34" customHeight="1">
      <c r="A1130" s="2" t="s">
        <v>1042</v>
      </c>
      <c r="B1130" s="2" t="s">
        <v>1021</v>
      </c>
      <c r="C1130" s="2" t="s">
        <v>1040</v>
      </c>
      <c r="D1130" s="2" t="s">
        <v>124</v>
      </c>
      <c r="E1130" s="11">
        <v>1</v>
      </c>
      <c r="F1130" s="20" t="s">
        <v>1763</v>
      </c>
      <c r="G1130" s="21" t="s">
        <v>876</v>
      </c>
      <c r="H1130" s="21" t="s">
        <v>1779</v>
      </c>
      <c r="I1130" s="2" t="s">
        <v>2444</v>
      </c>
      <c r="J1130" s="2" t="s">
        <v>1781</v>
      </c>
      <c r="K1130" s="2" t="s">
        <v>2445</v>
      </c>
      <c r="L1130" s="2" t="s">
        <v>122</v>
      </c>
    </row>
    <row r="1131" spans="1:12" ht="34" customHeight="1">
      <c r="A1131" s="2" t="s">
        <v>1042</v>
      </c>
      <c r="B1131" s="2" t="s">
        <v>1021</v>
      </c>
      <c r="C1131" s="2" t="s">
        <v>1040</v>
      </c>
      <c r="D1131" s="2" t="s">
        <v>65</v>
      </c>
      <c r="E1131" s="11">
        <v>0</v>
      </c>
      <c r="F1131" s="20" t="s">
        <v>1763</v>
      </c>
      <c r="G1131" s="21" t="s">
        <v>876</v>
      </c>
      <c r="H1131" s="21" t="s">
        <v>1779</v>
      </c>
      <c r="I1131" s="2" t="s">
        <v>2444</v>
      </c>
      <c r="J1131" s="2" t="s">
        <v>1781</v>
      </c>
      <c r="K1131" s="2" t="s">
        <v>2446</v>
      </c>
      <c r="L1131" s="2" t="s">
        <v>122</v>
      </c>
    </row>
    <row r="1132" spans="1:12" ht="34" customHeight="1">
      <c r="A1132" s="2" t="s">
        <v>1042</v>
      </c>
      <c r="B1132" s="2" t="s">
        <v>1021</v>
      </c>
      <c r="C1132" s="2" t="s">
        <v>1040</v>
      </c>
      <c r="D1132" s="2" t="s">
        <v>222</v>
      </c>
      <c r="E1132" s="8">
        <v>2.5000000000000001E-2</v>
      </c>
      <c r="F1132" s="7" t="s">
        <v>1764</v>
      </c>
      <c r="G1132" s="2" t="s">
        <v>876</v>
      </c>
      <c r="H1132" s="2" t="s">
        <v>1759</v>
      </c>
      <c r="I1132" s="2" t="s">
        <v>2442</v>
      </c>
      <c r="J1132" s="2" t="s">
        <v>1781</v>
      </c>
      <c r="K1132" s="2" t="s">
        <v>2443</v>
      </c>
      <c r="L1132" s="2" t="s">
        <v>122</v>
      </c>
    </row>
    <row r="1133" spans="1:12" ht="37" customHeight="1">
      <c r="A1133" s="2" t="s">
        <v>1042</v>
      </c>
      <c r="B1133" s="2" t="s">
        <v>1021</v>
      </c>
      <c r="C1133" s="2" t="s">
        <v>1040</v>
      </c>
      <c r="D1133" s="2" t="s">
        <v>1765</v>
      </c>
      <c r="E1133" s="8" t="s">
        <v>86</v>
      </c>
      <c r="F1133" s="7" t="s">
        <v>1766</v>
      </c>
      <c r="G1133" s="2" t="s">
        <v>876</v>
      </c>
      <c r="H1133" s="2" t="s">
        <v>1759</v>
      </c>
      <c r="I1133" s="2" t="s">
        <v>1767</v>
      </c>
      <c r="J1133" s="2"/>
      <c r="K1133" t="s">
        <v>1817</v>
      </c>
    </row>
    <row r="1134" spans="1:12" ht="37" customHeight="1">
      <c r="A1134" s="2" t="s">
        <v>1049</v>
      </c>
      <c r="B1134" s="2" t="s">
        <v>1021</v>
      </c>
      <c r="C1134" s="2" t="s">
        <v>1045</v>
      </c>
      <c r="D1134" s="2" t="s">
        <v>1757</v>
      </c>
      <c r="E1134" s="5">
        <v>1.75</v>
      </c>
      <c r="F1134" s="7" t="s">
        <v>1758</v>
      </c>
      <c r="G1134" s="2" t="s">
        <v>1046</v>
      </c>
      <c r="H1134" s="2" t="s">
        <v>1759</v>
      </c>
      <c r="I1134" s="2" t="s">
        <v>2447</v>
      </c>
      <c r="J1134" s="2" t="s">
        <v>2448</v>
      </c>
      <c r="K1134" s="2" t="s">
        <v>2449</v>
      </c>
      <c r="L1134" s="2" t="s">
        <v>45</v>
      </c>
    </row>
    <row r="1135" spans="1:12" ht="34" customHeight="1">
      <c r="A1135" s="2" t="s">
        <v>1049</v>
      </c>
      <c r="B1135" s="2" t="s">
        <v>1021</v>
      </c>
      <c r="C1135" s="2" t="s">
        <v>1045</v>
      </c>
      <c r="D1135" s="2" t="s">
        <v>254</v>
      </c>
      <c r="E1135" s="8">
        <v>0.46500000000000002</v>
      </c>
      <c r="F1135" s="7" t="s">
        <v>1758</v>
      </c>
      <c r="G1135" s="2" t="s">
        <v>1046</v>
      </c>
      <c r="H1135" s="2" t="s">
        <v>1759</v>
      </c>
      <c r="I1135" s="2" t="s">
        <v>2447</v>
      </c>
      <c r="J1135" s="2" t="s">
        <v>2448</v>
      </c>
      <c r="K1135" s="2" t="s">
        <v>2449</v>
      </c>
      <c r="L1135" s="2" t="s">
        <v>45</v>
      </c>
    </row>
    <row r="1136" spans="1:12" ht="34" customHeight="1">
      <c r="A1136" s="2" t="s">
        <v>1049</v>
      </c>
      <c r="B1136" s="2" t="s">
        <v>1021</v>
      </c>
      <c r="C1136" s="2" t="s">
        <v>1045</v>
      </c>
      <c r="D1136" s="2" t="s">
        <v>124</v>
      </c>
      <c r="E1136" s="6">
        <v>1</v>
      </c>
      <c r="F1136" s="7" t="s">
        <v>1763</v>
      </c>
      <c r="G1136" s="2" t="s">
        <v>1046</v>
      </c>
      <c r="H1136" s="2" t="s">
        <v>1759</v>
      </c>
      <c r="I1136" s="2" t="s">
        <v>2447</v>
      </c>
      <c r="J1136" s="2" t="s">
        <v>2448</v>
      </c>
      <c r="K1136" s="2" t="s">
        <v>2449</v>
      </c>
      <c r="L1136" s="2" t="s">
        <v>45</v>
      </c>
    </row>
    <row r="1137" spans="1:12" ht="34" customHeight="1">
      <c r="A1137" s="2" t="s">
        <v>1049</v>
      </c>
      <c r="B1137" s="2" t="s">
        <v>1021</v>
      </c>
      <c r="C1137" s="2" t="s">
        <v>1045</v>
      </c>
      <c r="D1137" s="2" t="s">
        <v>65</v>
      </c>
      <c r="E1137" s="6">
        <v>0</v>
      </c>
      <c r="F1137" s="7" t="s">
        <v>1763</v>
      </c>
      <c r="G1137" s="2" t="s">
        <v>1046</v>
      </c>
      <c r="H1137" s="2" t="s">
        <v>1759</v>
      </c>
      <c r="I1137" s="2" t="s">
        <v>2447</v>
      </c>
      <c r="J1137" s="2" t="s">
        <v>2448</v>
      </c>
      <c r="K1137" s="2" t="s">
        <v>2449</v>
      </c>
      <c r="L1137" s="2" t="s">
        <v>45</v>
      </c>
    </row>
    <row r="1138" spans="1:12" ht="37" customHeight="1">
      <c r="A1138" s="2" t="s">
        <v>1049</v>
      </c>
      <c r="B1138" s="2" t="s">
        <v>1021</v>
      </c>
      <c r="C1138" s="2" t="s">
        <v>1045</v>
      </c>
      <c r="D1138" s="2" t="s">
        <v>222</v>
      </c>
      <c r="E1138" s="8">
        <v>0.39600000000000002</v>
      </c>
      <c r="F1138" s="7" t="s">
        <v>1764</v>
      </c>
      <c r="G1138" s="2" t="s">
        <v>1046</v>
      </c>
      <c r="H1138" s="2" t="s">
        <v>1759</v>
      </c>
      <c r="I1138" s="2" t="s">
        <v>2447</v>
      </c>
      <c r="J1138" s="2" t="s">
        <v>2448</v>
      </c>
      <c r="K1138" s="2" t="s">
        <v>2449</v>
      </c>
      <c r="L1138" s="2" t="s">
        <v>45</v>
      </c>
    </row>
    <row r="1139" spans="1:12" ht="37" customHeight="1">
      <c r="A1139" s="2" t="s">
        <v>1049</v>
      </c>
      <c r="B1139" s="2" t="s">
        <v>1021</v>
      </c>
      <c r="C1139" s="2" t="s">
        <v>1045</v>
      </c>
      <c r="D1139" s="2" t="s">
        <v>1765</v>
      </c>
      <c r="E1139" s="8" t="s">
        <v>157</v>
      </c>
      <c r="F1139" s="7" t="s">
        <v>1766</v>
      </c>
      <c r="G1139" s="2" t="s">
        <v>1046</v>
      </c>
      <c r="H1139" s="2" t="s">
        <v>1759</v>
      </c>
      <c r="I1139" s="2" t="s">
        <v>1767</v>
      </c>
      <c r="J1139" s="2"/>
      <c r="K1139" t="s">
        <v>2450</v>
      </c>
    </row>
    <row r="1140" spans="1:12" ht="34" customHeight="1">
      <c r="A1140" s="2" t="s">
        <v>1052</v>
      </c>
      <c r="B1140" s="2" t="s">
        <v>1021</v>
      </c>
      <c r="C1140" s="2" t="s">
        <v>1051</v>
      </c>
      <c r="D1140" s="2" t="s">
        <v>1757</v>
      </c>
      <c r="E1140" s="4">
        <v>0.3</v>
      </c>
      <c r="F1140" s="7" t="s">
        <v>1758</v>
      </c>
      <c r="G1140" s="2" t="s">
        <v>876</v>
      </c>
      <c r="H1140" s="2" t="s">
        <v>1759</v>
      </c>
      <c r="I1140" s="2" t="s">
        <v>2314</v>
      </c>
      <c r="J1140" s="2" t="s">
        <v>1781</v>
      </c>
      <c r="K1140" s="2" t="s">
        <v>2345</v>
      </c>
      <c r="L1140" s="2" t="s">
        <v>122</v>
      </c>
    </row>
    <row r="1141" spans="1:12" ht="34" customHeight="1">
      <c r="A1141" s="2" t="s">
        <v>1052</v>
      </c>
      <c r="B1141" s="2" t="s">
        <v>1021</v>
      </c>
      <c r="C1141" s="2" t="s">
        <v>1051</v>
      </c>
      <c r="D1141" s="2" t="s">
        <v>254</v>
      </c>
      <c r="E1141" s="4">
        <v>0.1</v>
      </c>
      <c r="F1141" s="7" t="s">
        <v>1758</v>
      </c>
      <c r="G1141" s="2" t="s">
        <v>876</v>
      </c>
      <c r="H1141" s="2" t="s">
        <v>1759</v>
      </c>
      <c r="I1141" s="2" t="s">
        <v>2314</v>
      </c>
      <c r="J1141" s="2" t="s">
        <v>1781</v>
      </c>
      <c r="K1141" s="2" t="s">
        <v>2345</v>
      </c>
      <c r="L1141" s="2" t="s">
        <v>122</v>
      </c>
    </row>
    <row r="1142" spans="1:12" ht="34" customHeight="1">
      <c r="A1142" s="2" t="s">
        <v>1052</v>
      </c>
      <c r="B1142" s="2" t="s">
        <v>1021</v>
      </c>
      <c r="C1142" s="2" t="s">
        <v>1051</v>
      </c>
      <c r="D1142" s="2" t="s">
        <v>124</v>
      </c>
      <c r="E1142" s="11">
        <v>1</v>
      </c>
      <c r="F1142" s="20" t="s">
        <v>1763</v>
      </c>
      <c r="G1142" s="21" t="s">
        <v>876</v>
      </c>
      <c r="H1142" s="21" t="s">
        <v>1779</v>
      </c>
      <c r="I1142" s="2" t="s">
        <v>2451</v>
      </c>
      <c r="J1142" s="2" t="s">
        <v>1781</v>
      </c>
      <c r="K1142" s="2" t="s">
        <v>2357</v>
      </c>
      <c r="L1142" s="2" t="s">
        <v>122</v>
      </c>
    </row>
    <row r="1143" spans="1:12" ht="34" customHeight="1">
      <c r="A1143" s="2" t="s">
        <v>1052</v>
      </c>
      <c r="B1143" s="2" t="s">
        <v>1021</v>
      </c>
      <c r="C1143" s="2" t="s">
        <v>1051</v>
      </c>
      <c r="D1143" s="2" t="s">
        <v>65</v>
      </c>
      <c r="E1143" s="11">
        <v>0</v>
      </c>
      <c r="F1143" s="20" t="s">
        <v>1763</v>
      </c>
      <c r="G1143" s="21" t="s">
        <v>876</v>
      </c>
      <c r="H1143" s="21" t="s">
        <v>1779</v>
      </c>
      <c r="I1143" s="2" t="s">
        <v>2451</v>
      </c>
      <c r="J1143" s="2" t="s">
        <v>1781</v>
      </c>
      <c r="K1143" s="2" t="s">
        <v>2358</v>
      </c>
      <c r="L1143" s="2" t="s">
        <v>122</v>
      </c>
    </row>
    <row r="1144" spans="1:12" ht="34" customHeight="1">
      <c r="A1144" s="2" t="s">
        <v>1052</v>
      </c>
      <c r="B1144" s="2" t="s">
        <v>1021</v>
      </c>
      <c r="C1144" s="2" t="s">
        <v>1051</v>
      </c>
      <c r="D1144" s="2" t="s">
        <v>222</v>
      </c>
      <c r="E1144" s="5">
        <v>0.03</v>
      </c>
      <c r="F1144" s="7" t="s">
        <v>1764</v>
      </c>
      <c r="G1144" s="2" t="s">
        <v>876</v>
      </c>
      <c r="H1144" s="2" t="s">
        <v>1759</v>
      </c>
      <c r="I1144" s="2" t="s">
        <v>2314</v>
      </c>
      <c r="J1144" s="2" t="s">
        <v>1781</v>
      </c>
      <c r="K1144" s="2" t="s">
        <v>2345</v>
      </c>
      <c r="L1144" s="2" t="s">
        <v>122</v>
      </c>
    </row>
    <row r="1145" spans="1:12" ht="34" customHeight="1">
      <c r="A1145" s="2" t="s">
        <v>1052</v>
      </c>
      <c r="B1145" s="2" t="s">
        <v>1021</v>
      </c>
      <c r="C1145" s="2" t="s">
        <v>1051</v>
      </c>
      <c r="D1145" s="2" t="s">
        <v>1765</v>
      </c>
      <c r="E1145" s="5" t="s">
        <v>815</v>
      </c>
      <c r="F1145" s="7" t="s">
        <v>1766</v>
      </c>
      <c r="G1145" s="2" t="s">
        <v>876</v>
      </c>
      <c r="H1145" s="2" t="s">
        <v>1759</v>
      </c>
      <c r="I1145" s="2" t="s">
        <v>1767</v>
      </c>
      <c r="J1145" s="2"/>
      <c r="K1145" t="s">
        <v>1817</v>
      </c>
    </row>
    <row r="1146" spans="1:12" ht="37" customHeight="1">
      <c r="A1146" s="2" t="s">
        <v>1059</v>
      </c>
      <c r="B1146" s="2" t="s">
        <v>1055</v>
      </c>
      <c r="C1146" s="2" t="s">
        <v>1056</v>
      </c>
      <c r="D1146" s="2" t="s">
        <v>1757</v>
      </c>
      <c r="E1146" s="5">
        <v>2.11</v>
      </c>
      <c r="F1146" s="7" t="s">
        <v>1758</v>
      </c>
      <c r="G1146" s="2" t="s">
        <v>29</v>
      </c>
      <c r="H1146" s="2" t="s">
        <v>1759</v>
      </c>
      <c r="I1146" s="2" t="s">
        <v>2452</v>
      </c>
      <c r="J1146" s="2" t="s">
        <v>2453</v>
      </c>
      <c r="K1146" s="2" t="s">
        <v>2454</v>
      </c>
      <c r="L1146" s="2" t="s">
        <v>45</v>
      </c>
    </row>
    <row r="1147" spans="1:12" ht="37" customHeight="1">
      <c r="A1147" s="2" t="s">
        <v>1059</v>
      </c>
      <c r="B1147" s="2" t="s">
        <v>1055</v>
      </c>
      <c r="C1147" s="2" t="s">
        <v>1056</v>
      </c>
      <c r="D1147" s="2" t="s">
        <v>254</v>
      </c>
      <c r="E1147" s="5">
        <v>0.64</v>
      </c>
      <c r="F1147" s="7" t="s">
        <v>1758</v>
      </c>
      <c r="G1147" s="2" t="s">
        <v>29</v>
      </c>
      <c r="H1147" s="2" t="s">
        <v>1759</v>
      </c>
      <c r="I1147" s="2" t="s">
        <v>2452</v>
      </c>
      <c r="J1147" s="2" t="s">
        <v>2453</v>
      </c>
      <c r="K1147" s="2" t="s">
        <v>2454</v>
      </c>
      <c r="L1147" s="2" t="s">
        <v>45</v>
      </c>
    </row>
    <row r="1148" spans="1:12" ht="37" customHeight="1">
      <c r="A1148" s="2" t="s">
        <v>1059</v>
      </c>
      <c r="B1148" s="2" t="s">
        <v>1055</v>
      </c>
      <c r="C1148" s="2" t="s">
        <v>1056</v>
      </c>
      <c r="D1148" s="2" t="s">
        <v>124</v>
      </c>
      <c r="E1148" s="5">
        <v>1.65</v>
      </c>
      <c r="F1148" s="7" t="s">
        <v>1763</v>
      </c>
      <c r="G1148" s="2" t="s">
        <v>29</v>
      </c>
      <c r="H1148" s="2" t="s">
        <v>1759</v>
      </c>
      <c r="I1148" s="2" t="s">
        <v>2452</v>
      </c>
      <c r="J1148" s="2" t="s">
        <v>2453</v>
      </c>
      <c r="K1148" s="2" t="s">
        <v>2454</v>
      </c>
      <c r="L1148" s="2" t="s">
        <v>45</v>
      </c>
    </row>
    <row r="1149" spans="1:12" ht="37" customHeight="1">
      <c r="A1149" s="2" t="s">
        <v>1059</v>
      </c>
      <c r="B1149" s="2" t="s">
        <v>1055</v>
      </c>
      <c r="C1149" s="2" t="s">
        <v>1056</v>
      </c>
      <c r="D1149" s="2" t="s">
        <v>65</v>
      </c>
      <c r="E1149" s="4">
        <v>0.3</v>
      </c>
      <c r="F1149" s="7" t="s">
        <v>1763</v>
      </c>
      <c r="G1149" s="2" t="s">
        <v>29</v>
      </c>
      <c r="H1149" s="2" t="s">
        <v>1759</v>
      </c>
      <c r="I1149" s="2" t="s">
        <v>2452</v>
      </c>
      <c r="J1149" s="2" t="s">
        <v>2453</v>
      </c>
      <c r="K1149" s="2" t="s">
        <v>2454</v>
      </c>
      <c r="L1149" s="2" t="s">
        <v>45</v>
      </c>
    </row>
    <row r="1150" spans="1:12" ht="37" customHeight="1">
      <c r="A1150" s="2" t="s">
        <v>1059</v>
      </c>
      <c r="B1150" s="2" t="s">
        <v>1055</v>
      </c>
      <c r="C1150" s="2" t="s">
        <v>1056</v>
      </c>
      <c r="D1150" s="2" t="s">
        <v>222</v>
      </c>
      <c r="E1150" s="4">
        <v>5.5</v>
      </c>
      <c r="F1150" s="7" t="s">
        <v>1764</v>
      </c>
      <c r="G1150" s="2" t="s">
        <v>29</v>
      </c>
      <c r="H1150" s="2" t="s">
        <v>1759</v>
      </c>
      <c r="I1150" s="2" t="s">
        <v>2452</v>
      </c>
      <c r="J1150" s="2" t="s">
        <v>2453</v>
      </c>
      <c r="K1150" s="2" t="s">
        <v>2454</v>
      </c>
      <c r="L1150" s="2" t="s">
        <v>45</v>
      </c>
    </row>
    <row r="1151" spans="1:12" ht="34" customHeight="1">
      <c r="A1151" s="2" t="s">
        <v>1059</v>
      </c>
      <c r="B1151" s="2" t="s">
        <v>1055</v>
      </c>
      <c r="C1151" s="2" t="s">
        <v>1056</v>
      </c>
      <c r="D1151" s="2" t="s">
        <v>1765</v>
      </c>
      <c r="E1151" s="4" t="s">
        <v>998</v>
      </c>
      <c r="F1151" s="7" t="s">
        <v>1766</v>
      </c>
      <c r="G1151" s="2" t="s">
        <v>29</v>
      </c>
      <c r="H1151" s="2" t="s">
        <v>1759</v>
      </c>
      <c r="I1151" s="2" t="s">
        <v>1767</v>
      </c>
      <c r="J1151" s="2"/>
      <c r="K1151" t="s">
        <v>2455</v>
      </c>
    </row>
    <row r="1152" spans="1:12" ht="34" customHeight="1">
      <c r="A1152" s="2" t="s">
        <v>1067</v>
      </c>
      <c r="B1152" s="2" t="s">
        <v>1055</v>
      </c>
      <c r="C1152" s="2" t="s">
        <v>1062</v>
      </c>
      <c r="D1152" s="2" t="s">
        <v>1757</v>
      </c>
      <c r="E1152" s="5">
        <v>2.19</v>
      </c>
      <c r="F1152" s="7" t="s">
        <v>1758</v>
      </c>
      <c r="G1152" s="2" t="s">
        <v>29</v>
      </c>
      <c r="H1152" s="2" t="s">
        <v>1759</v>
      </c>
      <c r="I1152" s="2" t="s">
        <v>2456</v>
      </c>
      <c r="J1152" s="2" t="s">
        <v>2457</v>
      </c>
      <c r="K1152" s="2" t="s">
        <v>2458</v>
      </c>
      <c r="L1152" s="2" t="s">
        <v>45</v>
      </c>
    </row>
    <row r="1153" spans="1:12" ht="34" customHeight="1">
      <c r="A1153" s="2" t="s">
        <v>1067</v>
      </c>
      <c r="B1153" s="2" t="s">
        <v>1055</v>
      </c>
      <c r="C1153" s="2" t="s">
        <v>1062</v>
      </c>
      <c r="D1153" s="2" t="s">
        <v>254</v>
      </c>
      <c r="E1153" s="4">
        <v>0.7</v>
      </c>
      <c r="F1153" s="7" t="s">
        <v>1758</v>
      </c>
      <c r="G1153" s="2" t="s">
        <v>29</v>
      </c>
      <c r="H1153" s="2" t="s">
        <v>1759</v>
      </c>
      <c r="I1153" s="2" t="s">
        <v>2456</v>
      </c>
      <c r="J1153" s="2" t="s">
        <v>2457</v>
      </c>
      <c r="K1153" s="2" t="s">
        <v>2458</v>
      </c>
      <c r="L1153" s="2" t="s">
        <v>45</v>
      </c>
    </row>
    <row r="1154" spans="1:12" ht="34" customHeight="1">
      <c r="A1154" s="2" t="s">
        <v>1067</v>
      </c>
      <c r="B1154" s="2" t="s">
        <v>1055</v>
      </c>
      <c r="C1154" s="2" t="s">
        <v>1062</v>
      </c>
      <c r="D1154" s="2" t="s">
        <v>124</v>
      </c>
      <c r="E1154" s="7" t="s">
        <v>1063</v>
      </c>
      <c r="F1154" s="7" t="s">
        <v>1763</v>
      </c>
      <c r="G1154" s="2" t="s">
        <v>29</v>
      </c>
      <c r="H1154" s="2" t="s">
        <v>1759</v>
      </c>
      <c r="I1154" s="2" t="s">
        <v>2456</v>
      </c>
      <c r="J1154" s="2" t="s">
        <v>2457</v>
      </c>
      <c r="K1154" s="2" t="s">
        <v>2458</v>
      </c>
      <c r="L1154" s="2" t="s">
        <v>45</v>
      </c>
    </row>
    <row r="1155" spans="1:12" ht="34" customHeight="1">
      <c r="A1155" s="2" t="s">
        <v>1067</v>
      </c>
      <c r="B1155" s="2" t="s">
        <v>1055</v>
      </c>
      <c r="C1155" s="2" t="s">
        <v>1062</v>
      </c>
      <c r="D1155" s="2" t="s">
        <v>65</v>
      </c>
      <c r="E1155" s="7" t="s">
        <v>1064</v>
      </c>
      <c r="F1155" s="7" t="s">
        <v>1763</v>
      </c>
      <c r="G1155" s="2" t="s">
        <v>29</v>
      </c>
      <c r="H1155" s="2" t="s">
        <v>1759</v>
      </c>
      <c r="I1155" s="2" t="s">
        <v>2456</v>
      </c>
      <c r="J1155" s="2" t="s">
        <v>2457</v>
      </c>
      <c r="K1155" s="2" t="s">
        <v>2458</v>
      </c>
      <c r="L1155" s="2" t="s">
        <v>45</v>
      </c>
    </row>
    <row r="1156" spans="1:12" ht="34" customHeight="1">
      <c r="A1156" s="2" t="s">
        <v>1067</v>
      </c>
      <c r="B1156" s="2" t="s">
        <v>1055</v>
      </c>
      <c r="C1156" s="2" t="s">
        <v>1062</v>
      </c>
      <c r="D1156" s="2" t="s">
        <v>222</v>
      </c>
      <c r="E1156" s="4">
        <v>5.5</v>
      </c>
      <c r="F1156" s="7" t="s">
        <v>1764</v>
      </c>
      <c r="G1156" s="2" t="s">
        <v>29</v>
      </c>
      <c r="H1156" s="2" t="s">
        <v>1759</v>
      </c>
      <c r="I1156" s="2" t="s">
        <v>2456</v>
      </c>
      <c r="J1156" s="2" t="s">
        <v>2457</v>
      </c>
      <c r="K1156" s="2" t="s">
        <v>2458</v>
      </c>
      <c r="L1156" s="2" t="s">
        <v>45</v>
      </c>
    </row>
    <row r="1157" spans="1:12" ht="34" customHeight="1">
      <c r="A1157" s="2" t="s">
        <v>1067</v>
      </c>
      <c r="B1157" s="2" t="s">
        <v>1055</v>
      </c>
      <c r="C1157" s="2" t="s">
        <v>1062</v>
      </c>
      <c r="D1157" s="2" t="s">
        <v>1765</v>
      </c>
      <c r="E1157" s="4" t="s">
        <v>998</v>
      </c>
      <c r="F1157" s="7" t="s">
        <v>1766</v>
      </c>
      <c r="G1157" s="2" t="s">
        <v>29</v>
      </c>
      <c r="H1157" s="2" t="s">
        <v>1759</v>
      </c>
      <c r="I1157" s="2" t="s">
        <v>1767</v>
      </c>
      <c r="J1157" s="2"/>
      <c r="K1157" t="s">
        <v>2455</v>
      </c>
    </row>
    <row r="1158" spans="1:12" ht="34" customHeight="1">
      <c r="A1158" s="2" t="s">
        <v>1072</v>
      </c>
      <c r="B1158" s="2" t="s">
        <v>1055</v>
      </c>
      <c r="C1158" s="2" t="s">
        <v>1070</v>
      </c>
      <c r="D1158" s="2" t="s">
        <v>1757</v>
      </c>
      <c r="E1158" s="5">
        <v>1.82</v>
      </c>
      <c r="F1158" s="7" t="s">
        <v>1758</v>
      </c>
      <c r="G1158" s="2" t="s">
        <v>29</v>
      </c>
      <c r="H1158" s="2" t="s">
        <v>1759</v>
      </c>
      <c r="I1158" s="2" t="s">
        <v>2459</v>
      </c>
      <c r="J1158" s="2" t="s">
        <v>2460</v>
      </c>
      <c r="K1158" s="2" t="s">
        <v>2461</v>
      </c>
      <c r="L1158" s="2" t="s">
        <v>45</v>
      </c>
    </row>
    <row r="1159" spans="1:12" ht="34" customHeight="1">
      <c r="A1159" s="2" t="s">
        <v>1072</v>
      </c>
      <c r="B1159" s="2" t="s">
        <v>1055</v>
      </c>
      <c r="C1159" s="2" t="s">
        <v>1070</v>
      </c>
      <c r="D1159" s="2" t="s">
        <v>254</v>
      </c>
      <c r="E1159" s="5">
        <v>0.64</v>
      </c>
      <c r="F1159" s="7" t="s">
        <v>1758</v>
      </c>
      <c r="G1159" s="2" t="s">
        <v>29</v>
      </c>
      <c r="H1159" s="2" t="s">
        <v>1759</v>
      </c>
      <c r="I1159" s="2" t="s">
        <v>2459</v>
      </c>
      <c r="J1159" s="2" t="s">
        <v>2460</v>
      </c>
      <c r="K1159" s="2" t="s">
        <v>2461</v>
      </c>
      <c r="L1159" s="2" t="s">
        <v>45</v>
      </c>
    </row>
    <row r="1160" spans="1:12" ht="34" customHeight="1">
      <c r="A1160" s="2" t="s">
        <v>1072</v>
      </c>
      <c r="B1160" s="2" t="s">
        <v>1055</v>
      </c>
      <c r="C1160" s="2" t="s">
        <v>1070</v>
      </c>
      <c r="D1160" s="2" t="s">
        <v>124</v>
      </c>
      <c r="E1160" s="4">
        <v>1.7</v>
      </c>
      <c r="F1160" s="7" t="s">
        <v>1763</v>
      </c>
      <c r="G1160" s="2" t="s">
        <v>29</v>
      </c>
      <c r="H1160" s="2" t="s">
        <v>1759</v>
      </c>
      <c r="I1160" s="2" t="s">
        <v>2459</v>
      </c>
      <c r="J1160" s="2" t="s">
        <v>2460</v>
      </c>
      <c r="K1160" s="2" t="s">
        <v>2461</v>
      </c>
      <c r="L1160" s="2" t="s">
        <v>45</v>
      </c>
    </row>
    <row r="1161" spans="1:12" ht="34" customHeight="1">
      <c r="A1161" s="2" t="s">
        <v>1072</v>
      </c>
      <c r="B1161" s="2" t="s">
        <v>1055</v>
      </c>
      <c r="C1161" s="2" t="s">
        <v>1070</v>
      </c>
      <c r="D1161" s="2" t="s">
        <v>65</v>
      </c>
      <c r="E1161" s="4">
        <v>0.4</v>
      </c>
      <c r="F1161" s="7" t="s">
        <v>1763</v>
      </c>
      <c r="G1161" s="2" t="s">
        <v>29</v>
      </c>
      <c r="H1161" s="2" t="s">
        <v>1759</v>
      </c>
      <c r="I1161" s="2" t="s">
        <v>2459</v>
      </c>
      <c r="J1161" s="2" t="s">
        <v>2460</v>
      </c>
      <c r="K1161" s="2" t="s">
        <v>2461</v>
      </c>
      <c r="L1161" s="2" t="s">
        <v>45</v>
      </c>
    </row>
    <row r="1162" spans="1:12" ht="34" customHeight="1">
      <c r="A1162" s="2" t="s">
        <v>1072</v>
      </c>
      <c r="B1162" s="2" t="s">
        <v>1055</v>
      </c>
      <c r="C1162" s="2" t="s">
        <v>1070</v>
      </c>
      <c r="D1162" s="2" t="s">
        <v>222</v>
      </c>
      <c r="E1162" s="4">
        <v>6.5</v>
      </c>
      <c r="F1162" s="7" t="s">
        <v>1764</v>
      </c>
      <c r="G1162" s="2" t="s">
        <v>29</v>
      </c>
      <c r="H1162" s="2" t="s">
        <v>1759</v>
      </c>
      <c r="I1162" s="2" t="s">
        <v>2459</v>
      </c>
      <c r="J1162" s="2" t="s">
        <v>2460</v>
      </c>
      <c r="K1162" s="2" t="s">
        <v>2461</v>
      </c>
      <c r="L1162" s="2" t="s">
        <v>45</v>
      </c>
    </row>
    <row r="1163" spans="1:12" ht="34" customHeight="1">
      <c r="A1163" s="2" t="s">
        <v>1072</v>
      </c>
      <c r="B1163" s="2" t="s">
        <v>1055</v>
      </c>
      <c r="C1163" s="2" t="s">
        <v>1070</v>
      </c>
      <c r="D1163" s="2" t="s">
        <v>1765</v>
      </c>
      <c r="E1163" s="4" t="s">
        <v>273</v>
      </c>
      <c r="F1163" s="7" t="s">
        <v>1766</v>
      </c>
      <c r="G1163" s="2" t="s">
        <v>29</v>
      </c>
      <c r="H1163" s="2" t="s">
        <v>1759</v>
      </c>
      <c r="I1163" s="2" t="s">
        <v>1767</v>
      </c>
      <c r="J1163" s="2"/>
      <c r="K1163" t="s">
        <v>1923</v>
      </c>
    </row>
    <row r="1164" spans="1:12" ht="34" customHeight="1">
      <c r="A1164" s="2" t="s">
        <v>1077</v>
      </c>
      <c r="B1164" s="2" t="s">
        <v>1055</v>
      </c>
      <c r="C1164" s="2" t="s">
        <v>1075</v>
      </c>
      <c r="D1164" s="2" t="s">
        <v>1757</v>
      </c>
      <c r="E1164" s="4">
        <v>1.3</v>
      </c>
      <c r="F1164" s="7" t="s">
        <v>1758</v>
      </c>
      <c r="G1164" s="2" t="s">
        <v>29</v>
      </c>
      <c r="H1164" s="2" t="s">
        <v>1759</v>
      </c>
      <c r="I1164" s="2" t="s">
        <v>2462</v>
      </c>
      <c r="J1164" s="2" t="s">
        <v>2463</v>
      </c>
      <c r="K1164" s="2" t="s">
        <v>2464</v>
      </c>
      <c r="L1164" s="2" t="s">
        <v>45</v>
      </c>
    </row>
    <row r="1165" spans="1:12" ht="34" customHeight="1">
      <c r="A1165" s="2" t="s">
        <v>1077</v>
      </c>
      <c r="B1165" s="2" t="s">
        <v>1055</v>
      </c>
      <c r="C1165" s="2" t="s">
        <v>1075</v>
      </c>
      <c r="D1165" s="2" t="s">
        <v>254</v>
      </c>
      <c r="E1165" s="5">
        <v>0.48</v>
      </c>
      <c r="F1165" s="7" t="s">
        <v>1758</v>
      </c>
      <c r="G1165" s="2" t="s">
        <v>29</v>
      </c>
      <c r="H1165" s="2" t="s">
        <v>1759</v>
      </c>
      <c r="I1165" s="2" t="s">
        <v>2462</v>
      </c>
      <c r="J1165" s="2" t="s">
        <v>2463</v>
      </c>
      <c r="K1165" s="2" t="s">
        <v>2464</v>
      </c>
      <c r="L1165" s="2" t="s">
        <v>45</v>
      </c>
    </row>
    <row r="1166" spans="1:12" ht="34" customHeight="1">
      <c r="A1166" s="2" t="s">
        <v>1077</v>
      </c>
      <c r="B1166" s="2" t="s">
        <v>1055</v>
      </c>
      <c r="C1166" s="2" t="s">
        <v>1075</v>
      </c>
      <c r="D1166" s="2" t="s">
        <v>124</v>
      </c>
      <c r="E1166" s="4">
        <v>1.8</v>
      </c>
      <c r="F1166" s="7" t="s">
        <v>1763</v>
      </c>
      <c r="G1166" s="2" t="s">
        <v>29</v>
      </c>
      <c r="H1166" s="2" t="s">
        <v>1759</v>
      </c>
      <c r="I1166" s="2" t="s">
        <v>2462</v>
      </c>
      <c r="J1166" s="2" t="s">
        <v>2463</v>
      </c>
      <c r="K1166" s="2" t="s">
        <v>2464</v>
      </c>
      <c r="L1166" s="2" t="s">
        <v>45</v>
      </c>
    </row>
    <row r="1167" spans="1:12" ht="34" customHeight="1">
      <c r="A1167" s="2" t="s">
        <v>1077</v>
      </c>
      <c r="B1167" s="2" t="s">
        <v>1055</v>
      </c>
      <c r="C1167" s="2" t="s">
        <v>1075</v>
      </c>
      <c r="D1167" s="2" t="s">
        <v>65</v>
      </c>
      <c r="E1167" s="5">
        <v>0.45</v>
      </c>
      <c r="F1167" s="7" t="s">
        <v>1763</v>
      </c>
      <c r="G1167" s="2" t="s">
        <v>29</v>
      </c>
      <c r="H1167" s="2" t="s">
        <v>1759</v>
      </c>
      <c r="I1167" s="2" t="s">
        <v>2462</v>
      </c>
      <c r="J1167" s="2" t="s">
        <v>2463</v>
      </c>
      <c r="K1167" s="2" t="s">
        <v>2464</v>
      </c>
      <c r="L1167" s="2" t="s">
        <v>45</v>
      </c>
    </row>
    <row r="1168" spans="1:12" ht="34" customHeight="1">
      <c r="A1168" s="2" t="s">
        <v>1077</v>
      </c>
      <c r="B1168" s="2" t="s">
        <v>1055</v>
      </c>
      <c r="C1168" s="2" t="s">
        <v>1075</v>
      </c>
      <c r="D1168" s="2" t="s">
        <v>222</v>
      </c>
      <c r="E1168" s="6">
        <v>6</v>
      </c>
      <c r="F1168" s="7" t="s">
        <v>1764</v>
      </c>
      <c r="G1168" s="2" t="s">
        <v>29</v>
      </c>
      <c r="H1168" s="2" t="s">
        <v>1759</v>
      </c>
      <c r="I1168" s="2" t="s">
        <v>2462</v>
      </c>
      <c r="J1168" s="2" t="s">
        <v>2463</v>
      </c>
      <c r="K1168" s="2" t="s">
        <v>2464</v>
      </c>
      <c r="L1168" s="2" t="s">
        <v>45</v>
      </c>
    </row>
    <row r="1169" spans="1:12" ht="34" customHeight="1">
      <c r="A1169" s="2" t="s">
        <v>1077</v>
      </c>
      <c r="B1169" s="2" t="s">
        <v>1055</v>
      </c>
      <c r="C1169" s="2" t="s">
        <v>1075</v>
      </c>
      <c r="D1169" s="2" t="s">
        <v>1765</v>
      </c>
      <c r="E1169" s="6" t="s">
        <v>430</v>
      </c>
      <c r="F1169" s="7" t="s">
        <v>1766</v>
      </c>
      <c r="G1169" s="2" t="s">
        <v>29</v>
      </c>
      <c r="H1169" s="2" t="s">
        <v>1759</v>
      </c>
      <c r="I1169" s="2" t="s">
        <v>1767</v>
      </c>
      <c r="J1169" s="2"/>
      <c r="K1169" t="s">
        <v>2465</v>
      </c>
    </row>
    <row r="1170" spans="1:12" ht="34" customHeight="1">
      <c r="A1170" s="2" t="s">
        <v>1083</v>
      </c>
      <c r="B1170" s="2" t="s">
        <v>1055</v>
      </c>
      <c r="C1170" s="2" t="s">
        <v>1079</v>
      </c>
      <c r="D1170" s="2" t="s">
        <v>1757</v>
      </c>
      <c r="E1170" s="9">
        <v>0.94450000000000001</v>
      </c>
      <c r="F1170" s="7" t="s">
        <v>1758</v>
      </c>
      <c r="G1170" s="2" t="s">
        <v>1080</v>
      </c>
      <c r="H1170" s="2" t="s">
        <v>1759</v>
      </c>
      <c r="I1170" s="2" t="s">
        <v>2466</v>
      </c>
      <c r="J1170" s="2" t="s">
        <v>2467</v>
      </c>
      <c r="K1170" s="2" t="s">
        <v>2468</v>
      </c>
      <c r="L1170" s="2" t="s">
        <v>45</v>
      </c>
    </row>
    <row r="1171" spans="1:12" ht="34" customHeight="1">
      <c r="A1171" s="2" t="s">
        <v>1083</v>
      </c>
      <c r="B1171" s="2" t="s">
        <v>1055</v>
      </c>
      <c r="C1171" s="2" t="s">
        <v>1079</v>
      </c>
      <c r="D1171" s="2" t="s">
        <v>254</v>
      </c>
      <c r="E1171" s="9">
        <v>0.28810000000000002</v>
      </c>
      <c r="F1171" s="7" t="s">
        <v>1758</v>
      </c>
      <c r="G1171" s="2" t="s">
        <v>1080</v>
      </c>
      <c r="H1171" s="2" t="s">
        <v>1759</v>
      </c>
      <c r="I1171" s="2" t="s">
        <v>2466</v>
      </c>
      <c r="J1171" s="2" t="s">
        <v>2467</v>
      </c>
      <c r="K1171" s="2" t="s">
        <v>2468</v>
      </c>
      <c r="L1171" s="2" t="s">
        <v>45</v>
      </c>
    </row>
    <row r="1172" spans="1:12" ht="34" customHeight="1">
      <c r="A1172" s="2" t="s">
        <v>1083</v>
      </c>
      <c r="B1172" s="2" t="s">
        <v>1055</v>
      </c>
      <c r="C1172" s="2" t="s">
        <v>1079</v>
      </c>
      <c r="D1172" s="2" t="s">
        <v>124</v>
      </c>
      <c r="E1172" s="8">
        <v>1.0649999999999999</v>
      </c>
      <c r="F1172" s="7" t="s">
        <v>1763</v>
      </c>
      <c r="G1172" s="2" t="s">
        <v>1080</v>
      </c>
      <c r="H1172" s="2" t="s">
        <v>1759</v>
      </c>
      <c r="I1172" s="2" t="s">
        <v>2466</v>
      </c>
      <c r="J1172" s="2" t="s">
        <v>2467</v>
      </c>
      <c r="K1172" s="2" t="s">
        <v>2468</v>
      </c>
      <c r="L1172" s="2" t="s">
        <v>45</v>
      </c>
    </row>
    <row r="1173" spans="1:12" ht="34" customHeight="1">
      <c r="A1173" s="2" t="s">
        <v>1083</v>
      </c>
      <c r="B1173" s="2" t="s">
        <v>1055</v>
      </c>
      <c r="C1173" s="2" t="s">
        <v>1079</v>
      </c>
      <c r="D1173" s="2" t="s">
        <v>65</v>
      </c>
      <c r="E1173" s="11">
        <v>0</v>
      </c>
      <c r="F1173" s="20" t="s">
        <v>1763</v>
      </c>
      <c r="G1173" s="21" t="s">
        <v>1080</v>
      </c>
      <c r="H1173" s="21" t="s">
        <v>1779</v>
      </c>
      <c r="I1173" s="2" t="s">
        <v>2466</v>
      </c>
      <c r="J1173" s="2" t="s">
        <v>2467</v>
      </c>
      <c r="K1173" s="2" t="s">
        <v>2469</v>
      </c>
      <c r="L1173" s="2" t="s">
        <v>45</v>
      </c>
    </row>
    <row r="1174" spans="1:12" ht="34" customHeight="1">
      <c r="A1174" s="2" t="s">
        <v>1083</v>
      </c>
      <c r="B1174" s="2" t="s">
        <v>1055</v>
      </c>
      <c r="C1174" s="2" t="s">
        <v>1079</v>
      </c>
      <c r="D1174" s="2" t="s">
        <v>222</v>
      </c>
      <c r="E1174" s="9">
        <v>0.48020000000000002</v>
      </c>
      <c r="F1174" s="7" t="s">
        <v>1764</v>
      </c>
      <c r="G1174" s="2" t="s">
        <v>1080</v>
      </c>
      <c r="H1174" s="2" t="s">
        <v>1759</v>
      </c>
      <c r="I1174" s="2" t="s">
        <v>2466</v>
      </c>
      <c r="J1174" s="2" t="s">
        <v>2467</v>
      </c>
      <c r="K1174" s="2" t="s">
        <v>2468</v>
      </c>
      <c r="L1174" s="2" t="s">
        <v>45</v>
      </c>
    </row>
    <row r="1175" spans="1:12" ht="34" customHeight="1">
      <c r="A1175" s="2" t="s">
        <v>1083</v>
      </c>
      <c r="B1175" s="2" t="s">
        <v>1055</v>
      </c>
      <c r="C1175" s="2" t="s">
        <v>1079</v>
      </c>
      <c r="D1175" s="2" t="s">
        <v>1765</v>
      </c>
      <c r="E1175" s="9" t="s">
        <v>430</v>
      </c>
      <c r="F1175" s="7" t="s">
        <v>1766</v>
      </c>
      <c r="G1175" s="2" t="s">
        <v>1080</v>
      </c>
      <c r="H1175" s="2" t="s">
        <v>1759</v>
      </c>
      <c r="I1175" s="2" t="s">
        <v>1767</v>
      </c>
      <c r="J1175" s="2"/>
      <c r="K1175" t="s">
        <v>2470</v>
      </c>
    </row>
    <row r="1176" spans="1:12" ht="34" customHeight="1">
      <c r="A1176" s="2" t="s">
        <v>1088</v>
      </c>
      <c r="B1176" s="2" t="s">
        <v>1055</v>
      </c>
      <c r="C1176" s="2" t="s">
        <v>1086</v>
      </c>
      <c r="D1176" s="2" t="s">
        <v>1757</v>
      </c>
      <c r="E1176" s="5">
        <v>0.83</v>
      </c>
      <c r="F1176" s="7" t="s">
        <v>1758</v>
      </c>
      <c r="G1176" s="2" t="s">
        <v>876</v>
      </c>
      <c r="H1176" s="2" t="s">
        <v>1759</v>
      </c>
      <c r="I1176" s="2" t="s">
        <v>2186</v>
      </c>
      <c r="J1176" s="2" t="s">
        <v>1781</v>
      </c>
      <c r="K1176" s="2" t="s">
        <v>2345</v>
      </c>
      <c r="L1176" s="2" t="s">
        <v>122</v>
      </c>
    </row>
    <row r="1177" spans="1:12" ht="34" customHeight="1">
      <c r="A1177" s="2" t="s">
        <v>1088</v>
      </c>
      <c r="B1177" s="2" t="s">
        <v>1055</v>
      </c>
      <c r="C1177" s="2" t="s">
        <v>1086</v>
      </c>
      <c r="D1177" s="2" t="s">
        <v>254</v>
      </c>
      <c r="E1177" s="4">
        <v>0.2</v>
      </c>
      <c r="F1177" s="7" t="s">
        <v>1758</v>
      </c>
      <c r="G1177" s="2" t="s">
        <v>876</v>
      </c>
      <c r="H1177" s="2" t="s">
        <v>1759</v>
      </c>
      <c r="I1177" s="2" t="s">
        <v>2186</v>
      </c>
      <c r="J1177" s="2" t="s">
        <v>1781</v>
      </c>
      <c r="K1177" s="2" t="s">
        <v>2345</v>
      </c>
      <c r="L1177" s="2" t="s">
        <v>122</v>
      </c>
    </row>
    <row r="1178" spans="1:12" ht="34" customHeight="1">
      <c r="A1178" s="2" t="s">
        <v>1088</v>
      </c>
      <c r="B1178" s="2" t="s">
        <v>1055</v>
      </c>
      <c r="C1178" s="2" t="s">
        <v>1086</v>
      </c>
      <c r="D1178" s="2" t="s">
        <v>124</v>
      </c>
      <c r="E1178" s="11">
        <v>1</v>
      </c>
      <c r="F1178" s="20" t="s">
        <v>1763</v>
      </c>
      <c r="G1178" s="21" t="s">
        <v>876</v>
      </c>
      <c r="H1178" s="21" t="s">
        <v>1779</v>
      </c>
      <c r="I1178" s="2" t="s">
        <v>2471</v>
      </c>
      <c r="J1178" s="2" t="s">
        <v>1781</v>
      </c>
      <c r="K1178" s="2" t="s">
        <v>2357</v>
      </c>
      <c r="L1178" s="2" t="s">
        <v>122</v>
      </c>
    </row>
    <row r="1179" spans="1:12" ht="34" customHeight="1">
      <c r="A1179" s="2" t="s">
        <v>1088</v>
      </c>
      <c r="B1179" s="2" t="s">
        <v>1055</v>
      </c>
      <c r="C1179" s="2" t="s">
        <v>1086</v>
      </c>
      <c r="D1179" s="2" t="s">
        <v>65</v>
      </c>
      <c r="E1179" s="11">
        <v>0</v>
      </c>
      <c r="F1179" s="20" t="s">
        <v>1763</v>
      </c>
      <c r="G1179" s="21" t="s">
        <v>876</v>
      </c>
      <c r="H1179" s="21" t="s">
        <v>1779</v>
      </c>
      <c r="I1179" s="2" t="s">
        <v>2471</v>
      </c>
      <c r="J1179" s="2" t="s">
        <v>1781</v>
      </c>
      <c r="K1179" s="2" t="s">
        <v>2358</v>
      </c>
      <c r="L1179" s="2" t="s">
        <v>122</v>
      </c>
    </row>
    <row r="1180" spans="1:12" ht="34" customHeight="1">
      <c r="A1180" s="2" t="s">
        <v>1088</v>
      </c>
      <c r="B1180" s="2" t="s">
        <v>1055</v>
      </c>
      <c r="C1180" s="2" t="s">
        <v>1086</v>
      </c>
      <c r="D1180" s="2" t="s">
        <v>222</v>
      </c>
      <c r="E1180" s="4">
        <v>0.8</v>
      </c>
      <c r="F1180" s="7" t="s">
        <v>1764</v>
      </c>
      <c r="G1180" s="2" t="s">
        <v>876</v>
      </c>
      <c r="H1180" s="2" t="s">
        <v>1759</v>
      </c>
      <c r="I1180" s="2" t="s">
        <v>2186</v>
      </c>
      <c r="J1180" s="2" t="s">
        <v>1781</v>
      </c>
      <c r="K1180" s="2" t="s">
        <v>2345</v>
      </c>
      <c r="L1180" s="2" t="s">
        <v>122</v>
      </c>
    </row>
    <row r="1181" spans="1:12" ht="34" customHeight="1">
      <c r="A1181" s="2" t="s">
        <v>1088</v>
      </c>
      <c r="B1181" s="2" t="s">
        <v>1055</v>
      </c>
      <c r="C1181" s="2" t="s">
        <v>1086</v>
      </c>
      <c r="D1181" s="2" t="s">
        <v>1765</v>
      </c>
      <c r="E1181" s="4" t="s">
        <v>1087</v>
      </c>
      <c r="F1181" s="7" t="s">
        <v>1766</v>
      </c>
      <c r="G1181" s="2" t="s">
        <v>876</v>
      </c>
      <c r="H1181" s="2" t="s">
        <v>1759</v>
      </c>
      <c r="I1181" s="2" t="s">
        <v>1767</v>
      </c>
      <c r="J1181" s="2"/>
      <c r="K1181" t="s">
        <v>1954</v>
      </c>
    </row>
    <row r="1182" spans="1:12" ht="34" customHeight="1">
      <c r="A1182" s="2" t="s">
        <v>1094</v>
      </c>
      <c r="B1182" s="2" t="s">
        <v>1055</v>
      </c>
      <c r="C1182" s="2" t="s">
        <v>1091</v>
      </c>
      <c r="D1182" s="2" t="s">
        <v>1757</v>
      </c>
      <c r="E1182" s="4">
        <v>0.2</v>
      </c>
      <c r="F1182" s="7" t="s">
        <v>1758</v>
      </c>
      <c r="G1182" s="2" t="s">
        <v>29</v>
      </c>
      <c r="H1182" s="2" t="s">
        <v>1759</v>
      </c>
      <c r="I1182" s="2" t="s">
        <v>2472</v>
      </c>
      <c r="J1182" s="2" t="s">
        <v>2473</v>
      </c>
      <c r="K1182" s="2" t="s">
        <v>2474</v>
      </c>
      <c r="L1182" s="2" t="s">
        <v>45</v>
      </c>
    </row>
    <row r="1183" spans="1:12" ht="34" customHeight="1">
      <c r="A1183" s="2" t="s">
        <v>1094</v>
      </c>
      <c r="B1183" s="2" t="s">
        <v>1055</v>
      </c>
      <c r="C1183" s="2" t="s">
        <v>1091</v>
      </c>
      <c r="D1183" s="2" t="s">
        <v>254</v>
      </c>
      <c r="E1183" s="5">
        <v>0.16</v>
      </c>
      <c r="F1183" s="7" t="s">
        <v>1758</v>
      </c>
      <c r="G1183" s="2" t="s">
        <v>29</v>
      </c>
      <c r="H1183" s="2" t="s">
        <v>1759</v>
      </c>
      <c r="I1183" s="2" t="s">
        <v>2472</v>
      </c>
      <c r="J1183" s="2" t="s">
        <v>2473</v>
      </c>
      <c r="K1183" s="2" t="s">
        <v>2474</v>
      </c>
      <c r="L1183" s="2" t="s">
        <v>45</v>
      </c>
    </row>
    <row r="1184" spans="1:12" ht="34" customHeight="1">
      <c r="A1184" s="2" t="s">
        <v>1094</v>
      </c>
      <c r="B1184" s="2" t="s">
        <v>1055</v>
      </c>
      <c r="C1184" s="2" t="s">
        <v>1091</v>
      </c>
      <c r="D1184" s="2" t="s">
        <v>124</v>
      </c>
      <c r="E1184" s="5">
        <v>2.17</v>
      </c>
      <c r="F1184" s="7" t="s">
        <v>1763</v>
      </c>
      <c r="G1184" s="2" t="s">
        <v>29</v>
      </c>
      <c r="H1184" s="2" t="s">
        <v>1759</v>
      </c>
      <c r="I1184" s="2" t="s">
        <v>2472</v>
      </c>
      <c r="J1184" s="2" t="s">
        <v>2473</v>
      </c>
      <c r="K1184" s="2" t="s">
        <v>2474</v>
      </c>
      <c r="L1184" s="2" t="s">
        <v>45</v>
      </c>
    </row>
    <row r="1185" spans="1:12" ht="34" customHeight="1">
      <c r="A1185" s="2" t="s">
        <v>1094</v>
      </c>
      <c r="B1185" s="2" t="s">
        <v>1055</v>
      </c>
      <c r="C1185" s="2" t="s">
        <v>1091</v>
      </c>
      <c r="D1185" s="2" t="s">
        <v>65</v>
      </c>
      <c r="E1185" s="7"/>
      <c r="F1185" s="7" t="s">
        <v>1763</v>
      </c>
      <c r="G1185" s="2" t="s">
        <v>29</v>
      </c>
      <c r="H1185" s="2" t="s">
        <v>1773</v>
      </c>
      <c r="I1185" s="2"/>
      <c r="J1185" s="2"/>
      <c r="K1185" s="2" t="s">
        <v>2474</v>
      </c>
      <c r="L1185" s="2" t="s">
        <v>45</v>
      </c>
    </row>
    <row r="1186" spans="1:12" ht="37" customHeight="1">
      <c r="A1186" s="2" t="s">
        <v>1094</v>
      </c>
      <c r="B1186" s="2" t="s">
        <v>1055</v>
      </c>
      <c r="C1186" s="2" t="s">
        <v>1091</v>
      </c>
      <c r="D1186" s="2" t="s">
        <v>222</v>
      </c>
      <c r="E1186" s="5">
        <v>0.18</v>
      </c>
      <c r="F1186" s="7" t="s">
        <v>1764</v>
      </c>
      <c r="G1186" s="2" t="s">
        <v>29</v>
      </c>
      <c r="H1186" s="2" t="s">
        <v>1759</v>
      </c>
      <c r="I1186" s="2" t="s">
        <v>2472</v>
      </c>
      <c r="J1186" s="2" t="s">
        <v>2473</v>
      </c>
      <c r="K1186" s="2" t="s">
        <v>2474</v>
      </c>
      <c r="L1186" s="2" t="s">
        <v>45</v>
      </c>
    </row>
    <row r="1187" spans="1:12" ht="37" customHeight="1">
      <c r="A1187" s="2" t="s">
        <v>1094</v>
      </c>
      <c r="B1187" s="2" t="s">
        <v>1055</v>
      </c>
      <c r="C1187" s="2" t="s">
        <v>1091</v>
      </c>
      <c r="D1187" s="2" t="s">
        <v>1765</v>
      </c>
      <c r="E1187" s="5" t="s">
        <v>137</v>
      </c>
      <c r="F1187" s="7" t="s">
        <v>1766</v>
      </c>
      <c r="G1187" s="2" t="s">
        <v>29</v>
      </c>
      <c r="H1187" s="2" t="s">
        <v>1759</v>
      </c>
      <c r="I1187" s="2" t="s">
        <v>1767</v>
      </c>
      <c r="J1187" s="2"/>
      <c r="K1187" t="s">
        <v>1933</v>
      </c>
    </row>
    <row r="1188" spans="1:12" ht="37" customHeight="1">
      <c r="A1188" s="2" t="s">
        <v>1102</v>
      </c>
      <c r="B1188" s="2" t="s">
        <v>1055</v>
      </c>
      <c r="C1188" s="2" t="s">
        <v>1097</v>
      </c>
      <c r="D1188" s="2" t="s">
        <v>1757</v>
      </c>
      <c r="E1188" s="7"/>
      <c r="F1188" s="7" t="s">
        <v>1758</v>
      </c>
      <c r="G1188" s="2" t="s">
        <v>29</v>
      </c>
      <c r="H1188" s="2" t="s">
        <v>1773</v>
      </c>
      <c r="I1188" s="2"/>
      <c r="J1188" s="2"/>
      <c r="K1188" s="2" t="s">
        <v>2475</v>
      </c>
      <c r="L1188" s="2" t="s">
        <v>45</v>
      </c>
    </row>
    <row r="1189" spans="1:12" ht="37" customHeight="1">
      <c r="A1189" s="2" t="s">
        <v>1102</v>
      </c>
      <c r="B1189" s="2" t="s">
        <v>1055</v>
      </c>
      <c r="C1189" s="2" t="s">
        <v>1097</v>
      </c>
      <c r="D1189" s="2" t="s">
        <v>254</v>
      </c>
      <c r="E1189" s="7"/>
      <c r="F1189" s="7" t="s">
        <v>1758</v>
      </c>
      <c r="G1189" s="2" t="s">
        <v>29</v>
      </c>
      <c r="H1189" s="2" t="s">
        <v>1773</v>
      </c>
      <c r="I1189" s="2"/>
      <c r="J1189" s="2"/>
      <c r="K1189" s="2" t="s">
        <v>2475</v>
      </c>
      <c r="L1189" s="2" t="s">
        <v>45</v>
      </c>
    </row>
    <row r="1190" spans="1:12" ht="37" customHeight="1">
      <c r="A1190" s="2" t="s">
        <v>1102</v>
      </c>
      <c r="B1190" s="2" t="s">
        <v>1055</v>
      </c>
      <c r="C1190" s="2" t="s">
        <v>1097</v>
      </c>
      <c r="D1190" s="2" t="s">
        <v>124</v>
      </c>
      <c r="E1190" s="7" t="s">
        <v>1098</v>
      </c>
      <c r="F1190" s="7" t="s">
        <v>1763</v>
      </c>
      <c r="G1190" s="2" t="s">
        <v>29</v>
      </c>
      <c r="H1190" s="2" t="s">
        <v>1759</v>
      </c>
      <c r="I1190" s="2" t="s">
        <v>2476</v>
      </c>
      <c r="J1190" s="2" t="s">
        <v>2477</v>
      </c>
      <c r="K1190" s="2" t="s">
        <v>2475</v>
      </c>
      <c r="L1190" s="2" t="s">
        <v>45</v>
      </c>
    </row>
    <row r="1191" spans="1:12" ht="37" customHeight="1">
      <c r="A1191" s="2" t="s">
        <v>1102</v>
      </c>
      <c r="B1191" s="2" t="s">
        <v>1055</v>
      </c>
      <c r="C1191" s="2" t="s">
        <v>1097</v>
      </c>
      <c r="D1191" s="2" t="s">
        <v>65</v>
      </c>
      <c r="E1191" s="7" t="s">
        <v>1099</v>
      </c>
      <c r="F1191" s="7" t="s">
        <v>1763</v>
      </c>
      <c r="G1191" s="2" t="s">
        <v>29</v>
      </c>
      <c r="H1191" s="2" t="s">
        <v>1759</v>
      </c>
      <c r="I1191" s="2" t="s">
        <v>2476</v>
      </c>
      <c r="J1191" s="2" t="s">
        <v>2477</v>
      </c>
      <c r="K1191" s="2" t="s">
        <v>2475</v>
      </c>
      <c r="L1191" s="2" t="s">
        <v>45</v>
      </c>
    </row>
    <row r="1192" spans="1:12" ht="37" customHeight="1">
      <c r="A1192" s="2" t="s">
        <v>1102</v>
      </c>
      <c r="B1192" s="2" t="s">
        <v>1055</v>
      </c>
      <c r="C1192" s="2" t="s">
        <v>1097</v>
      </c>
      <c r="D1192" s="2" t="s">
        <v>222</v>
      </c>
      <c r="E1192" s="7"/>
      <c r="F1192" s="7" t="s">
        <v>1764</v>
      </c>
      <c r="G1192" s="2" t="s">
        <v>29</v>
      </c>
      <c r="H1192" s="2" t="s">
        <v>1773</v>
      </c>
      <c r="I1192" s="2"/>
      <c r="J1192" s="2"/>
      <c r="K1192" s="2" t="s">
        <v>2475</v>
      </c>
      <c r="L1192" s="2" t="s">
        <v>45</v>
      </c>
    </row>
    <row r="1193" spans="1:12" ht="37" customHeight="1">
      <c r="A1193" s="2" t="s">
        <v>1102</v>
      </c>
      <c r="B1193" s="2" t="s">
        <v>1055</v>
      </c>
      <c r="C1193" s="2" t="s">
        <v>1097</v>
      </c>
      <c r="D1193" s="2" t="s">
        <v>1765</v>
      </c>
      <c r="E1193" s="7" t="s">
        <v>1100</v>
      </c>
      <c r="F1193" s="7" t="s">
        <v>1766</v>
      </c>
      <c r="G1193" s="2" t="s">
        <v>29</v>
      </c>
      <c r="H1193" s="2" t="s">
        <v>1759</v>
      </c>
      <c r="I1193" s="2" t="s">
        <v>1767</v>
      </c>
      <c r="J1193" s="2"/>
      <c r="K1193" t="s">
        <v>2478</v>
      </c>
    </row>
    <row r="1194" spans="1:12" ht="34" customHeight="1">
      <c r="A1194" s="2" t="s">
        <v>1111</v>
      </c>
      <c r="B1194" s="2" t="s">
        <v>1055</v>
      </c>
      <c r="C1194" s="2" t="s">
        <v>1106</v>
      </c>
      <c r="D1194" s="2" t="s">
        <v>1757</v>
      </c>
      <c r="E1194" s="8">
        <v>1.9950000000000001</v>
      </c>
      <c r="F1194" s="7" t="s">
        <v>1758</v>
      </c>
      <c r="G1194" s="2" t="s">
        <v>1109</v>
      </c>
      <c r="H1194" s="2" t="s">
        <v>1759</v>
      </c>
      <c r="I1194" s="2" t="s">
        <v>2479</v>
      </c>
      <c r="J1194" s="2" t="s">
        <v>2480</v>
      </c>
      <c r="K1194" s="2" t="s">
        <v>2481</v>
      </c>
      <c r="L1194" s="2" t="s">
        <v>1112</v>
      </c>
    </row>
    <row r="1195" spans="1:12" ht="37" customHeight="1">
      <c r="A1195" s="2" t="s">
        <v>1111</v>
      </c>
      <c r="B1195" s="2" t="s">
        <v>1055</v>
      </c>
      <c r="C1195" s="2" t="s">
        <v>1106</v>
      </c>
      <c r="D1195" s="2" t="s">
        <v>254</v>
      </c>
      <c r="E1195" s="7" t="s">
        <v>1107</v>
      </c>
      <c r="F1195" s="7" t="s">
        <v>1758</v>
      </c>
      <c r="G1195" s="2" t="s">
        <v>1109</v>
      </c>
      <c r="H1195" s="2" t="s">
        <v>1759</v>
      </c>
      <c r="I1195" s="2" t="s">
        <v>2482</v>
      </c>
      <c r="J1195" s="2" t="s">
        <v>2483</v>
      </c>
      <c r="K1195" s="2" t="s">
        <v>2481</v>
      </c>
      <c r="L1195" s="2" t="s">
        <v>1112</v>
      </c>
    </row>
    <row r="1196" spans="1:12" ht="37" customHeight="1">
      <c r="A1196" s="2" t="s">
        <v>1111</v>
      </c>
      <c r="B1196" s="2" t="s">
        <v>1055</v>
      </c>
      <c r="C1196" s="2" t="s">
        <v>1106</v>
      </c>
      <c r="D1196" s="2" t="s">
        <v>124</v>
      </c>
      <c r="E1196" s="11">
        <v>1</v>
      </c>
      <c r="F1196" s="20" t="s">
        <v>1763</v>
      </c>
      <c r="G1196" s="21" t="s">
        <v>1109</v>
      </c>
      <c r="H1196" s="21" t="s">
        <v>1779</v>
      </c>
      <c r="I1196" s="2" t="s">
        <v>2484</v>
      </c>
      <c r="J1196" s="2" t="s">
        <v>2483</v>
      </c>
      <c r="K1196" s="2" t="s">
        <v>2485</v>
      </c>
      <c r="L1196" s="2" t="s">
        <v>1112</v>
      </c>
    </row>
    <row r="1197" spans="1:12" ht="37" customHeight="1">
      <c r="A1197" s="2" t="s">
        <v>1111</v>
      </c>
      <c r="B1197" s="2" t="s">
        <v>1055</v>
      </c>
      <c r="C1197" s="2" t="s">
        <v>1106</v>
      </c>
      <c r="D1197" s="2" t="s">
        <v>65</v>
      </c>
      <c r="E1197" s="11">
        <v>0</v>
      </c>
      <c r="F1197" s="20" t="s">
        <v>1763</v>
      </c>
      <c r="G1197" s="21" t="s">
        <v>1109</v>
      </c>
      <c r="H1197" s="21" t="s">
        <v>1779</v>
      </c>
      <c r="I1197" s="2" t="s">
        <v>2484</v>
      </c>
      <c r="J1197" s="2" t="s">
        <v>2483</v>
      </c>
      <c r="K1197" s="2" t="s">
        <v>2486</v>
      </c>
      <c r="L1197" s="2" t="s">
        <v>1112</v>
      </c>
    </row>
    <row r="1198" spans="1:12" ht="37" customHeight="1">
      <c r="A1198" s="2" t="s">
        <v>1111</v>
      </c>
      <c r="B1198" s="2" t="s">
        <v>1055</v>
      </c>
      <c r="C1198" s="2" t="s">
        <v>1106</v>
      </c>
      <c r="D1198" s="2" t="s">
        <v>222</v>
      </c>
      <c r="E1198" s="7" t="s">
        <v>1108</v>
      </c>
      <c r="F1198" s="7" t="s">
        <v>1764</v>
      </c>
      <c r="G1198" s="2" t="s">
        <v>1109</v>
      </c>
      <c r="H1198" s="2" t="s">
        <v>1759</v>
      </c>
      <c r="I1198" s="2" t="s">
        <v>2482</v>
      </c>
      <c r="J1198" s="2" t="s">
        <v>2483</v>
      </c>
      <c r="K1198" s="2" t="s">
        <v>2481</v>
      </c>
      <c r="L1198" s="2" t="s">
        <v>1112</v>
      </c>
    </row>
    <row r="1199" spans="1:12" ht="34" customHeight="1">
      <c r="A1199" s="2" t="s">
        <v>1111</v>
      </c>
      <c r="B1199" s="2" t="s">
        <v>1055</v>
      </c>
      <c r="C1199" s="2" t="s">
        <v>1106</v>
      </c>
      <c r="D1199" s="2" t="s">
        <v>1765</v>
      </c>
      <c r="E1199" s="7" t="s">
        <v>1100</v>
      </c>
      <c r="F1199" s="7" t="s">
        <v>1766</v>
      </c>
      <c r="G1199" s="2" t="s">
        <v>1109</v>
      </c>
      <c r="H1199" s="2" t="s">
        <v>1759</v>
      </c>
      <c r="I1199" s="2" t="s">
        <v>1767</v>
      </c>
      <c r="J1199" s="2"/>
      <c r="K1199" t="s">
        <v>2478</v>
      </c>
    </row>
    <row r="1200" spans="1:12" ht="37" customHeight="1">
      <c r="A1200" s="2" t="s">
        <v>1117</v>
      </c>
      <c r="B1200" s="2" t="s">
        <v>1055</v>
      </c>
      <c r="C1200" s="2" t="s">
        <v>1115</v>
      </c>
      <c r="D1200" s="2" t="s">
        <v>1757</v>
      </c>
      <c r="E1200" s="5">
        <v>0.52</v>
      </c>
      <c r="F1200" s="7" t="s">
        <v>1758</v>
      </c>
      <c r="G1200" s="2" t="s">
        <v>876</v>
      </c>
      <c r="H1200" s="2" t="s">
        <v>1759</v>
      </c>
      <c r="I1200" s="2" t="s">
        <v>2414</v>
      </c>
      <c r="J1200" s="2" t="s">
        <v>1781</v>
      </c>
      <c r="K1200" s="2" t="s">
        <v>2345</v>
      </c>
      <c r="L1200" s="2" t="s">
        <v>122</v>
      </c>
    </row>
    <row r="1201" spans="1:12" ht="37" customHeight="1">
      <c r="A1201" s="2" t="s">
        <v>1117</v>
      </c>
      <c r="B1201" s="2" t="s">
        <v>1055</v>
      </c>
      <c r="C1201" s="2" t="s">
        <v>1115</v>
      </c>
      <c r="D1201" s="2" t="s">
        <v>254</v>
      </c>
      <c r="E1201" s="5">
        <v>0.16</v>
      </c>
      <c r="F1201" s="7" t="s">
        <v>1758</v>
      </c>
      <c r="G1201" s="2" t="s">
        <v>876</v>
      </c>
      <c r="H1201" s="2" t="s">
        <v>1759</v>
      </c>
      <c r="I1201" s="2" t="s">
        <v>2414</v>
      </c>
      <c r="J1201" s="2" t="s">
        <v>1781</v>
      </c>
      <c r="K1201" s="2" t="s">
        <v>2345</v>
      </c>
      <c r="L1201" s="2" t="s">
        <v>122</v>
      </c>
    </row>
    <row r="1202" spans="1:12" ht="37" customHeight="1">
      <c r="A1202" s="2" t="s">
        <v>1117</v>
      </c>
      <c r="B1202" s="2" t="s">
        <v>1055</v>
      </c>
      <c r="C1202" s="2" t="s">
        <v>1115</v>
      </c>
      <c r="D1202" s="2" t="s">
        <v>124</v>
      </c>
      <c r="E1202" s="11">
        <v>1</v>
      </c>
      <c r="F1202" s="20" t="s">
        <v>1763</v>
      </c>
      <c r="G1202" s="21" t="s">
        <v>876</v>
      </c>
      <c r="H1202" s="21" t="s">
        <v>1779</v>
      </c>
      <c r="I1202" s="2" t="s">
        <v>2415</v>
      </c>
      <c r="J1202" s="2" t="s">
        <v>1781</v>
      </c>
      <c r="K1202" s="2" t="s">
        <v>2357</v>
      </c>
      <c r="L1202" s="2" t="s">
        <v>122</v>
      </c>
    </row>
    <row r="1203" spans="1:12" ht="37" customHeight="1">
      <c r="A1203" s="2" t="s">
        <v>1117</v>
      </c>
      <c r="B1203" s="2" t="s">
        <v>1055</v>
      </c>
      <c r="C1203" s="2" t="s">
        <v>1115</v>
      </c>
      <c r="D1203" s="2" t="s">
        <v>65</v>
      </c>
      <c r="E1203" s="11">
        <v>0</v>
      </c>
      <c r="F1203" s="20" t="s">
        <v>1763</v>
      </c>
      <c r="G1203" s="21" t="s">
        <v>876</v>
      </c>
      <c r="H1203" s="21" t="s">
        <v>1779</v>
      </c>
      <c r="I1203" s="2" t="s">
        <v>2415</v>
      </c>
      <c r="J1203" s="2" t="s">
        <v>1781</v>
      </c>
      <c r="K1203" s="2" t="s">
        <v>2358</v>
      </c>
      <c r="L1203" s="2" t="s">
        <v>122</v>
      </c>
    </row>
    <row r="1204" spans="1:12" ht="37" customHeight="1">
      <c r="A1204" s="2" t="s">
        <v>1117</v>
      </c>
      <c r="B1204" s="2" t="s">
        <v>1055</v>
      </c>
      <c r="C1204" s="2" t="s">
        <v>1115</v>
      </c>
      <c r="D1204" s="2" t="s">
        <v>222</v>
      </c>
      <c r="E1204" s="5">
        <v>0.05</v>
      </c>
      <c r="F1204" s="7" t="s">
        <v>1764</v>
      </c>
      <c r="G1204" s="2" t="s">
        <v>876</v>
      </c>
      <c r="H1204" s="2" t="s">
        <v>1759</v>
      </c>
      <c r="I1204" s="2" t="s">
        <v>2414</v>
      </c>
      <c r="J1204" s="2" t="s">
        <v>1781</v>
      </c>
      <c r="K1204" s="2" t="s">
        <v>2345</v>
      </c>
      <c r="L1204" s="2" t="s">
        <v>122</v>
      </c>
    </row>
    <row r="1205" spans="1:12" ht="37" customHeight="1">
      <c r="A1205" s="2" t="s">
        <v>1117</v>
      </c>
      <c r="B1205" s="2" t="s">
        <v>1055</v>
      </c>
      <c r="C1205" s="2" t="s">
        <v>1115</v>
      </c>
      <c r="D1205" s="2" t="s">
        <v>1765</v>
      </c>
      <c r="E1205" s="5" t="s">
        <v>1116</v>
      </c>
      <c r="F1205" s="7" t="s">
        <v>1766</v>
      </c>
      <c r="G1205" s="2" t="s">
        <v>876</v>
      </c>
      <c r="H1205" s="2" t="s">
        <v>1759</v>
      </c>
      <c r="I1205" s="2" t="s">
        <v>1767</v>
      </c>
      <c r="J1205" s="2"/>
      <c r="K1205" t="s">
        <v>1817</v>
      </c>
    </row>
    <row r="1206" spans="1:12" ht="34" customHeight="1">
      <c r="A1206" s="2" t="s">
        <v>1121</v>
      </c>
      <c r="B1206" s="2" t="s">
        <v>1055</v>
      </c>
      <c r="C1206" s="2" t="s">
        <v>1120</v>
      </c>
      <c r="D1206" s="2" t="s">
        <v>1757</v>
      </c>
      <c r="E1206" s="4">
        <v>0.3</v>
      </c>
      <c r="F1206" s="7" t="s">
        <v>1758</v>
      </c>
      <c r="G1206" s="2" t="s">
        <v>876</v>
      </c>
      <c r="H1206" s="2" t="s">
        <v>1759</v>
      </c>
      <c r="I1206" s="2" t="s">
        <v>2314</v>
      </c>
      <c r="J1206" s="2" t="s">
        <v>1781</v>
      </c>
      <c r="K1206" s="2" t="s">
        <v>2345</v>
      </c>
      <c r="L1206" s="2" t="s">
        <v>122</v>
      </c>
    </row>
    <row r="1207" spans="1:12" ht="34" customHeight="1">
      <c r="A1207" s="2" t="s">
        <v>1121</v>
      </c>
      <c r="B1207" s="2" t="s">
        <v>1055</v>
      </c>
      <c r="C1207" s="2" t="s">
        <v>1120</v>
      </c>
      <c r="D1207" s="2" t="s">
        <v>254</v>
      </c>
      <c r="E1207" s="5">
        <v>0.04</v>
      </c>
      <c r="F1207" s="7" t="s">
        <v>1758</v>
      </c>
      <c r="G1207" s="2" t="s">
        <v>876</v>
      </c>
      <c r="H1207" s="2" t="s">
        <v>1759</v>
      </c>
      <c r="I1207" s="2" t="s">
        <v>2314</v>
      </c>
      <c r="J1207" s="2" t="s">
        <v>1781</v>
      </c>
      <c r="K1207" s="2" t="s">
        <v>2345</v>
      </c>
      <c r="L1207" s="2" t="s">
        <v>122</v>
      </c>
    </row>
    <row r="1208" spans="1:12" ht="34" customHeight="1">
      <c r="A1208" s="2" t="s">
        <v>1121</v>
      </c>
      <c r="B1208" s="2" t="s">
        <v>1055</v>
      </c>
      <c r="C1208" s="2" t="s">
        <v>1120</v>
      </c>
      <c r="D1208" s="2" t="s">
        <v>124</v>
      </c>
      <c r="E1208" s="11">
        <v>1</v>
      </c>
      <c r="F1208" s="20" t="s">
        <v>1763</v>
      </c>
      <c r="G1208" s="21" t="s">
        <v>876</v>
      </c>
      <c r="H1208" s="21" t="s">
        <v>1779</v>
      </c>
      <c r="I1208" s="2" t="s">
        <v>2451</v>
      </c>
      <c r="J1208" s="2" t="s">
        <v>1781</v>
      </c>
      <c r="K1208" s="2" t="s">
        <v>2357</v>
      </c>
      <c r="L1208" s="2" t="s">
        <v>122</v>
      </c>
    </row>
    <row r="1209" spans="1:12" ht="34" customHeight="1">
      <c r="A1209" s="2" t="s">
        <v>1121</v>
      </c>
      <c r="B1209" s="2" t="s">
        <v>1055</v>
      </c>
      <c r="C1209" s="2" t="s">
        <v>1120</v>
      </c>
      <c r="D1209" s="2" t="s">
        <v>65</v>
      </c>
      <c r="E1209" s="11">
        <v>0</v>
      </c>
      <c r="F1209" s="20" t="s">
        <v>1763</v>
      </c>
      <c r="G1209" s="21" t="s">
        <v>876</v>
      </c>
      <c r="H1209" s="21" t="s">
        <v>1779</v>
      </c>
      <c r="I1209" s="2" t="s">
        <v>2451</v>
      </c>
      <c r="J1209" s="2" t="s">
        <v>1781</v>
      </c>
      <c r="K1209" s="2" t="s">
        <v>2358</v>
      </c>
      <c r="L1209" s="2" t="s">
        <v>122</v>
      </c>
    </row>
    <row r="1210" spans="1:12" ht="34" customHeight="1">
      <c r="A1210" s="2" t="s">
        <v>1121</v>
      </c>
      <c r="B1210" s="2" t="s">
        <v>1055</v>
      </c>
      <c r="C1210" s="2" t="s">
        <v>1120</v>
      </c>
      <c r="D1210" s="2" t="s">
        <v>222</v>
      </c>
      <c r="E1210" s="5">
        <v>0.05</v>
      </c>
      <c r="F1210" s="7" t="s">
        <v>1764</v>
      </c>
      <c r="G1210" s="2" t="s">
        <v>876</v>
      </c>
      <c r="H1210" s="2" t="s">
        <v>1759</v>
      </c>
      <c r="I1210" s="2" t="s">
        <v>2314</v>
      </c>
      <c r="J1210" s="2" t="s">
        <v>1781</v>
      </c>
      <c r="K1210" s="2" t="s">
        <v>2345</v>
      </c>
      <c r="L1210" s="2" t="s">
        <v>122</v>
      </c>
    </row>
    <row r="1211" spans="1:12" ht="34" customHeight="1">
      <c r="A1211" s="2" t="s">
        <v>1121</v>
      </c>
      <c r="B1211" s="2" t="s">
        <v>1055</v>
      </c>
      <c r="C1211" s="2" t="s">
        <v>1120</v>
      </c>
      <c r="D1211" s="2" t="s">
        <v>1765</v>
      </c>
      <c r="E1211" s="5" t="s">
        <v>117</v>
      </c>
      <c r="F1211" s="7" t="s">
        <v>1766</v>
      </c>
      <c r="G1211" s="2" t="s">
        <v>876</v>
      </c>
      <c r="H1211" s="2" t="s">
        <v>1759</v>
      </c>
      <c r="I1211" s="2" t="s">
        <v>1767</v>
      </c>
      <c r="J1211" s="2"/>
      <c r="K1211" t="s">
        <v>2487</v>
      </c>
    </row>
    <row r="1212" spans="1:12" ht="34" customHeight="1">
      <c r="A1212" s="2" t="s">
        <v>1125</v>
      </c>
      <c r="B1212" s="2" t="s">
        <v>1123</v>
      </c>
      <c r="C1212" s="2" t="s">
        <v>1124</v>
      </c>
      <c r="D1212" s="2" t="s">
        <v>1757</v>
      </c>
      <c r="E1212" s="5">
        <v>0.61</v>
      </c>
      <c r="F1212" s="7" t="s">
        <v>1758</v>
      </c>
      <c r="G1212" s="2" t="s">
        <v>876</v>
      </c>
      <c r="H1212" s="2" t="s">
        <v>1759</v>
      </c>
      <c r="I1212" s="2" t="s">
        <v>2414</v>
      </c>
      <c r="J1212" s="2" t="s">
        <v>1781</v>
      </c>
      <c r="K1212" s="2" t="s">
        <v>2345</v>
      </c>
      <c r="L1212" s="2" t="s">
        <v>122</v>
      </c>
    </row>
    <row r="1213" spans="1:12" ht="34" customHeight="1">
      <c r="A1213" s="2" t="s">
        <v>1125</v>
      </c>
      <c r="B1213" s="2" t="s">
        <v>1123</v>
      </c>
      <c r="C1213" s="2" t="s">
        <v>1124</v>
      </c>
      <c r="D1213" s="2" t="s">
        <v>254</v>
      </c>
      <c r="E1213" s="5">
        <v>0.18</v>
      </c>
      <c r="F1213" s="7" t="s">
        <v>1758</v>
      </c>
      <c r="G1213" s="2" t="s">
        <v>876</v>
      </c>
      <c r="H1213" s="2" t="s">
        <v>1759</v>
      </c>
      <c r="I1213" s="2" t="s">
        <v>2414</v>
      </c>
      <c r="J1213" s="2" t="s">
        <v>1781</v>
      </c>
      <c r="K1213" s="2" t="s">
        <v>2345</v>
      </c>
      <c r="L1213" s="2" t="s">
        <v>122</v>
      </c>
    </row>
    <row r="1214" spans="1:12" ht="34" customHeight="1">
      <c r="A1214" s="2" t="s">
        <v>1125</v>
      </c>
      <c r="B1214" s="2" t="s">
        <v>1123</v>
      </c>
      <c r="C1214" s="2" t="s">
        <v>1124</v>
      </c>
      <c r="D1214" s="2" t="s">
        <v>124</v>
      </c>
      <c r="E1214" s="11">
        <v>1</v>
      </c>
      <c r="F1214" s="20" t="s">
        <v>1763</v>
      </c>
      <c r="G1214" s="21" t="s">
        <v>876</v>
      </c>
      <c r="H1214" s="21" t="s">
        <v>1779</v>
      </c>
      <c r="I1214" s="2" t="s">
        <v>2415</v>
      </c>
      <c r="J1214" s="2" t="s">
        <v>1781</v>
      </c>
      <c r="K1214" s="2" t="s">
        <v>2357</v>
      </c>
      <c r="L1214" s="2" t="s">
        <v>122</v>
      </c>
    </row>
    <row r="1215" spans="1:12" ht="34" customHeight="1">
      <c r="A1215" s="2" t="s">
        <v>1125</v>
      </c>
      <c r="B1215" s="2" t="s">
        <v>1123</v>
      </c>
      <c r="C1215" s="2" t="s">
        <v>1124</v>
      </c>
      <c r="D1215" s="2" t="s">
        <v>65</v>
      </c>
      <c r="E1215" s="11">
        <v>0</v>
      </c>
      <c r="F1215" s="20" t="s">
        <v>1763</v>
      </c>
      <c r="G1215" s="21" t="s">
        <v>876</v>
      </c>
      <c r="H1215" s="21" t="s">
        <v>1779</v>
      </c>
      <c r="I1215" s="2" t="s">
        <v>2415</v>
      </c>
      <c r="J1215" s="2" t="s">
        <v>1781</v>
      </c>
      <c r="K1215" s="2" t="s">
        <v>2358</v>
      </c>
      <c r="L1215" s="2" t="s">
        <v>122</v>
      </c>
    </row>
    <row r="1216" spans="1:12" ht="34" customHeight="1">
      <c r="A1216" s="2" t="s">
        <v>1125</v>
      </c>
      <c r="B1216" s="2" t="s">
        <v>1123</v>
      </c>
      <c r="C1216" s="2" t="s">
        <v>1124</v>
      </c>
      <c r="D1216" s="2" t="s">
        <v>222</v>
      </c>
      <c r="E1216" s="5">
        <v>0.17</v>
      </c>
      <c r="F1216" s="7" t="s">
        <v>1764</v>
      </c>
      <c r="G1216" s="2" t="s">
        <v>876</v>
      </c>
      <c r="H1216" s="2" t="s">
        <v>1759</v>
      </c>
      <c r="I1216" s="2" t="s">
        <v>2414</v>
      </c>
      <c r="J1216" s="2" t="s">
        <v>1781</v>
      </c>
      <c r="K1216" s="2" t="s">
        <v>2345</v>
      </c>
      <c r="L1216" s="2" t="s">
        <v>122</v>
      </c>
    </row>
    <row r="1217" spans="1:12" ht="34" customHeight="1">
      <c r="A1217" s="2" t="s">
        <v>1125</v>
      </c>
      <c r="B1217" s="2" t="s">
        <v>1123</v>
      </c>
      <c r="C1217" s="2" t="s">
        <v>1124</v>
      </c>
      <c r="D1217" s="2" t="s">
        <v>1765</v>
      </c>
      <c r="E1217" s="5" t="s">
        <v>172</v>
      </c>
      <c r="F1217" s="7" t="s">
        <v>1766</v>
      </c>
      <c r="G1217" s="2" t="s">
        <v>876</v>
      </c>
      <c r="H1217" s="2" t="s">
        <v>1759</v>
      </c>
      <c r="I1217" s="2" t="s">
        <v>1767</v>
      </c>
      <c r="J1217" s="2"/>
      <c r="K1217" t="s">
        <v>1817</v>
      </c>
    </row>
    <row r="1218" spans="1:12" ht="34" customHeight="1">
      <c r="A1218" s="2" t="s">
        <v>1132</v>
      </c>
      <c r="B1218" s="2" t="s">
        <v>1123</v>
      </c>
      <c r="C1218" s="2" t="s">
        <v>1128</v>
      </c>
      <c r="D1218" s="2" t="s">
        <v>1757</v>
      </c>
      <c r="E1218" s="5">
        <v>0.88</v>
      </c>
      <c r="F1218" s="7" t="s">
        <v>1758</v>
      </c>
      <c r="G1218" s="2" t="s">
        <v>71</v>
      </c>
      <c r="H1218" s="2" t="s">
        <v>1759</v>
      </c>
      <c r="I1218" s="2" t="s">
        <v>2488</v>
      </c>
      <c r="J1218" s="2" t="s">
        <v>2368</v>
      </c>
      <c r="K1218" s="2" t="s">
        <v>2489</v>
      </c>
      <c r="L1218" s="2" t="s">
        <v>45</v>
      </c>
    </row>
    <row r="1219" spans="1:12" ht="34" customHeight="1">
      <c r="A1219" s="2" t="s">
        <v>1132</v>
      </c>
      <c r="B1219" s="2" t="s">
        <v>1123</v>
      </c>
      <c r="C1219" s="2" t="s">
        <v>1128</v>
      </c>
      <c r="D1219" s="2" t="s">
        <v>254</v>
      </c>
      <c r="E1219" s="5">
        <v>0.25</v>
      </c>
      <c r="F1219" s="7" t="s">
        <v>1758</v>
      </c>
      <c r="G1219" s="2" t="s">
        <v>71</v>
      </c>
      <c r="H1219" s="2" t="s">
        <v>1759</v>
      </c>
      <c r="I1219" s="2" t="s">
        <v>2488</v>
      </c>
      <c r="J1219" s="2" t="s">
        <v>2368</v>
      </c>
      <c r="K1219" s="2" t="s">
        <v>2489</v>
      </c>
      <c r="L1219" s="2" t="s">
        <v>45</v>
      </c>
    </row>
    <row r="1220" spans="1:12" ht="34" customHeight="1">
      <c r="A1220" s="2" t="s">
        <v>1132</v>
      </c>
      <c r="B1220" s="2" t="s">
        <v>1123</v>
      </c>
      <c r="C1220" s="2" t="s">
        <v>1128</v>
      </c>
      <c r="D1220" s="2" t="s">
        <v>124</v>
      </c>
      <c r="E1220" s="4">
        <v>2.8</v>
      </c>
      <c r="F1220" s="7" t="s">
        <v>1763</v>
      </c>
      <c r="G1220" s="2" t="s">
        <v>71</v>
      </c>
      <c r="H1220" s="2" t="s">
        <v>1759</v>
      </c>
      <c r="I1220" s="2" t="s">
        <v>2488</v>
      </c>
      <c r="J1220" s="2" t="s">
        <v>2368</v>
      </c>
      <c r="K1220" s="2" t="s">
        <v>2489</v>
      </c>
      <c r="L1220" s="2" t="s">
        <v>45</v>
      </c>
    </row>
    <row r="1221" spans="1:12" ht="37" customHeight="1">
      <c r="A1221" s="2" t="s">
        <v>1132</v>
      </c>
      <c r="B1221" s="2" t="s">
        <v>1123</v>
      </c>
      <c r="C1221" s="2" t="s">
        <v>1128</v>
      </c>
      <c r="D1221" s="2" t="s">
        <v>65</v>
      </c>
      <c r="E1221" s="7" t="s">
        <v>1129</v>
      </c>
      <c r="F1221" s="7" t="s">
        <v>1763</v>
      </c>
      <c r="G1221" s="2" t="s">
        <v>71</v>
      </c>
      <c r="H1221" s="2" t="s">
        <v>1759</v>
      </c>
      <c r="I1221" s="2" t="s">
        <v>2488</v>
      </c>
      <c r="J1221" s="2" t="s">
        <v>2368</v>
      </c>
      <c r="K1221" s="2" t="s">
        <v>2489</v>
      </c>
      <c r="L1221" s="2" t="s">
        <v>45</v>
      </c>
    </row>
    <row r="1222" spans="1:12" ht="37" customHeight="1">
      <c r="A1222" s="2" t="s">
        <v>1132</v>
      </c>
      <c r="B1222" s="2" t="s">
        <v>1123</v>
      </c>
      <c r="C1222" s="2" t="s">
        <v>1128</v>
      </c>
      <c r="D1222" s="2" t="s">
        <v>222</v>
      </c>
      <c r="E1222" s="6">
        <v>1</v>
      </c>
      <c r="F1222" s="7" t="s">
        <v>1764</v>
      </c>
      <c r="G1222" s="2" t="s">
        <v>71</v>
      </c>
      <c r="H1222" s="2" t="s">
        <v>1759</v>
      </c>
      <c r="I1222" s="2" t="s">
        <v>2488</v>
      </c>
      <c r="J1222" s="2" t="s">
        <v>2368</v>
      </c>
      <c r="K1222" s="2" t="s">
        <v>2489</v>
      </c>
      <c r="L1222" s="2" t="s">
        <v>45</v>
      </c>
    </row>
    <row r="1223" spans="1:12" ht="37" customHeight="1">
      <c r="A1223" s="2" t="s">
        <v>1132</v>
      </c>
      <c r="B1223" s="2" t="s">
        <v>1123</v>
      </c>
      <c r="C1223" s="2" t="s">
        <v>1128</v>
      </c>
      <c r="D1223" s="2" t="s">
        <v>1765</v>
      </c>
      <c r="E1223" s="6" t="s">
        <v>1130</v>
      </c>
      <c r="F1223" s="7" t="s">
        <v>1766</v>
      </c>
      <c r="G1223" s="2" t="s">
        <v>71</v>
      </c>
      <c r="H1223" s="2" t="s">
        <v>1759</v>
      </c>
      <c r="I1223" s="2" t="s">
        <v>1767</v>
      </c>
      <c r="J1223" s="2"/>
      <c r="K1223" t="s">
        <v>2490</v>
      </c>
    </row>
    <row r="1224" spans="1:12" ht="37" customHeight="1">
      <c r="A1224" s="2" t="s">
        <v>1138</v>
      </c>
      <c r="B1224" s="2" t="s">
        <v>1134</v>
      </c>
      <c r="C1224" s="2" t="s">
        <v>1135</v>
      </c>
      <c r="D1224" s="2" t="s">
        <v>1757</v>
      </c>
      <c r="E1224" s="4">
        <v>0.4</v>
      </c>
      <c r="F1224" s="7" t="s">
        <v>1758</v>
      </c>
      <c r="G1224" s="2" t="s">
        <v>876</v>
      </c>
      <c r="H1224" s="2" t="s">
        <v>1759</v>
      </c>
      <c r="I1224" s="2" t="s">
        <v>2344</v>
      </c>
      <c r="J1224" s="2" t="s">
        <v>1781</v>
      </c>
      <c r="K1224" s="2" t="s">
        <v>2491</v>
      </c>
      <c r="L1224" s="2" t="s">
        <v>45</v>
      </c>
    </row>
    <row r="1225" spans="1:12" ht="37" customHeight="1">
      <c r="A1225" s="2" t="s">
        <v>1138</v>
      </c>
      <c r="B1225" s="2" t="s">
        <v>1134</v>
      </c>
      <c r="C1225" s="2" t="s">
        <v>1135</v>
      </c>
      <c r="D1225" s="2" t="s">
        <v>254</v>
      </c>
      <c r="E1225" s="5">
        <v>0.09</v>
      </c>
      <c r="F1225" s="7" t="s">
        <v>1758</v>
      </c>
      <c r="G1225" s="2" t="s">
        <v>876</v>
      </c>
      <c r="H1225" s="2" t="s">
        <v>1759</v>
      </c>
      <c r="I1225" s="2" t="s">
        <v>2344</v>
      </c>
      <c r="J1225" s="2" t="s">
        <v>1781</v>
      </c>
      <c r="K1225" s="2" t="s">
        <v>2491</v>
      </c>
      <c r="L1225" s="2" t="s">
        <v>45</v>
      </c>
    </row>
    <row r="1226" spans="1:12" ht="34" customHeight="1">
      <c r="A1226" s="2" t="s">
        <v>1138</v>
      </c>
      <c r="B1226" s="2" t="s">
        <v>1134</v>
      </c>
      <c r="C1226" s="2" t="s">
        <v>1135</v>
      </c>
      <c r="D1226" s="2" t="s">
        <v>124</v>
      </c>
      <c r="E1226" s="11">
        <v>1</v>
      </c>
      <c r="F1226" s="20" t="s">
        <v>1763</v>
      </c>
      <c r="G1226" s="21" t="s">
        <v>876</v>
      </c>
      <c r="H1226" s="21" t="s">
        <v>1779</v>
      </c>
      <c r="I1226" s="2" t="s">
        <v>2492</v>
      </c>
      <c r="J1226" s="2" t="s">
        <v>2493</v>
      </c>
      <c r="K1226" s="2" t="s">
        <v>2494</v>
      </c>
      <c r="L1226" s="2" t="s">
        <v>45</v>
      </c>
    </row>
    <row r="1227" spans="1:12" ht="34" customHeight="1">
      <c r="A1227" s="2" t="s">
        <v>1138</v>
      </c>
      <c r="B1227" s="2" t="s">
        <v>1134</v>
      </c>
      <c r="C1227" s="2" t="s">
        <v>1135</v>
      </c>
      <c r="D1227" s="2" t="s">
        <v>65</v>
      </c>
      <c r="E1227" s="11">
        <v>0</v>
      </c>
      <c r="F1227" s="20" t="s">
        <v>1763</v>
      </c>
      <c r="G1227" s="21" t="s">
        <v>876</v>
      </c>
      <c r="H1227" s="21" t="s">
        <v>1779</v>
      </c>
      <c r="I1227" s="2" t="s">
        <v>2492</v>
      </c>
      <c r="J1227" s="2" t="s">
        <v>2493</v>
      </c>
      <c r="K1227" s="2" t="s">
        <v>2495</v>
      </c>
      <c r="L1227" s="2" t="s">
        <v>45</v>
      </c>
    </row>
    <row r="1228" spans="1:12" ht="34" customHeight="1">
      <c r="A1228" s="2" t="s">
        <v>1138</v>
      </c>
      <c r="B1228" s="2" t="s">
        <v>1134</v>
      </c>
      <c r="C1228" s="2" t="s">
        <v>1135</v>
      </c>
      <c r="D1228" s="2" t="s">
        <v>222</v>
      </c>
      <c r="E1228" s="8">
        <v>2.5000000000000001E-2</v>
      </c>
      <c r="F1228" s="7" t="s">
        <v>1764</v>
      </c>
      <c r="G1228" s="2" t="s">
        <v>876</v>
      </c>
      <c r="H1228" s="2" t="s">
        <v>1759</v>
      </c>
      <c r="I1228" s="2" t="s">
        <v>2344</v>
      </c>
      <c r="J1228" s="2" t="s">
        <v>1781</v>
      </c>
      <c r="K1228" s="2" t="s">
        <v>2491</v>
      </c>
      <c r="L1228" s="2" t="s">
        <v>45</v>
      </c>
    </row>
    <row r="1229" spans="1:12" ht="34" customHeight="1">
      <c r="A1229" s="2" t="s">
        <v>1138</v>
      </c>
      <c r="B1229" s="2" t="s">
        <v>1134</v>
      </c>
      <c r="C1229" s="2" t="s">
        <v>1135</v>
      </c>
      <c r="D1229" s="2" t="s">
        <v>1765</v>
      </c>
      <c r="E1229" s="8" t="s">
        <v>172</v>
      </c>
      <c r="F1229" s="7" t="s">
        <v>1766</v>
      </c>
      <c r="G1229" s="2" t="s">
        <v>876</v>
      </c>
      <c r="H1229" s="2" t="s">
        <v>1759</v>
      </c>
      <c r="I1229" s="2" t="s">
        <v>1767</v>
      </c>
      <c r="J1229" s="2"/>
      <c r="K1229" t="s">
        <v>1783</v>
      </c>
    </row>
    <row r="1230" spans="1:12" ht="34" customHeight="1">
      <c r="A1230" s="2" t="s">
        <v>1145</v>
      </c>
      <c r="B1230" s="2" t="s">
        <v>1134</v>
      </c>
      <c r="C1230" s="2" t="s">
        <v>1142</v>
      </c>
      <c r="D1230" s="2" t="s">
        <v>1757</v>
      </c>
      <c r="E1230" s="5">
        <v>0.56000000000000005</v>
      </c>
      <c r="F1230" s="7" t="s">
        <v>1758</v>
      </c>
      <c r="G1230" s="2" t="s">
        <v>71</v>
      </c>
      <c r="H1230" s="2" t="s">
        <v>1759</v>
      </c>
      <c r="I1230" s="2" t="s">
        <v>2496</v>
      </c>
      <c r="J1230" s="2" t="s">
        <v>2497</v>
      </c>
      <c r="K1230" s="2" t="s">
        <v>2498</v>
      </c>
      <c r="L1230" s="2" t="s">
        <v>130</v>
      </c>
    </row>
    <row r="1231" spans="1:12" ht="37" customHeight="1">
      <c r="A1231" s="2" t="s">
        <v>1145</v>
      </c>
      <c r="B1231" s="2" t="s">
        <v>1134</v>
      </c>
      <c r="C1231" s="2" t="s">
        <v>1142</v>
      </c>
      <c r="D1231" s="2" t="s">
        <v>254</v>
      </c>
      <c r="E1231" s="4">
        <v>0.2</v>
      </c>
      <c r="F1231" s="7" t="s">
        <v>1758</v>
      </c>
      <c r="G1231" s="2" t="s">
        <v>71</v>
      </c>
      <c r="H1231" s="2" t="s">
        <v>1759</v>
      </c>
      <c r="I1231" s="2" t="s">
        <v>2496</v>
      </c>
      <c r="J1231" s="2" t="s">
        <v>2497</v>
      </c>
      <c r="K1231" s="2" t="s">
        <v>2498</v>
      </c>
      <c r="L1231" s="2" t="s">
        <v>130</v>
      </c>
    </row>
    <row r="1232" spans="1:12" ht="37" customHeight="1">
      <c r="A1232" s="2" t="s">
        <v>1145</v>
      </c>
      <c r="B1232" s="2" t="s">
        <v>1134</v>
      </c>
      <c r="C1232" s="2" t="s">
        <v>1142</v>
      </c>
      <c r="D1232" s="2" t="s">
        <v>124</v>
      </c>
      <c r="E1232" s="4">
        <v>1.8</v>
      </c>
      <c r="F1232" s="7" t="s">
        <v>1763</v>
      </c>
      <c r="G1232" s="2" t="s">
        <v>71</v>
      </c>
      <c r="H1232" s="2" t="s">
        <v>1759</v>
      </c>
      <c r="I1232" s="2" t="s">
        <v>2496</v>
      </c>
      <c r="J1232" s="2" t="s">
        <v>2497</v>
      </c>
      <c r="K1232" s="2" t="s">
        <v>2498</v>
      </c>
      <c r="L1232" s="2" t="s">
        <v>130</v>
      </c>
    </row>
    <row r="1233" spans="1:12" ht="37" customHeight="1">
      <c r="A1233" s="2" t="s">
        <v>1145</v>
      </c>
      <c r="B1233" s="2" t="s">
        <v>1134</v>
      </c>
      <c r="C1233" s="2" t="s">
        <v>1142</v>
      </c>
      <c r="D1233" s="2" t="s">
        <v>65</v>
      </c>
      <c r="E1233" s="4">
        <v>0.4</v>
      </c>
      <c r="F1233" s="7" t="s">
        <v>1763</v>
      </c>
      <c r="G1233" s="2" t="s">
        <v>71</v>
      </c>
      <c r="H1233" s="2" t="s">
        <v>1759</v>
      </c>
      <c r="I1233" s="2" t="s">
        <v>2496</v>
      </c>
      <c r="J1233" s="2" t="s">
        <v>2497</v>
      </c>
      <c r="K1233" s="2" t="s">
        <v>2498</v>
      </c>
      <c r="L1233" s="2" t="s">
        <v>130</v>
      </c>
    </row>
    <row r="1234" spans="1:12" ht="37" customHeight="1">
      <c r="A1234" s="2" t="s">
        <v>1145</v>
      </c>
      <c r="B1234" s="2" t="s">
        <v>1134</v>
      </c>
      <c r="C1234" s="2" t="s">
        <v>1142</v>
      </c>
      <c r="D1234" s="2" t="s">
        <v>222</v>
      </c>
      <c r="E1234" s="4">
        <v>0.4</v>
      </c>
      <c r="F1234" s="7" t="s">
        <v>1764</v>
      </c>
      <c r="G1234" s="2" t="s">
        <v>71</v>
      </c>
      <c r="H1234" s="2" t="s">
        <v>1759</v>
      </c>
      <c r="I1234" s="2" t="s">
        <v>2496</v>
      </c>
      <c r="J1234" s="2" t="s">
        <v>2497</v>
      </c>
      <c r="K1234" s="2" t="s">
        <v>2498</v>
      </c>
      <c r="L1234" s="2" t="s">
        <v>130</v>
      </c>
    </row>
    <row r="1235" spans="1:12" ht="37" customHeight="1">
      <c r="A1235" s="2" t="s">
        <v>1145</v>
      </c>
      <c r="B1235" s="2" t="s">
        <v>1134</v>
      </c>
      <c r="C1235" s="2" t="s">
        <v>1142</v>
      </c>
      <c r="D1235" s="2" t="s">
        <v>1765</v>
      </c>
      <c r="E1235" s="4" t="s">
        <v>883</v>
      </c>
      <c r="F1235" s="7" t="s">
        <v>1766</v>
      </c>
      <c r="G1235" s="2" t="s">
        <v>71</v>
      </c>
      <c r="H1235" s="2" t="s">
        <v>1759</v>
      </c>
      <c r="I1235" s="2" t="s">
        <v>1767</v>
      </c>
      <c r="J1235" s="2"/>
      <c r="K1235" t="s">
        <v>2499</v>
      </c>
    </row>
    <row r="1236" spans="1:12" ht="37" customHeight="1">
      <c r="A1236" s="2" t="s">
        <v>1149</v>
      </c>
      <c r="B1236" s="2" t="s">
        <v>1134</v>
      </c>
      <c r="C1236" s="2" t="s">
        <v>1147</v>
      </c>
      <c r="D1236" s="2" t="s">
        <v>1757</v>
      </c>
      <c r="E1236" s="4">
        <v>0.9</v>
      </c>
      <c r="F1236" s="7" t="s">
        <v>1758</v>
      </c>
      <c r="G1236" s="2" t="s">
        <v>29</v>
      </c>
      <c r="H1236" s="2" t="s">
        <v>1759</v>
      </c>
      <c r="I1236" s="2" t="s">
        <v>2500</v>
      </c>
      <c r="J1236" s="2" t="s">
        <v>2497</v>
      </c>
      <c r="K1236" s="2" t="s">
        <v>2501</v>
      </c>
      <c r="L1236" s="2" t="s">
        <v>45</v>
      </c>
    </row>
    <row r="1237" spans="1:12" ht="37" customHeight="1">
      <c r="A1237" s="2" t="s">
        <v>1149</v>
      </c>
      <c r="B1237" s="2" t="s">
        <v>1134</v>
      </c>
      <c r="C1237" s="2" t="s">
        <v>1147</v>
      </c>
      <c r="D1237" s="2" t="s">
        <v>254</v>
      </c>
      <c r="E1237" s="5">
        <v>0.27</v>
      </c>
      <c r="F1237" s="7" t="s">
        <v>1758</v>
      </c>
      <c r="G1237" s="2" t="s">
        <v>29</v>
      </c>
      <c r="H1237" s="2" t="s">
        <v>1759</v>
      </c>
      <c r="I1237" s="2" t="s">
        <v>2500</v>
      </c>
      <c r="J1237" s="2" t="s">
        <v>2497</v>
      </c>
      <c r="K1237" s="2" t="s">
        <v>2501</v>
      </c>
      <c r="L1237" s="2" t="s">
        <v>45</v>
      </c>
    </row>
    <row r="1238" spans="1:12" ht="37" customHeight="1">
      <c r="A1238" s="2" t="s">
        <v>1149</v>
      </c>
      <c r="B1238" s="2" t="s">
        <v>1134</v>
      </c>
      <c r="C1238" s="2" t="s">
        <v>1147</v>
      </c>
      <c r="D1238" s="2" t="s">
        <v>124</v>
      </c>
      <c r="E1238" s="4">
        <v>1.8</v>
      </c>
      <c r="F1238" s="7" t="s">
        <v>1763</v>
      </c>
      <c r="G1238" s="2" t="s">
        <v>29</v>
      </c>
      <c r="H1238" s="2" t="s">
        <v>1759</v>
      </c>
      <c r="I1238" s="2" t="s">
        <v>2500</v>
      </c>
      <c r="J1238" s="2" t="s">
        <v>2497</v>
      </c>
      <c r="K1238" s="2" t="s">
        <v>2501</v>
      </c>
      <c r="L1238" s="2" t="s">
        <v>45</v>
      </c>
    </row>
    <row r="1239" spans="1:12" ht="37" customHeight="1">
      <c r="A1239" s="2" t="s">
        <v>1149</v>
      </c>
      <c r="B1239" s="2" t="s">
        <v>1134</v>
      </c>
      <c r="C1239" s="2" t="s">
        <v>1147</v>
      </c>
      <c r="D1239" s="2" t="s">
        <v>65</v>
      </c>
      <c r="E1239" s="7" t="s">
        <v>69</v>
      </c>
      <c r="F1239" s="7" t="s">
        <v>1763</v>
      </c>
      <c r="G1239" s="2" t="s">
        <v>29</v>
      </c>
      <c r="H1239" s="2" t="s">
        <v>1759</v>
      </c>
      <c r="I1239" s="2" t="s">
        <v>2500</v>
      </c>
      <c r="J1239" s="2" t="s">
        <v>2497</v>
      </c>
      <c r="K1239" s="2" t="s">
        <v>2501</v>
      </c>
      <c r="L1239" s="2" t="s">
        <v>45</v>
      </c>
    </row>
    <row r="1240" spans="1:12" ht="37" customHeight="1">
      <c r="A1240" s="2" t="s">
        <v>1149</v>
      </c>
      <c r="B1240" s="2" t="s">
        <v>1134</v>
      </c>
      <c r="C1240" s="2" t="s">
        <v>1147</v>
      </c>
      <c r="D1240" s="2" t="s">
        <v>222</v>
      </c>
      <c r="E1240" s="6">
        <v>2</v>
      </c>
      <c r="F1240" s="7" t="s">
        <v>1764</v>
      </c>
      <c r="G1240" s="2" t="s">
        <v>29</v>
      </c>
      <c r="H1240" s="2" t="s">
        <v>1759</v>
      </c>
      <c r="I1240" s="2" t="s">
        <v>2500</v>
      </c>
      <c r="J1240" s="2" t="s">
        <v>2497</v>
      </c>
      <c r="K1240" s="2" t="s">
        <v>2501</v>
      </c>
      <c r="L1240" s="2" t="s">
        <v>45</v>
      </c>
    </row>
    <row r="1241" spans="1:12" ht="34" customHeight="1">
      <c r="A1241" s="2" t="s">
        <v>1149</v>
      </c>
      <c r="B1241" s="2" t="s">
        <v>1134</v>
      </c>
      <c r="C1241" s="2" t="s">
        <v>1147</v>
      </c>
      <c r="D1241" s="2" t="s">
        <v>1765</v>
      </c>
      <c r="E1241" s="6" t="s">
        <v>39</v>
      </c>
      <c r="F1241" s="7" t="s">
        <v>1766</v>
      </c>
      <c r="G1241" s="2" t="s">
        <v>29</v>
      </c>
      <c r="H1241" s="2" t="s">
        <v>1759</v>
      </c>
      <c r="I1241" s="2" t="s">
        <v>1767</v>
      </c>
      <c r="J1241" s="2"/>
      <c r="K1241" t="s">
        <v>2502</v>
      </c>
    </row>
    <row r="1242" spans="1:12" ht="34" customHeight="1">
      <c r="A1242" s="2" t="s">
        <v>1157</v>
      </c>
      <c r="B1242" s="2" t="s">
        <v>1134</v>
      </c>
      <c r="C1242" s="2" t="s">
        <v>1152</v>
      </c>
      <c r="D1242" s="2" t="s">
        <v>1757</v>
      </c>
      <c r="E1242" s="4">
        <v>0.4</v>
      </c>
      <c r="F1242" s="7" t="s">
        <v>1758</v>
      </c>
      <c r="G1242" s="2" t="s">
        <v>1154</v>
      </c>
      <c r="H1242" s="2" t="s">
        <v>1759</v>
      </c>
      <c r="I1242" s="2" t="s">
        <v>2503</v>
      </c>
      <c r="J1242" s="2" t="s">
        <v>2504</v>
      </c>
      <c r="K1242" s="2" t="s">
        <v>2505</v>
      </c>
      <c r="L1242" s="2" t="s">
        <v>130</v>
      </c>
    </row>
    <row r="1243" spans="1:12" ht="34" customHeight="1">
      <c r="A1243" s="2" t="s">
        <v>1157</v>
      </c>
      <c r="B1243" s="2" t="s">
        <v>1134</v>
      </c>
      <c r="C1243" s="2" t="s">
        <v>1152</v>
      </c>
      <c r="D1243" s="2" t="s">
        <v>254</v>
      </c>
      <c r="E1243" s="8">
        <v>8.5000000000000006E-2</v>
      </c>
      <c r="F1243" s="7" t="s">
        <v>1758</v>
      </c>
      <c r="G1243" s="2" t="s">
        <v>1154</v>
      </c>
      <c r="H1243" s="2" t="s">
        <v>1759</v>
      </c>
      <c r="I1243" s="2" t="s">
        <v>2503</v>
      </c>
      <c r="J1243" s="2" t="s">
        <v>2504</v>
      </c>
      <c r="K1243" s="2" t="s">
        <v>2505</v>
      </c>
      <c r="L1243" s="2" t="s">
        <v>130</v>
      </c>
    </row>
    <row r="1244" spans="1:12" ht="34" customHeight="1">
      <c r="A1244" s="2" t="s">
        <v>1157</v>
      </c>
      <c r="B1244" s="2" t="s">
        <v>1134</v>
      </c>
      <c r="C1244" s="2" t="s">
        <v>1152</v>
      </c>
      <c r="D1244" s="2" t="s">
        <v>124</v>
      </c>
      <c r="E1244" s="11">
        <v>1</v>
      </c>
      <c r="F1244" s="20" t="s">
        <v>1763</v>
      </c>
      <c r="G1244" s="21" t="s">
        <v>1154</v>
      </c>
      <c r="H1244" s="21" t="s">
        <v>1779</v>
      </c>
      <c r="I1244" s="2" t="s">
        <v>2506</v>
      </c>
      <c r="J1244" s="2" t="s">
        <v>2504</v>
      </c>
      <c r="K1244" s="2" t="s">
        <v>2507</v>
      </c>
      <c r="L1244" s="2" t="s">
        <v>130</v>
      </c>
    </row>
    <row r="1245" spans="1:12" ht="34" customHeight="1">
      <c r="A1245" s="2" t="s">
        <v>1157</v>
      </c>
      <c r="B1245" s="2" t="s">
        <v>1134</v>
      </c>
      <c r="C1245" s="2" t="s">
        <v>1152</v>
      </c>
      <c r="D1245" s="2" t="s">
        <v>65</v>
      </c>
      <c r="E1245" s="11">
        <v>0</v>
      </c>
      <c r="F1245" s="20" t="s">
        <v>1763</v>
      </c>
      <c r="G1245" s="21" t="s">
        <v>1154</v>
      </c>
      <c r="H1245" s="21" t="s">
        <v>1779</v>
      </c>
      <c r="I1245" s="2" t="s">
        <v>2506</v>
      </c>
      <c r="J1245" s="2" t="s">
        <v>2504</v>
      </c>
      <c r="K1245" s="2" t="s">
        <v>2508</v>
      </c>
      <c r="L1245" s="2" t="s">
        <v>130</v>
      </c>
    </row>
    <row r="1246" spans="1:12" ht="34" customHeight="1">
      <c r="A1246" s="2" t="s">
        <v>1157</v>
      </c>
      <c r="B1246" s="2" t="s">
        <v>1134</v>
      </c>
      <c r="C1246" s="2" t="s">
        <v>1152</v>
      </c>
      <c r="D1246" s="2" t="s">
        <v>222</v>
      </c>
      <c r="E1246" s="7" t="s">
        <v>1153</v>
      </c>
      <c r="F1246" s="7" t="s">
        <v>1764</v>
      </c>
      <c r="G1246" s="2" t="s">
        <v>1154</v>
      </c>
      <c r="H1246" s="2" t="s">
        <v>1759</v>
      </c>
      <c r="I1246" s="2" t="s">
        <v>2503</v>
      </c>
      <c r="J1246" s="2" t="s">
        <v>2504</v>
      </c>
      <c r="K1246" s="2" t="s">
        <v>2505</v>
      </c>
      <c r="L1246" s="2" t="s">
        <v>130</v>
      </c>
    </row>
    <row r="1247" spans="1:12" ht="34" customHeight="1">
      <c r="A1247" s="2" t="s">
        <v>1157</v>
      </c>
      <c r="B1247" s="2" t="s">
        <v>1134</v>
      </c>
      <c r="C1247" s="2" t="s">
        <v>1152</v>
      </c>
      <c r="D1247" s="2" t="s">
        <v>1765</v>
      </c>
      <c r="E1247" s="7" t="s">
        <v>219</v>
      </c>
      <c r="F1247" s="7" t="s">
        <v>1766</v>
      </c>
      <c r="G1247" s="2" t="s">
        <v>1154</v>
      </c>
      <c r="H1247" s="2" t="s">
        <v>1759</v>
      </c>
      <c r="I1247" s="2" t="s">
        <v>1767</v>
      </c>
      <c r="J1247" s="2"/>
      <c r="K1247" t="s">
        <v>2509</v>
      </c>
    </row>
    <row r="1248" spans="1:12" ht="34" customHeight="1">
      <c r="A1248" s="2" t="s">
        <v>1168</v>
      </c>
      <c r="B1248" s="2" t="s">
        <v>1161</v>
      </c>
      <c r="C1248" s="2" t="s">
        <v>1162</v>
      </c>
      <c r="D1248" s="2" t="s">
        <v>1757</v>
      </c>
      <c r="E1248" s="4">
        <v>0.4</v>
      </c>
      <c r="F1248" s="7" t="s">
        <v>1758</v>
      </c>
      <c r="G1248" s="2" t="s">
        <v>29</v>
      </c>
      <c r="H1248" s="2" t="s">
        <v>1759</v>
      </c>
      <c r="I1248" s="2" t="s">
        <v>2510</v>
      </c>
      <c r="J1248" s="2" t="s">
        <v>2511</v>
      </c>
      <c r="K1248" s="2" t="s">
        <v>2512</v>
      </c>
      <c r="L1248" s="2" t="s">
        <v>190</v>
      </c>
    </row>
    <row r="1249" spans="1:12" ht="34" customHeight="1">
      <c r="A1249" s="2" t="s">
        <v>1168</v>
      </c>
      <c r="B1249" s="2" t="s">
        <v>1161</v>
      </c>
      <c r="C1249" s="2" t="s">
        <v>1162</v>
      </c>
      <c r="D1249" s="2" t="s">
        <v>254</v>
      </c>
      <c r="E1249" s="5">
        <v>0.25</v>
      </c>
      <c r="F1249" s="7" t="s">
        <v>1758</v>
      </c>
      <c r="G1249" s="2" t="s">
        <v>29</v>
      </c>
      <c r="H1249" s="2" t="s">
        <v>1759</v>
      </c>
      <c r="I1249" s="2" t="s">
        <v>2510</v>
      </c>
      <c r="J1249" s="2" t="s">
        <v>2511</v>
      </c>
      <c r="K1249" s="2" t="s">
        <v>2512</v>
      </c>
      <c r="L1249" s="2" t="s">
        <v>190</v>
      </c>
    </row>
    <row r="1250" spans="1:12" ht="34" customHeight="1">
      <c r="A1250" s="2" t="s">
        <v>1168</v>
      </c>
      <c r="B1250" s="2" t="s">
        <v>1161</v>
      </c>
      <c r="C1250" s="2" t="s">
        <v>1162</v>
      </c>
      <c r="D1250" s="2" t="s">
        <v>124</v>
      </c>
      <c r="E1250" s="7" t="s">
        <v>1163</v>
      </c>
      <c r="F1250" s="7" t="s">
        <v>1763</v>
      </c>
      <c r="G1250" s="2" t="s">
        <v>29</v>
      </c>
      <c r="H1250" s="2" t="s">
        <v>1759</v>
      </c>
      <c r="I1250" s="2" t="s">
        <v>2510</v>
      </c>
      <c r="J1250" s="2" t="s">
        <v>2511</v>
      </c>
      <c r="K1250" s="2" t="s">
        <v>2512</v>
      </c>
      <c r="L1250" s="2" t="s">
        <v>190</v>
      </c>
    </row>
    <row r="1251" spans="1:12" ht="34" customHeight="1">
      <c r="A1251" s="2" t="s">
        <v>1168</v>
      </c>
      <c r="B1251" s="2" t="s">
        <v>1161</v>
      </c>
      <c r="C1251" s="2" t="s">
        <v>1162</v>
      </c>
      <c r="D1251" s="2" t="s">
        <v>65</v>
      </c>
      <c r="E1251" s="7" t="s">
        <v>1164</v>
      </c>
      <c r="F1251" s="7" t="s">
        <v>1763</v>
      </c>
      <c r="G1251" s="2" t="s">
        <v>29</v>
      </c>
      <c r="H1251" s="2" t="s">
        <v>1759</v>
      </c>
      <c r="I1251" s="2" t="s">
        <v>2510</v>
      </c>
      <c r="J1251" s="2" t="s">
        <v>2511</v>
      </c>
      <c r="K1251" s="2" t="s">
        <v>2512</v>
      </c>
      <c r="L1251" s="2" t="s">
        <v>190</v>
      </c>
    </row>
    <row r="1252" spans="1:12" ht="34" customHeight="1">
      <c r="A1252" s="2" t="s">
        <v>1168</v>
      </c>
      <c r="B1252" s="2" t="s">
        <v>1161</v>
      </c>
      <c r="C1252" s="2" t="s">
        <v>1162</v>
      </c>
      <c r="D1252" s="2" t="s">
        <v>222</v>
      </c>
      <c r="E1252" s="4">
        <v>0.5</v>
      </c>
      <c r="F1252" s="7" t="s">
        <v>1764</v>
      </c>
      <c r="G1252" s="2" t="s">
        <v>29</v>
      </c>
      <c r="H1252" s="2" t="s">
        <v>1759</v>
      </c>
      <c r="I1252" s="2" t="s">
        <v>2510</v>
      </c>
      <c r="J1252" s="2" t="s">
        <v>2511</v>
      </c>
      <c r="K1252" s="2" t="s">
        <v>2512</v>
      </c>
      <c r="L1252" s="2" t="s">
        <v>190</v>
      </c>
    </row>
    <row r="1253" spans="1:12" ht="34" customHeight="1">
      <c r="A1253" s="2" t="s">
        <v>1168</v>
      </c>
      <c r="B1253" s="2" t="s">
        <v>1161</v>
      </c>
      <c r="C1253" s="2" t="s">
        <v>1162</v>
      </c>
      <c r="D1253" s="2" t="s">
        <v>1765</v>
      </c>
      <c r="E1253" s="4" t="s">
        <v>1165</v>
      </c>
      <c r="F1253" s="7" t="s">
        <v>1766</v>
      </c>
      <c r="G1253" s="2" t="s">
        <v>29</v>
      </c>
      <c r="H1253" s="2" t="s">
        <v>1759</v>
      </c>
      <c r="I1253" s="2" t="s">
        <v>1767</v>
      </c>
      <c r="J1253" s="2"/>
      <c r="K1253" t="s">
        <v>2513</v>
      </c>
    </row>
    <row r="1254" spans="1:12" ht="34" customHeight="1">
      <c r="A1254" s="2" t="s">
        <v>1173</v>
      </c>
      <c r="B1254" s="2" t="s">
        <v>1161</v>
      </c>
      <c r="C1254" s="2" t="s">
        <v>1170</v>
      </c>
      <c r="D1254" s="2" t="s">
        <v>1757</v>
      </c>
      <c r="E1254" s="4">
        <v>0.3</v>
      </c>
      <c r="F1254" s="7" t="s">
        <v>1758</v>
      </c>
      <c r="G1254" s="2" t="s">
        <v>876</v>
      </c>
      <c r="H1254" s="2" t="s">
        <v>1759</v>
      </c>
      <c r="I1254" s="2" t="s">
        <v>2414</v>
      </c>
      <c r="J1254" s="2" t="s">
        <v>1781</v>
      </c>
      <c r="K1254" s="2" t="s">
        <v>2345</v>
      </c>
      <c r="L1254" s="2" t="s">
        <v>122</v>
      </c>
    </row>
    <row r="1255" spans="1:12" ht="34" customHeight="1">
      <c r="A1255" s="2" t="s">
        <v>1173</v>
      </c>
      <c r="B1255" s="2" t="s">
        <v>1161</v>
      </c>
      <c r="C1255" s="2" t="s">
        <v>1170</v>
      </c>
      <c r="D1255" s="2" t="s">
        <v>254</v>
      </c>
      <c r="E1255" s="4">
        <v>0.1</v>
      </c>
      <c r="F1255" s="7" t="s">
        <v>1758</v>
      </c>
      <c r="G1255" s="2" t="s">
        <v>876</v>
      </c>
      <c r="H1255" s="2" t="s">
        <v>1759</v>
      </c>
      <c r="I1255" s="2" t="s">
        <v>2414</v>
      </c>
      <c r="J1255" s="2" t="s">
        <v>1781</v>
      </c>
      <c r="K1255" s="2" t="s">
        <v>2345</v>
      </c>
      <c r="L1255" s="2" t="s">
        <v>122</v>
      </c>
    </row>
    <row r="1256" spans="1:12" ht="34" customHeight="1">
      <c r="A1256" s="2" t="s">
        <v>1173</v>
      </c>
      <c r="B1256" s="2" t="s">
        <v>1161</v>
      </c>
      <c r="C1256" s="2" t="s">
        <v>1170</v>
      </c>
      <c r="D1256" s="2" t="s">
        <v>124</v>
      </c>
      <c r="E1256" s="11">
        <v>1</v>
      </c>
      <c r="F1256" s="20" t="s">
        <v>1763</v>
      </c>
      <c r="G1256" s="21" t="s">
        <v>876</v>
      </c>
      <c r="H1256" s="21" t="s">
        <v>1779</v>
      </c>
      <c r="I1256" s="2" t="s">
        <v>2415</v>
      </c>
      <c r="J1256" s="2" t="s">
        <v>1781</v>
      </c>
      <c r="K1256" s="2" t="s">
        <v>2357</v>
      </c>
      <c r="L1256" s="2" t="s">
        <v>122</v>
      </c>
    </row>
    <row r="1257" spans="1:12" ht="34" customHeight="1">
      <c r="A1257" s="2" t="s">
        <v>1173</v>
      </c>
      <c r="B1257" s="2" t="s">
        <v>1161</v>
      </c>
      <c r="C1257" s="2" t="s">
        <v>1170</v>
      </c>
      <c r="D1257" s="2" t="s">
        <v>65</v>
      </c>
      <c r="E1257" s="11">
        <v>0</v>
      </c>
      <c r="F1257" s="20" t="s">
        <v>1763</v>
      </c>
      <c r="G1257" s="21" t="s">
        <v>876</v>
      </c>
      <c r="H1257" s="21" t="s">
        <v>1779</v>
      </c>
      <c r="I1257" s="2" t="s">
        <v>2415</v>
      </c>
      <c r="J1257" s="2" t="s">
        <v>1781</v>
      </c>
      <c r="K1257" s="2" t="s">
        <v>2358</v>
      </c>
      <c r="L1257" s="2" t="s">
        <v>122</v>
      </c>
    </row>
    <row r="1258" spans="1:12" ht="34" customHeight="1">
      <c r="A1258" s="2" t="s">
        <v>1173</v>
      </c>
      <c r="B1258" s="2" t="s">
        <v>1161</v>
      </c>
      <c r="C1258" s="2" t="s">
        <v>1170</v>
      </c>
      <c r="D1258" s="2" t="s">
        <v>222</v>
      </c>
      <c r="E1258" s="5">
        <v>7.0000000000000007E-2</v>
      </c>
      <c r="F1258" s="7" t="s">
        <v>1764</v>
      </c>
      <c r="G1258" s="2" t="s">
        <v>876</v>
      </c>
      <c r="H1258" s="2" t="s">
        <v>1759</v>
      </c>
      <c r="I1258" s="2" t="s">
        <v>2414</v>
      </c>
      <c r="J1258" s="2" t="s">
        <v>1781</v>
      </c>
      <c r="K1258" s="2" t="s">
        <v>2345</v>
      </c>
      <c r="L1258" s="2" t="s">
        <v>122</v>
      </c>
    </row>
    <row r="1259" spans="1:12" ht="34" customHeight="1">
      <c r="A1259" s="2" t="s">
        <v>1173</v>
      </c>
      <c r="B1259" s="2" t="s">
        <v>1161</v>
      </c>
      <c r="C1259" s="2" t="s">
        <v>1170</v>
      </c>
      <c r="D1259" s="2" t="s">
        <v>1765</v>
      </c>
      <c r="E1259" s="5" t="s">
        <v>1171</v>
      </c>
      <c r="F1259" s="7" t="s">
        <v>1766</v>
      </c>
      <c r="G1259" s="2" t="s">
        <v>876</v>
      </c>
      <c r="H1259" s="2" t="s">
        <v>1759</v>
      </c>
      <c r="I1259" s="2" t="s">
        <v>1767</v>
      </c>
      <c r="J1259" s="2"/>
      <c r="K1259" t="s">
        <v>1817</v>
      </c>
    </row>
    <row r="1260" spans="1:12" ht="34" customHeight="1">
      <c r="A1260" s="2" t="s">
        <v>1180</v>
      </c>
      <c r="B1260" s="2" t="s">
        <v>1176</v>
      </c>
      <c r="C1260" s="2" t="s">
        <v>1177</v>
      </c>
      <c r="D1260" s="2" t="s">
        <v>1757</v>
      </c>
      <c r="E1260" s="5">
        <v>0.46</v>
      </c>
      <c r="F1260" s="7" t="s">
        <v>1758</v>
      </c>
      <c r="G1260" s="2" t="s">
        <v>1178</v>
      </c>
      <c r="H1260" s="2" t="s">
        <v>1759</v>
      </c>
      <c r="I1260" s="2" t="s">
        <v>2514</v>
      </c>
      <c r="J1260" s="2" t="s">
        <v>2515</v>
      </c>
      <c r="K1260" s="2" t="s">
        <v>2516</v>
      </c>
      <c r="L1260" s="2" t="s">
        <v>45</v>
      </c>
    </row>
    <row r="1261" spans="1:12" ht="34" customHeight="1">
      <c r="A1261" s="2" t="s">
        <v>1180</v>
      </c>
      <c r="B1261" s="2" t="s">
        <v>1176</v>
      </c>
      <c r="C1261" s="2" t="s">
        <v>1177</v>
      </c>
      <c r="D1261" s="2" t="s">
        <v>254</v>
      </c>
      <c r="E1261" s="8">
        <v>8.5000000000000006E-2</v>
      </c>
      <c r="F1261" s="7" t="s">
        <v>1758</v>
      </c>
      <c r="G1261" s="2" t="s">
        <v>1178</v>
      </c>
      <c r="H1261" s="2" t="s">
        <v>1759</v>
      </c>
      <c r="I1261" s="2" t="s">
        <v>2514</v>
      </c>
      <c r="J1261" s="2" t="s">
        <v>2515</v>
      </c>
      <c r="K1261" s="2" t="s">
        <v>2516</v>
      </c>
      <c r="L1261" s="2" t="s">
        <v>45</v>
      </c>
    </row>
    <row r="1262" spans="1:12" ht="34" customHeight="1">
      <c r="A1262" s="2" t="s">
        <v>1180</v>
      </c>
      <c r="B1262" s="2" t="s">
        <v>1176</v>
      </c>
      <c r="C1262" s="2" t="s">
        <v>1177</v>
      </c>
      <c r="D1262" s="2" t="s">
        <v>124</v>
      </c>
      <c r="E1262" s="11">
        <v>1</v>
      </c>
      <c r="F1262" s="20" t="s">
        <v>1763</v>
      </c>
      <c r="G1262" s="21" t="s">
        <v>1178</v>
      </c>
      <c r="H1262" s="21" t="s">
        <v>1779</v>
      </c>
      <c r="I1262" s="2" t="s">
        <v>2517</v>
      </c>
      <c r="J1262" s="2" t="s">
        <v>2515</v>
      </c>
      <c r="K1262" s="2" t="s">
        <v>2518</v>
      </c>
      <c r="L1262" s="2" t="s">
        <v>45</v>
      </c>
    </row>
    <row r="1263" spans="1:12" ht="34" customHeight="1">
      <c r="A1263" s="2" t="s">
        <v>1180</v>
      </c>
      <c r="B1263" s="2" t="s">
        <v>1176</v>
      </c>
      <c r="C1263" s="2" t="s">
        <v>1177</v>
      </c>
      <c r="D1263" s="2" t="s">
        <v>65</v>
      </c>
      <c r="E1263" s="11">
        <v>0</v>
      </c>
      <c r="F1263" s="20" t="s">
        <v>1763</v>
      </c>
      <c r="G1263" s="21" t="s">
        <v>1178</v>
      </c>
      <c r="H1263" s="21" t="s">
        <v>1779</v>
      </c>
      <c r="I1263" s="2" t="s">
        <v>2517</v>
      </c>
      <c r="J1263" s="2" t="s">
        <v>2515</v>
      </c>
      <c r="K1263" s="2" t="s">
        <v>2519</v>
      </c>
      <c r="L1263" s="2" t="s">
        <v>45</v>
      </c>
    </row>
    <row r="1264" spans="1:12" ht="34" customHeight="1">
      <c r="A1264" s="2" t="s">
        <v>1180</v>
      </c>
      <c r="B1264" s="2" t="s">
        <v>1176</v>
      </c>
      <c r="C1264" s="2" t="s">
        <v>1177</v>
      </c>
      <c r="D1264" s="2" t="s">
        <v>222</v>
      </c>
      <c r="E1264" s="8">
        <v>4.0000000000000001E-3</v>
      </c>
      <c r="F1264" s="7" t="s">
        <v>1764</v>
      </c>
      <c r="G1264" s="2" t="s">
        <v>1178</v>
      </c>
      <c r="H1264" s="2" t="s">
        <v>1759</v>
      </c>
      <c r="I1264" s="2" t="s">
        <v>2514</v>
      </c>
      <c r="J1264" s="2" t="s">
        <v>2515</v>
      </c>
      <c r="K1264" s="2" t="s">
        <v>2516</v>
      </c>
      <c r="L1264" s="2" t="s">
        <v>45</v>
      </c>
    </row>
    <row r="1265" spans="1:12" ht="34" customHeight="1">
      <c r="A1265" s="2" t="s">
        <v>1180</v>
      </c>
      <c r="B1265" s="2" t="s">
        <v>1176</v>
      </c>
      <c r="C1265" s="2" t="s">
        <v>1177</v>
      </c>
      <c r="D1265" s="2" t="s">
        <v>1765</v>
      </c>
      <c r="E1265" s="8" t="s">
        <v>219</v>
      </c>
      <c r="F1265" s="7" t="s">
        <v>1766</v>
      </c>
      <c r="G1265" s="2" t="s">
        <v>1178</v>
      </c>
      <c r="H1265" s="2" t="s">
        <v>1759</v>
      </c>
      <c r="I1265" s="2" t="s">
        <v>1767</v>
      </c>
      <c r="J1265" s="2"/>
      <c r="K1265" t="s">
        <v>2520</v>
      </c>
    </row>
    <row r="1266" spans="1:12" ht="34" customHeight="1">
      <c r="A1266" s="2" t="s">
        <v>1187</v>
      </c>
      <c r="B1266" s="2" t="s">
        <v>1183</v>
      </c>
      <c r="C1266" s="2" t="s">
        <v>1184</v>
      </c>
      <c r="D1266" s="2" t="s">
        <v>1757</v>
      </c>
      <c r="E1266" s="9">
        <v>0.72089999999999999</v>
      </c>
      <c r="F1266" s="7" t="s">
        <v>1758</v>
      </c>
      <c r="G1266" s="2" t="s">
        <v>1185</v>
      </c>
      <c r="H1266" s="2" t="s">
        <v>1759</v>
      </c>
      <c r="I1266" s="2" t="s">
        <v>2521</v>
      </c>
      <c r="J1266" s="2" t="s">
        <v>2522</v>
      </c>
      <c r="K1266" s="2" t="s">
        <v>2523</v>
      </c>
      <c r="L1266" s="2" t="s">
        <v>45</v>
      </c>
    </row>
    <row r="1267" spans="1:12" ht="34" customHeight="1">
      <c r="A1267" s="2" t="s">
        <v>1187</v>
      </c>
      <c r="B1267" s="2" t="s">
        <v>1183</v>
      </c>
      <c r="C1267" s="2" t="s">
        <v>1184</v>
      </c>
      <c r="D1267" s="2" t="s">
        <v>254</v>
      </c>
      <c r="E1267" s="8">
        <v>0.16400000000000001</v>
      </c>
      <c r="F1267" s="7" t="s">
        <v>1758</v>
      </c>
      <c r="G1267" s="2" t="s">
        <v>1185</v>
      </c>
      <c r="H1267" s="2" t="s">
        <v>1759</v>
      </c>
      <c r="I1267" s="2" t="s">
        <v>2521</v>
      </c>
      <c r="J1267" s="2" t="s">
        <v>2522</v>
      </c>
      <c r="K1267" s="2" t="s">
        <v>2523</v>
      </c>
      <c r="L1267" s="2" t="s">
        <v>45</v>
      </c>
    </row>
    <row r="1268" spans="1:12" ht="34" customHeight="1">
      <c r="A1268" s="2" t="s">
        <v>1187</v>
      </c>
      <c r="B1268" s="2" t="s">
        <v>1183</v>
      </c>
      <c r="C1268" s="2" t="s">
        <v>1184</v>
      </c>
      <c r="D1268" s="2" t="s">
        <v>124</v>
      </c>
      <c r="E1268" s="11">
        <v>1</v>
      </c>
      <c r="F1268" s="20" t="s">
        <v>1763</v>
      </c>
      <c r="G1268" s="21" t="s">
        <v>1185</v>
      </c>
      <c r="H1268" s="21" t="s">
        <v>1779</v>
      </c>
      <c r="I1268" s="2" t="s">
        <v>2521</v>
      </c>
      <c r="J1268" s="2" t="s">
        <v>2522</v>
      </c>
      <c r="K1268" s="2" t="s">
        <v>2524</v>
      </c>
      <c r="L1268" s="2" t="s">
        <v>45</v>
      </c>
    </row>
    <row r="1269" spans="1:12" ht="34" customHeight="1">
      <c r="A1269" s="2" t="s">
        <v>1187</v>
      </c>
      <c r="B1269" s="2" t="s">
        <v>1183</v>
      </c>
      <c r="C1269" s="2" t="s">
        <v>1184</v>
      </c>
      <c r="D1269" s="2" t="s">
        <v>65</v>
      </c>
      <c r="E1269" s="11">
        <v>0</v>
      </c>
      <c r="F1269" s="20" t="s">
        <v>1763</v>
      </c>
      <c r="G1269" s="21" t="s">
        <v>1185</v>
      </c>
      <c r="H1269" s="21" t="s">
        <v>1779</v>
      </c>
      <c r="I1269" s="2" t="s">
        <v>2521</v>
      </c>
      <c r="J1269" s="2" t="s">
        <v>2522</v>
      </c>
      <c r="K1269" s="2" t="s">
        <v>2525</v>
      </c>
      <c r="L1269" s="2" t="s">
        <v>45</v>
      </c>
    </row>
    <row r="1270" spans="1:12" ht="34" customHeight="1">
      <c r="A1270" s="2" t="s">
        <v>1187</v>
      </c>
      <c r="B1270" s="2" t="s">
        <v>1183</v>
      </c>
      <c r="C1270" s="2" t="s">
        <v>1184</v>
      </c>
      <c r="D1270" s="2" t="s">
        <v>222</v>
      </c>
      <c r="E1270" s="10">
        <v>7.7539999999999998E-2</v>
      </c>
      <c r="F1270" s="7" t="s">
        <v>1764</v>
      </c>
      <c r="G1270" s="2" t="s">
        <v>1185</v>
      </c>
      <c r="H1270" s="2" t="s">
        <v>1759</v>
      </c>
      <c r="I1270" s="2" t="s">
        <v>2521</v>
      </c>
      <c r="J1270" s="2" t="s">
        <v>2522</v>
      </c>
      <c r="K1270" s="2" t="s">
        <v>2523</v>
      </c>
      <c r="L1270" s="2" t="s">
        <v>45</v>
      </c>
    </row>
    <row r="1271" spans="1:12" ht="34" customHeight="1">
      <c r="A1271" s="2" t="s">
        <v>1187</v>
      </c>
      <c r="B1271" s="2" t="s">
        <v>1183</v>
      </c>
      <c r="C1271" s="2" t="s">
        <v>1184</v>
      </c>
      <c r="D1271" s="2" t="s">
        <v>1765</v>
      </c>
      <c r="E1271" s="10" t="s">
        <v>114</v>
      </c>
      <c r="F1271" s="7" t="s">
        <v>1766</v>
      </c>
      <c r="G1271" s="2" t="s">
        <v>1185</v>
      </c>
      <c r="H1271" s="2" t="s">
        <v>1759</v>
      </c>
      <c r="I1271" s="2" t="s">
        <v>1767</v>
      </c>
      <c r="J1271" s="2"/>
      <c r="K1271" t="s">
        <v>1817</v>
      </c>
    </row>
    <row r="1272" spans="1:12" ht="34" customHeight="1">
      <c r="A1272" s="2" t="s">
        <v>1196</v>
      </c>
      <c r="B1272" s="2" t="s">
        <v>1183</v>
      </c>
      <c r="C1272" s="2" t="s">
        <v>1191</v>
      </c>
      <c r="D1272" s="2" t="s">
        <v>1757</v>
      </c>
      <c r="E1272" s="5">
        <v>0.46</v>
      </c>
      <c r="F1272" s="7" t="s">
        <v>1758</v>
      </c>
      <c r="G1272" s="2" t="s">
        <v>1194</v>
      </c>
      <c r="H1272" s="2" t="s">
        <v>1759</v>
      </c>
      <c r="I1272" s="2" t="s">
        <v>2526</v>
      </c>
      <c r="J1272" s="2" t="s">
        <v>2527</v>
      </c>
      <c r="K1272" s="2" t="s">
        <v>2528</v>
      </c>
      <c r="L1272" s="2" t="s">
        <v>45</v>
      </c>
    </row>
    <row r="1273" spans="1:12" ht="34" customHeight="1">
      <c r="A1273" s="2" t="s">
        <v>1196</v>
      </c>
      <c r="B1273" s="2" t="s">
        <v>1183</v>
      </c>
      <c r="C1273" s="2" t="s">
        <v>1191</v>
      </c>
      <c r="D1273" s="2" t="s">
        <v>254</v>
      </c>
      <c r="E1273" s="8">
        <v>8.5000000000000006E-2</v>
      </c>
      <c r="F1273" s="7" t="s">
        <v>1758</v>
      </c>
      <c r="G1273" s="2" t="s">
        <v>1194</v>
      </c>
      <c r="H1273" s="2" t="s">
        <v>1759</v>
      </c>
      <c r="I1273" s="2" t="s">
        <v>2526</v>
      </c>
      <c r="J1273" s="2" t="s">
        <v>2527</v>
      </c>
      <c r="K1273" s="2" t="s">
        <v>2528</v>
      </c>
      <c r="L1273" s="2" t="s">
        <v>45</v>
      </c>
    </row>
    <row r="1274" spans="1:12" ht="34" customHeight="1">
      <c r="A1274" s="2" t="s">
        <v>1196</v>
      </c>
      <c r="B1274" s="2" t="s">
        <v>1183</v>
      </c>
      <c r="C1274" s="2" t="s">
        <v>1191</v>
      </c>
      <c r="D1274" s="2" t="s">
        <v>124</v>
      </c>
      <c r="E1274" s="11">
        <v>1</v>
      </c>
      <c r="F1274" s="20" t="s">
        <v>1763</v>
      </c>
      <c r="G1274" s="21" t="s">
        <v>1194</v>
      </c>
      <c r="H1274" s="21" t="s">
        <v>1779</v>
      </c>
      <c r="I1274" s="2" t="s">
        <v>2529</v>
      </c>
      <c r="J1274" s="2" t="s">
        <v>1781</v>
      </c>
      <c r="K1274" s="2" t="s">
        <v>2530</v>
      </c>
      <c r="L1274" s="2" t="s">
        <v>45</v>
      </c>
    </row>
    <row r="1275" spans="1:12" ht="34" customHeight="1">
      <c r="A1275" s="2" t="s">
        <v>1196</v>
      </c>
      <c r="B1275" s="2" t="s">
        <v>1183</v>
      </c>
      <c r="C1275" s="2" t="s">
        <v>1191</v>
      </c>
      <c r="D1275" s="2" t="s">
        <v>65</v>
      </c>
      <c r="E1275" s="11">
        <v>0</v>
      </c>
      <c r="F1275" s="20" t="s">
        <v>1763</v>
      </c>
      <c r="G1275" s="21" t="s">
        <v>1194</v>
      </c>
      <c r="H1275" s="21" t="s">
        <v>1779</v>
      </c>
      <c r="I1275" s="2" t="s">
        <v>2529</v>
      </c>
      <c r="J1275" s="2" t="s">
        <v>1781</v>
      </c>
      <c r="K1275" s="2" t="s">
        <v>2531</v>
      </c>
      <c r="L1275" s="2" t="s">
        <v>45</v>
      </c>
    </row>
    <row r="1276" spans="1:12" ht="34" customHeight="1">
      <c r="A1276" s="2" t="s">
        <v>1196</v>
      </c>
      <c r="B1276" s="2" t="s">
        <v>1183</v>
      </c>
      <c r="C1276" s="2" t="s">
        <v>1191</v>
      </c>
      <c r="D1276" s="2" t="s">
        <v>222</v>
      </c>
      <c r="E1276" s="7" t="s">
        <v>1192</v>
      </c>
      <c r="F1276" s="7" t="s">
        <v>1764</v>
      </c>
      <c r="G1276" s="2" t="s">
        <v>1194</v>
      </c>
      <c r="H1276" s="2" t="s">
        <v>1759</v>
      </c>
      <c r="I1276" s="2" t="s">
        <v>2526</v>
      </c>
      <c r="J1276" s="2" t="s">
        <v>2527</v>
      </c>
      <c r="K1276" s="2" t="s">
        <v>2528</v>
      </c>
      <c r="L1276" s="2" t="s">
        <v>45</v>
      </c>
    </row>
    <row r="1277" spans="1:12" ht="34" customHeight="1">
      <c r="A1277" s="2" t="s">
        <v>1196</v>
      </c>
      <c r="B1277" s="2" t="s">
        <v>1183</v>
      </c>
      <c r="C1277" s="2" t="s">
        <v>1191</v>
      </c>
      <c r="D1277" s="2" t="s">
        <v>1765</v>
      </c>
      <c r="E1277" s="7" t="s">
        <v>1193</v>
      </c>
      <c r="F1277" s="7" t="s">
        <v>1766</v>
      </c>
      <c r="G1277" s="2" t="s">
        <v>1194</v>
      </c>
      <c r="H1277" s="2" t="s">
        <v>1759</v>
      </c>
      <c r="I1277" s="2" t="s">
        <v>1767</v>
      </c>
      <c r="J1277" s="2"/>
      <c r="K1277" t="s">
        <v>1817</v>
      </c>
    </row>
    <row r="1278" spans="1:12" ht="34" customHeight="1">
      <c r="A1278" s="2" t="s">
        <v>1201</v>
      </c>
      <c r="B1278" s="2" t="s">
        <v>1198</v>
      </c>
      <c r="C1278" s="2" t="s">
        <v>1199</v>
      </c>
      <c r="D1278" s="2" t="s">
        <v>1757</v>
      </c>
      <c r="E1278" s="4">
        <v>0.5</v>
      </c>
      <c r="F1278" s="7" t="s">
        <v>1758</v>
      </c>
      <c r="G1278" s="2" t="s">
        <v>876</v>
      </c>
      <c r="H1278" s="2" t="s">
        <v>1759</v>
      </c>
      <c r="I1278" s="2" t="s">
        <v>2186</v>
      </c>
      <c r="J1278" s="2" t="s">
        <v>1781</v>
      </c>
      <c r="K1278" s="2" t="s">
        <v>2345</v>
      </c>
      <c r="L1278" s="2" t="s">
        <v>122</v>
      </c>
    </row>
    <row r="1279" spans="1:12" ht="34" customHeight="1">
      <c r="A1279" s="2" t="s">
        <v>1201</v>
      </c>
      <c r="B1279" s="2" t="s">
        <v>1198</v>
      </c>
      <c r="C1279" s="2" t="s">
        <v>1199</v>
      </c>
      <c r="D1279" s="2" t="s">
        <v>254</v>
      </c>
      <c r="E1279" s="5">
        <v>0.25</v>
      </c>
      <c r="F1279" s="7" t="s">
        <v>1758</v>
      </c>
      <c r="G1279" s="2" t="s">
        <v>876</v>
      </c>
      <c r="H1279" s="2" t="s">
        <v>1759</v>
      </c>
      <c r="I1279" s="2" t="s">
        <v>2186</v>
      </c>
      <c r="J1279" s="2" t="s">
        <v>1781</v>
      </c>
      <c r="K1279" s="2" t="s">
        <v>2345</v>
      </c>
      <c r="L1279" s="2" t="s">
        <v>122</v>
      </c>
    </row>
    <row r="1280" spans="1:12" ht="34" customHeight="1">
      <c r="A1280" s="2" t="s">
        <v>1201</v>
      </c>
      <c r="B1280" s="2" t="s">
        <v>1198</v>
      </c>
      <c r="C1280" s="2" t="s">
        <v>1199</v>
      </c>
      <c r="D1280" s="2" t="s">
        <v>124</v>
      </c>
      <c r="E1280" s="11">
        <v>1</v>
      </c>
      <c r="F1280" s="20" t="s">
        <v>1763</v>
      </c>
      <c r="G1280" s="21" t="s">
        <v>876</v>
      </c>
      <c r="H1280" s="21" t="s">
        <v>1779</v>
      </c>
      <c r="I1280" s="2" t="s">
        <v>2471</v>
      </c>
      <c r="J1280" s="2" t="s">
        <v>1781</v>
      </c>
      <c r="K1280" s="2" t="s">
        <v>2357</v>
      </c>
      <c r="L1280" s="2" t="s">
        <v>122</v>
      </c>
    </row>
    <row r="1281" spans="1:12" ht="37" customHeight="1">
      <c r="A1281" s="2" t="s">
        <v>1201</v>
      </c>
      <c r="B1281" s="2" t="s">
        <v>1198</v>
      </c>
      <c r="C1281" s="2" t="s">
        <v>1199</v>
      </c>
      <c r="D1281" s="2" t="s">
        <v>65</v>
      </c>
      <c r="E1281" s="11">
        <v>0</v>
      </c>
      <c r="F1281" s="20" t="s">
        <v>1763</v>
      </c>
      <c r="G1281" s="21" t="s">
        <v>876</v>
      </c>
      <c r="H1281" s="21" t="s">
        <v>1779</v>
      </c>
      <c r="I1281" s="2" t="s">
        <v>2471</v>
      </c>
      <c r="J1281" s="2" t="s">
        <v>1781</v>
      </c>
      <c r="K1281" s="2" t="s">
        <v>2358</v>
      </c>
      <c r="L1281" s="2" t="s">
        <v>122</v>
      </c>
    </row>
    <row r="1282" spans="1:12" ht="37" customHeight="1">
      <c r="A1282" s="2" t="s">
        <v>1201</v>
      </c>
      <c r="B1282" s="2" t="s">
        <v>1198</v>
      </c>
      <c r="C1282" s="2" t="s">
        <v>1199</v>
      </c>
      <c r="D1282" s="2" t="s">
        <v>222</v>
      </c>
      <c r="E1282" s="5">
        <v>0.05</v>
      </c>
      <c r="F1282" s="7" t="s">
        <v>1764</v>
      </c>
      <c r="G1282" s="2" t="s">
        <v>876</v>
      </c>
      <c r="H1282" s="2" t="s">
        <v>1759</v>
      </c>
      <c r="I1282" s="2" t="s">
        <v>2186</v>
      </c>
      <c r="J1282" s="2" t="s">
        <v>1781</v>
      </c>
      <c r="K1282" s="2" t="s">
        <v>2345</v>
      </c>
      <c r="L1282" s="2" t="s">
        <v>122</v>
      </c>
    </row>
    <row r="1283" spans="1:12" ht="37" customHeight="1">
      <c r="A1283" s="2" t="s">
        <v>1201</v>
      </c>
      <c r="B1283" s="2" t="s">
        <v>1198</v>
      </c>
      <c r="C1283" s="2" t="s">
        <v>1199</v>
      </c>
      <c r="D1283" s="2" t="s">
        <v>1765</v>
      </c>
      <c r="E1283" s="5" t="s">
        <v>1200</v>
      </c>
      <c r="F1283" s="7" t="s">
        <v>1766</v>
      </c>
      <c r="G1283" s="2" t="s">
        <v>876</v>
      </c>
      <c r="H1283" s="2" t="s">
        <v>1759</v>
      </c>
      <c r="I1283" s="2" t="s">
        <v>1767</v>
      </c>
      <c r="J1283" s="2"/>
      <c r="K1283" t="s">
        <v>1817</v>
      </c>
    </row>
    <row r="1284" spans="1:12" ht="50.5" customHeight="1">
      <c r="A1284" s="2" t="s">
        <v>1209</v>
      </c>
      <c r="B1284" s="2" t="s">
        <v>1204</v>
      </c>
      <c r="C1284" s="2" t="s">
        <v>1205</v>
      </c>
      <c r="D1284" s="2" t="s">
        <v>1757</v>
      </c>
      <c r="E1284" s="4">
        <v>0.5</v>
      </c>
      <c r="F1284" s="7" t="s">
        <v>1758</v>
      </c>
      <c r="G1284" s="2" t="s">
        <v>876</v>
      </c>
      <c r="H1284" s="2" t="s">
        <v>1759</v>
      </c>
      <c r="I1284" s="2" t="s">
        <v>2532</v>
      </c>
      <c r="J1284" s="2" t="s">
        <v>1781</v>
      </c>
      <c r="K1284" s="2" t="s">
        <v>2533</v>
      </c>
      <c r="L1284" s="2" t="s">
        <v>122</v>
      </c>
    </row>
    <row r="1285" spans="1:12" ht="37" customHeight="1">
      <c r="A1285" s="2" t="s">
        <v>1209</v>
      </c>
      <c r="B1285" s="2" t="s">
        <v>1204</v>
      </c>
      <c r="C1285" s="2" t="s">
        <v>1205</v>
      </c>
      <c r="D1285" s="2" t="s">
        <v>254</v>
      </c>
      <c r="E1285" s="5">
        <v>0.11</v>
      </c>
      <c r="F1285" s="7" t="s">
        <v>1758</v>
      </c>
      <c r="G1285" s="2" t="s">
        <v>876</v>
      </c>
      <c r="H1285" s="2" t="s">
        <v>1759</v>
      </c>
      <c r="I1285" s="2" t="s">
        <v>2532</v>
      </c>
      <c r="J1285" s="2" t="s">
        <v>1781</v>
      </c>
      <c r="K1285" s="2" t="s">
        <v>2533</v>
      </c>
      <c r="L1285" s="2" t="s">
        <v>122</v>
      </c>
    </row>
    <row r="1286" spans="1:12" ht="34" customHeight="1">
      <c r="A1286" s="2" t="s">
        <v>1209</v>
      </c>
      <c r="B1286" s="2" t="s">
        <v>1204</v>
      </c>
      <c r="C1286" s="2" t="s">
        <v>1205</v>
      </c>
      <c r="D1286" s="2" t="s">
        <v>124</v>
      </c>
      <c r="E1286" s="11">
        <v>1</v>
      </c>
      <c r="F1286" s="20" t="s">
        <v>1763</v>
      </c>
      <c r="G1286" s="21" t="s">
        <v>876</v>
      </c>
      <c r="H1286" s="21" t="s">
        <v>1779</v>
      </c>
      <c r="I1286" s="2" t="s">
        <v>2534</v>
      </c>
      <c r="J1286" s="2" t="s">
        <v>1781</v>
      </c>
      <c r="K1286" s="2" t="s">
        <v>2535</v>
      </c>
      <c r="L1286" s="2" t="s">
        <v>122</v>
      </c>
    </row>
    <row r="1287" spans="1:12" ht="34" customHeight="1">
      <c r="A1287" s="2" t="s">
        <v>1209</v>
      </c>
      <c r="B1287" s="2" t="s">
        <v>1204</v>
      </c>
      <c r="C1287" s="2" t="s">
        <v>1205</v>
      </c>
      <c r="D1287" s="2" t="s">
        <v>65</v>
      </c>
      <c r="E1287" s="11">
        <v>0</v>
      </c>
      <c r="F1287" s="20" t="s">
        <v>1763</v>
      </c>
      <c r="G1287" s="21" t="s">
        <v>876</v>
      </c>
      <c r="H1287" s="21" t="s">
        <v>1779</v>
      </c>
      <c r="I1287" s="2" t="s">
        <v>2534</v>
      </c>
      <c r="J1287" s="2" t="s">
        <v>1781</v>
      </c>
      <c r="K1287" s="2" t="s">
        <v>2536</v>
      </c>
      <c r="L1287" s="2" t="s">
        <v>122</v>
      </c>
    </row>
    <row r="1288" spans="1:12" ht="34" customHeight="1">
      <c r="A1288" s="2" t="s">
        <v>1209</v>
      </c>
      <c r="B1288" s="2" t="s">
        <v>1204</v>
      </c>
      <c r="C1288" s="2" t="s">
        <v>1205</v>
      </c>
      <c r="D1288" s="2" t="s">
        <v>222</v>
      </c>
      <c r="E1288" s="8">
        <v>1.4999999999999999E-2</v>
      </c>
      <c r="F1288" s="7" t="s">
        <v>1764</v>
      </c>
      <c r="G1288" s="2" t="s">
        <v>876</v>
      </c>
      <c r="H1288" s="2" t="s">
        <v>1759</v>
      </c>
      <c r="I1288" s="2" t="s">
        <v>2532</v>
      </c>
      <c r="J1288" s="2" t="s">
        <v>1781</v>
      </c>
      <c r="K1288" s="2" t="s">
        <v>2533</v>
      </c>
      <c r="L1288" s="2" t="s">
        <v>122</v>
      </c>
    </row>
    <row r="1289" spans="1:12" ht="34" customHeight="1">
      <c r="A1289" s="2" t="s">
        <v>1209</v>
      </c>
      <c r="B1289" s="2" t="s">
        <v>1204</v>
      </c>
      <c r="C1289" s="2" t="s">
        <v>1205</v>
      </c>
      <c r="D1289" s="2" t="s">
        <v>1765</v>
      </c>
      <c r="E1289" s="8" t="s">
        <v>1206</v>
      </c>
      <c r="F1289" s="7" t="s">
        <v>1766</v>
      </c>
      <c r="G1289" s="2" t="s">
        <v>876</v>
      </c>
      <c r="H1289" s="2" t="s">
        <v>1759</v>
      </c>
      <c r="I1289" s="2" t="s">
        <v>1767</v>
      </c>
      <c r="J1289" s="2"/>
      <c r="K1289" t="s">
        <v>2537</v>
      </c>
    </row>
    <row r="1290" spans="1:12" ht="34" customHeight="1">
      <c r="A1290" s="2" t="s">
        <v>1214</v>
      </c>
      <c r="B1290" s="2" t="s">
        <v>1204</v>
      </c>
      <c r="C1290" s="2" t="s">
        <v>1212</v>
      </c>
      <c r="D1290" s="2" t="s">
        <v>1757</v>
      </c>
      <c r="E1290" s="5">
        <v>0.25</v>
      </c>
      <c r="F1290" s="7" t="s">
        <v>1758</v>
      </c>
      <c r="G1290" s="2" t="s">
        <v>180</v>
      </c>
      <c r="H1290" s="2" t="s">
        <v>1759</v>
      </c>
      <c r="I1290" s="2" t="s">
        <v>2538</v>
      </c>
      <c r="J1290" s="2" t="s">
        <v>1855</v>
      </c>
      <c r="K1290" s="2" t="s">
        <v>2539</v>
      </c>
      <c r="L1290" s="2" t="s">
        <v>45</v>
      </c>
    </row>
    <row r="1291" spans="1:12" ht="37" customHeight="1">
      <c r="A1291" s="2" t="s">
        <v>1214</v>
      </c>
      <c r="B1291" s="2" t="s">
        <v>1204</v>
      </c>
      <c r="C1291" s="2" t="s">
        <v>1212</v>
      </c>
      <c r="D1291" s="2" t="s">
        <v>254</v>
      </c>
      <c r="E1291" s="8">
        <v>0.125</v>
      </c>
      <c r="F1291" s="7" t="s">
        <v>1758</v>
      </c>
      <c r="G1291" s="2" t="s">
        <v>180</v>
      </c>
      <c r="H1291" s="2" t="s">
        <v>1759</v>
      </c>
      <c r="I1291" s="2" t="s">
        <v>2540</v>
      </c>
      <c r="J1291" s="2" t="s">
        <v>2541</v>
      </c>
      <c r="K1291" s="2" t="s">
        <v>2539</v>
      </c>
      <c r="L1291" s="2" t="s">
        <v>45</v>
      </c>
    </row>
    <row r="1292" spans="1:12" ht="37" customHeight="1">
      <c r="A1292" s="2" t="s">
        <v>1214</v>
      </c>
      <c r="B1292" s="2" t="s">
        <v>1204</v>
      </c>
      <c r="C1292" s="2" t="s">
        <v>1212</v>
      </c>
      <c r="D1292" s="2" t="s">
        <v>124</v>
      </c>
      <c r="E1292" s="7"/>
      <c r="F1292" s="7" t="s">
        <v>1763</v>
      </c>
      <c r="G1292" s="2" t="s">
        <v>180</v>
      </c>
      <c r="H1292" s="2" t="s">
        <v>1773</v>
      </c>
      <c r="I1292" s="2"/>
      <c r="J1292" s="2"/>
      <c r="K1292" s="2" t="s">
        <v>2539</v>
      </c>
      <c r="L1292" s="2" t="s">
        <v>45</v>
      </c>
    </row>
    <row r="1293" spans="1:12" ht="37" customHeight="1">
      <c r="A1293" s="2" t="s">
        <v>1214</v>
      </c>
      <c r="B1293" s="2" t="s">
        <v>1204</v>
      </c>
      <c r="C1293" s="2" t="s">
        <v>1212</v>
      </c>
      <c r="D1293" s="2" t="s">
        <v>65</v>
      </c>
      <c r="E1293" s="7"/>
      <c r="F1293" s="7" t="s">
        <v>1763</v>
      </c>
      <c r="G1293" s="2" t="s">
        <v>180</v>
      </c>
      <c r="H1293" s="2" t="s">
        <v>1773</v>
      </c>
      <c r="I1293" s="2"/>
      <c r="J1293" s="2"/>
      <c r="K1293" s="2" t="s">
        <v>2539</v>
      </c>
      <c r="L1293" s="2" t="s">
        <v>45</v>
      </c>
    </row>
    <row r="1294" spans="1:12" ht="34" customHeight="1">
      <c r="A1294" s="2" t="s">
        <v>1214</v>
      </c>
      <c r="B1294" s="2" t="s">
        <v>1204</v>
      </c>
      <c r="C1294" s="2" t="s">
        <v>1212</v>
      </c>
      <c r="D1294" s="2" t="s">
        <v>222</v>
      </c>
      <c r="E1294" s="7"/>
      <c r="F1294" s="7" t="s">
        <v>1764</v>
      </c>
      <c r="G1294" s="2" t="s">
        <v>180</v>
      </c>
      <c r="H1294" s="2" t="s">
        <v>1773</v>
      </c>
      <c r="I1294" s="2"/>
      <c r="J1294" s="2"/>
      <c r="K1294" s="2" t="s">
        <v>2539</v>
      </c>
      <c r="L1294" s="2" t="s">
        <v>45</v>
      </c>
    </row>
    <row r="1295" spans="1:12" ht="37" customHeight="1">
      <c r="A1295" s="2" t="s">
        <v>1214</v>
      </c>
      <c r="B1295" s="2" t="s">
        <v>1204</v>
      </c>
      <c r="C1295" s="2" t="s">
        <v>1212</v>
      </c>
      <c r="D1295" s="2" t="s">
        <v>1765</v>
      </c>
      <c r="E1295" s="7" t="s">
        <v>243</v>
      </c>
      <c r="F1295" s="7" t="s">
        <v>1766</v>
      </c>
      <c r="G1295" s="2" t="s">
        <v>180</v>
      </c>
      <c r="H1295" s="2" t="s">
        <v>1759</v>
      </c>
      <c r="I1295" s="2" t="s">
        <v>1767</v>
      </c>
      <c r="J1295" s="2"/>
      <c r="K1295" t="s">
        <v>2542</v>
      </c>
    </row>
    <row r="1296" spans="1:12" ht="37" customHeight="1">
      <c r="A1296" s="2" t="s">
        <v>1219</v>
      </c>
      <c r="B1296" s="2" t="s">
        <v>1217</v>
      </c>
      <c r="C1296" s="2" t="s">
        <v>1218</v>
      </c>
      <c r="D1296" s="2" t="s">
        <v>1757</v>
      </c>
      <c r="E1296" s="4">
        <v>0.4</v>
      </c>
      <c r="F1296" s="7" t="s">
        <v>1758</v>
      </c>
      <c r="G1296" s="2" t="s">
        <v>876</v>
      </c>
      <c r="H1296" s="2" t="s">
        <v>1759</v>
      </c>
      <c r="I1296" s="2" t="s">
        <v>2543</v>
      </c>
      <c r="J1296" s="2" t="s">
        <v>1781</v>
      </c>
      <c r="K1296" s="2" t="s">
        <v>2345</v>
      </c>
      <c r="L1296" s="2" t="s">
        <v>122</v>
      </c>
    </row>
    <row r="1297" spans="1:12" ht="37" customHeight="1">
      <c r="A1297" s="2" t="s">
        <v>1219</v>
      </c>
      <c r="B1297" s="2" t="s">
        <v>1217</v>
      </c>
      <c r="C1297" s="2" t="s">
        <v>1218</v>
      </c>
      <c r="D1297" s="2" t="s">
        <v>254</v>
      </c>
      <c r="E1297" s="5">
        <v>0.09</v>
      </c>
      <c r="F1297" s="7" t="s">
        <v>1758</v>
      </c>
      <c r="G1297" s="2" t="s">
        <v>876</v>
      </c>
      <c r="H1297" s="2" t="s">
        <v>1759</v>
      </c>
      <c r="I1297" s="2" t="s">
        <v>2543</v>
      </c>
      <c r="J1297" s="2" t="s">
        <v>1781</v>
      </c>
      <c r="K1297" s="2" t="s">
        <v>2345</v>
      </c>
      <c r="L1297" s="2" t="s">
        <v>122</v>
      </c>
    </row>
    <row r="1298" spans="1:12" ht="50.5" customHeight="1">
      <c r="A1298" s="2" t="s">
        <v>1219</v>
      </c>
      <c r="B1298" s="2" t="s">
        <v>1217</v>
      </c>
      <c r="C1298" s="2" t="s">
        <v>1218</v>
      </c>
      <c r="D1298" s="2" t="s">
        <v>124</v>
      </c>
      <c r="E1298" s="11">
        <v>1</v>
      </c>
      <c r="F1298" s="20" t="s">
        <v>1763</v>
      </c>
      <c r="G1298" s="21" t="s">
        <v>876</v>
      </c>
      <c r="H1298" s="21" t="s">
        <v>1779</v>
      </c>
      <c r="I1298" s="2" t="s">
        <v>2544</v>
      </c>
      <c r="J1298" s="2" t="s">
        <v>1781</v>
      </c>
      <c r="K1298" s="2" t="s">
        <v>2357</v>
      </c>
      <c r="L1298" s="2" t="s">
        <v>122</v>
      </c>
    </row>
    <row r="1299" spans="1:12" ht="50.5" customHeight="1">
      <c r="A1299" s="2" t="s">
        <v>1219</v>
      </c>
      <c r="B1299" s="2" t="s">
        <v>1217</v>
      </c>
      <c r="C1299" s="2" t="s">
        <v>1218</v>
      </c>
      <c r="D1299" s="2" t="s">
        <v>65</v>
      </c>
      <c r="E1299" s="11">
        <v>0</v>
      </c>
      <c r="F1299" s="20" t="s">
        <v>1763</v>
      </c>
      <c r="G1299" s="21" t="s">
        <v>876</v>
      </c>
      <c r="H1299" s="21" t="s">
        <v>1779</v>
      </c>
      <c r="I1299" s="2" t="s">
        <v>2544</v>
      </c>
      <c r="J1299" s="2" t="s">
        <v>1781</v>
      </c>
      <c r="K1299" s="2" t="s">
        <v>2358</v>
      </c>
      <c r="L1299" s="2" t="s">
        <v>122</v>
      </c>
    </row>
    <row r="1300" spans="1:12" ht="37" customHeight="1">
      <c r="A1300" s="2" t="s">
        <v>1219</v>
      </c>
      <c r="B1300" s="2" t="s">
        <v>1217</v>
      </c>
      <c r="C1300" s="2" t="s">
        <v>1218</v>
      </c>
      <c r="D1300" s="2" t="s">
        <v>222</v>
      </c>
      <c r="E1300" s="5">
        <v>0.03</v>
      </c>
      <c r="F1300" s="7" t="s">
        <v>1764</v>
      </c>
      <c r="G1300" s="2" t="s">
        <v>876</v>
      </c>
      <c r="H1300" s="2" t="s">
        <v>1759</v>
      </c>
      <c r="I1300" s="2" t="s">
        <v>2543</v>
      </c>
      <c r="J1300" s="2" t="s">
        <v>1781</v>
      </c>
      <c r="K1300" s="2" t="s">
        <v>2345</v>
      </c>
      <c r="L1300" s="2" t="s">
        <v>122</v>
      </c>
    </row>
    <row r="1301" spans="1:12" ht="37" customHeight="1">
      <c r="A1301" s="2" t="s">
        <v>1219</v>
      </c>
      <c r="B1301" s="2" t="s">
        <v>1217</v>
      </c>
      <c r="C1301" s="2" t="s">
        <v>1218</v>
      </c>
      <c r="D1301" s="2" t="s">
        <v>1765</v>
      </c>
      <c r="E1301" s="5" t="s">
        <v>662</v>
      </c>
      <c r="F1301" s="7" t="s">
        <v>1766</v>
      </c>
      <c r="G1301" s="2" t="s">
        <v>876</v>
      </c>
      <c r="H1301" s="2" t="s">
        <v>1759</v>
      </c>
      <c r="I1301" s="2" t="s">
        <v>1767</v>
      </c>
      <c r="J1301" s="2"/>
      <c r="K1301" t="s">
        <v>2160</v>
      </c>
    </row>
    <row r="1302" spans="1:12" ht="37" customHeight="1">
      <c r="A1302" s="2" t="s">
        <v>1223</v>
      </c>
      <c r="B1302" s="2" t="s">
        <v>1217</v>
      </c>
      <c r="C1302" s="2" t="s">
        <v>1222</v>
      </c>
      <c r="D1302" s="2" t="s">
        <v>1757</v>
      </c>
      <c r="E1302" s="4">
        <v>0.4</v>
      </c>
      <c r="F1302" s="7" t="s">
        <v>1758</v>
      </c>
      <c r="G1302" s="2" t="s">
        <v>876</v>
      </c>
      <c r="H1302" s="2" t="s">
        <v>1759</v>
      </c>
      <c r="I1302" s="2" t="s">
        <v>2543</v>
      </c>
      <c r="J1302" s="2" t="s">
        <v>1781</v>
      </c>
      <c r="K1302" s="2" t="s">
        <v>2345</v>
      </c>
      <c r="L1302" s="2" t="s">
        <v>122</v>
      </c>
    </row>
    <row r="1303" spans="1:12" ht="50.5" customHeight="1">
      <c r="A1303" s="2" t="s">
        <v>1223</v>
      </c>
      <c r="B1303" s="2" t="s">
        <v>1217</v>
      </c>
      <c r="C1303" s="2" t="s">
        <v>1222</v>
      </c>
      <c r="D1303" s="2" t="s">
        <v>254</v>
      </c>
      <c r="E1303" s="5">
        <v>0.13</v>
      </c>
      <c r="F1303" s="7" t="s">
        <v>1758</v>
      </c>
      <c r="G1303" s="2" t="s">
        <v>876</v>
      </c>
      <c r="H1303" s="2" t="s">
        <v>1759</v>
      </c>
      <c r="I1303" s="2" t="s">
        <v>2543</v>
      </c>
      <c r="J1303" s="2" t="s">
        <v>1781</v>
      </c>
      <c r="K1303" s="2" t="s">
        <v>2345</v>
      </c>
      <c r="L1303" s="2" t="s">
        <v>122</v>
      </c>
    </row>
    <row r="1304" spans="1:12" ht="50.5" customHeight="1">
      <c r="A1304" s="2" t="s">
        <v>1223</v>
      </c>
      <c r="B1304" s="2" t="s">
        <v>1217</v>
      </c>
      <c r="C1304" s="2" t="s">
        <v>1222</v>
      </c>
      <c r="D1304" s="2" t="s">
        <v>124</v>
      </c>
      <c r="E1304" s="11">
        <v>1</v>
      </c>
      <c r="F1304" s="20" t="s">
        <v>1763</v>
      </c>
      <c r="G1304" s="21" t="s">
        <v>876</v>
      </c>
      <c r="H1304" s="21" t="s">
        <v>1779</v>
      </c>
      <c r="I1304" s="2" t="s">
        <v>2544</v>
      </c>
      <c r="J1304" s="2" t="s">
        <v>1781</v>
      </c>
      <c r="K1304" s="2" t="s">
        <v>2357</v>
      </c>
      <c r="L1304" s="2" t="s">
        <v>122</v>
      </c>
    </row>
    <row r="1305" spans="1:12" ht="37" customHeight="1">
      <c r="A1305" s="2" t="s">
        <v>1223</v>
      </c>
      <c r="B1305" s="2" t="s">
        <v>1217</v>
      </c>
      <c r="C1305" s="2" t="s">
        <v>1222</v>
      </c>
      <c r="D1305" s="2" t="s">
        <v>65</v>
      </c>
      <c r="E1305" s="11">
        <v>0</v>
      </c>
      <c r="F1305" s="20" t="s">
        <v>1763</v>
      </c>
      <c r="G1305" s="21" t="s">
        <v>876</v>
      </c>
      <c r="H1305" s="21" t="s">
        <v>1779</v>
      </c>
      <c r="I1305" s="2" t="s">
        <v>2544</v>
      </c>
      <c r="J1305" s="2" t="s">
        <v>1781</v>
      </c>
      <c r="K1305" s="2" t="s">
        <v>2358</v>
      </c>
      <c r="L1305" s="2" t="s">
        <v>122</v>
      </c>
    </row>
    <row r="1306" spans="1:12" ht="34" customHeight="1">
      <c r="A1306" s="2" t="s">
        <v>1223</v>
      </c>
      <c r="B1306" s="2" t="s">
        <v>1217</v>
      </c>
      <c r="C1306" s="2" t="s">
        <v>1222</v>
      </c>
      <c r="D1306" s="2" t="s">
        <v>222</v>
      </c>
      <c r="E1306" s="5">
        <v>0.04</v>
      </c>
      <c r="F1306" s="7" t="s">
        <v>1764</v>
      </c>
      <c r="G1306" s="2" t="s">
        <v>876</v>
      </c>
      <c r="H1306" s="2" t="s">
        <v>1759</v>
      </c>
      <c r="I1306" s="2" t="s">
        <v>2543</v>
      </c>
      <c r="J1306" s="2" t="s">
        <v>1781</v>
      </c>
      <c r="K1306" s="2" t="s">
        <v>2345</v>
      </c>
      <c r="L1306" s="2" t="s">
        <v>122</v>
      </c>
    </row>
    <row r="1307" spans="1:12" ht="34" customHeight="1">
      <c r="A1307" s="2" t="s">
        <v>1223</v>
      </c>
      <c r="B1307" s="2" t="s">
        <v>1217</v>
      </c>
      <c r="C1307" s="2" t="s">
        <v>1222</v>
      </c>
      <c r="D1307" s="2" t="s">
        <v>1765</v>
      </c>
      <c r="E1307" s="5" t="s">
        <v>662</v>
      </c>
      <c r="F1307" s="7" t="s">
        <v>1766</v>
      </c>
      <c r="G1307" s="2" t="s">
        <v>876</v>
      </c>
      <c r="H1307" s="2" t="s">
        <v>1759</v>
      </c>
      <c r="I1307" s="2" t="s">
        <v>1767</v>
      </c>
      <c r="J1307" s="2"/>
      <c r="K1307" t="s">
        <v>1817</v>
      </c>
    </row>
    <row r="1308" spans="1:12" ht="34" customHeight="1">
      <c r="A1308" s="2" t="s">
        <v>1229</v>
      </c>
      <c r="B1308" s="2" t="s">
        <v>1225</v>
      </c>
      <c r="C1308" s="2" t="s">
        <v>1226</v>
      </c>
      <c r="D1308" s="2" t="s">
        <v>1757</v>
      </c>
      <c r="E1308" s="6">
        <v>1</v>
      </c>
      <c r="F1308" s="7" t="s">
        <v>1758</v>
      </c>
      <c r="G1308" s="2" t="s">
        <v>29</v>
      </c>
      <c r="H1308" s="2" t="s">
        <v>1759</v>
      </c>
      <c r="I1308" s="2" t="s">
        <v>2545</v>
      </c>
      <c r="J1308" s="2" t="s">
        <v>2546</v>
      </c>
      <c r="K1308" s="2" t="s">
        <v>2547</v>
      </c>
      <c r="L1308" s="2" t="s">
        <v>45</v>
      </c>
    </row>
    <row r="1309" spans="1:12" ht="34" customHeight="1">
      <c r="A1309" s="2" t="s">
        <v>1229</v>
      </c>
      <c r="B1309" s="2" t="s">
        <v>1225</v>
      </c>
      <c r="C1309" s="2" t="s">
        <v>1226</v>
      </c>
      <c r="D1309" s="2" t="s">
        <v>254</v>
      </c>
      <c r="E1309" s="5">
        <v>0.27</v>
      </c>
      <c r="F1309" s="7" t="s">
        <v>1758</v>
      </c>
      <c r="G1309" s="2" t="s">
        <v>29</v>
      </c>
      <c r="H1309" s="2" t="s">
        <v>1759</v>
      </c>
      <c r="I1309" s="2" t="s">
        <v>2545</v>
      </c>
      <c r="J1309" s="2" t="s">
        <v>2546</v>
      </c>
      <c r="K1309" s="2" t="s">
        <v>2547</v>
      </c>
      <c r="L1309" s="2" t="s">
        <v>45</v>
      </c>
    </row>
    <row r="1310" spans="1:12" ht="34" customHeight="1">
      <c r="A1310" s="2" t="s">
        <v>1229</v>
      </c>
      <c r="B1310" s="2" t="s">
        <v>1225</v>
      </c>
      <c r="C1310" s="2" t="s">
        <v>1226</v>
      </c>
      <c r="D1310" s="2" t="s">
        <v>124</v>
      </c>
      <c r="E1310" s="4">
        <v>1.7</v>
      </c>
      <c r="F1310" s="7" t="s">
        <v>1763</v>
      </c>
      <c r="G1310" s="2" t="s">
        <v>29</v>
      </c>
      <c r="H1310" s="2" t="s">
        <v>1759</v>
      </c>
      <c r="I1310" s="2" t="s">
        <v>2545</v>
      </c>
      <c r="J1310" s="2" t="s">
        <v>2546</v>
      </c>
      <c r="K1310" s="2" t="s">
        <v>2547</v>
      </c>
      <c r="L1310" s="2" t="s">
        <v>45</v>
      </c>
    </row>
    <row r="1311" spans="1:12" ht="34" customHeight="1">
      <c r="A1311" s="2" t="s">
        <v>1229</v>
      </c>
      <c r="B1311" s="2" t="s">
        <v>1225</v>
      </c>
      <c r="C1311" s="2" t="s">
        <v>1226</v>
      </c>
      <c r="D1311" s="2" t="s">
        <v>65</v>
      </c>
      <c r="E1311" s="4">
        <v>-0.5</v>
      </c>
      <c r="F1311" s="7" t="s">
        <v>1763</v>
      </c>
      <c r="G1311" s="2" t="s">
        <v>29</v>
      </c>
      <c r="H1311" s="2" t="s">
        <v>1759</v>
      </c>
      <c r="I1311" s="2" t="s">
        <v>2545</v>
      </c>
      <c r="J1311" s="2" t="s">
        <v>2546</v>
      </c>
      <c r="K1311" s="2" t="s">
        <v>2547</v>
      </c>
      <c r="L1311" s="2" t="s">
        <v>45</v>
      </c>
    </row>
    <row r="1312" spans="1:12" ht="34" customHeight="1">
      <c r="A1312" s="2" t="s">
        <v>1229</v>
      </c>
      <c r="B1312" s="2" t="s">
        <v>1225</v>
      </c>
      <c r="C1312" s="2" t="s">
        <v>1226</v>
      </c>
      <c r="D1312" s="2" t="s">
        <v>222</v>
      </c>
      <c r="E1312" s="5">
        <v>0.75</v>
      </c>
      <c r="F1312" s="7" t="s">
        <v>1764</v>
      </c>
      <c r="G1312" s="2" t="s">
        <v>29</v>
      </c>
      <c r="H1312" s="2" t="s">
        <v>1759</v>
      </c>
      <c r="I1312" s="2" t="s">
        <v>2545</v>
      </c>
      <c r="J1312" s="2" t="s">
        <v>2546</v>
      </c>
      <c r="K1312" s="2" t="s">
        <v>2547</v>
      </c>
      <c r="L1312" s="2" t="s">
        <v>45</v>
      </c>
    </row>
    <row r="1313" spans="1:12" ht="34" customHeight="1">
      <c r="A1313" s="2" t="s">
        <v>1229</v>
      </c>
      <c r="B1313" s="2" t="s">
        <v>1225</v>
      </c>
      <c r="C1313" s="2" t="s">
        <v>1226</v>
      </c>
      <c r="D1313" s="2" t="s">
        <v>1765</v>
      </c>
      <c r="E1313" s="5" t="s">
        <v>76</v>
      </c>
      <c r="F1313" s="7" t="s">
        <v>1766</v>
      </c>
      <c r="G1313" s="2" t="s">
        <v>29</v>
      </c>
      <c r="H1313" s="2" t="s">
        <v>1759</v>
      </c>
      <c r="I1313" s="2" t="s">
        <v>1767</v>
      </c>
      <c r="J1313" s="2"/>
      <c r="K1313" t="s">
        <v>2548</v>
      </c>
    </row>
    <row r="1314" spans="1:12" ht="34" customHeight="1">
      <c r="A1314" s="2" t="s">
        <v>1236</v>
      </c>
      <c r="B1314" s="2" t="s">
        <v>1232</v>
      </c>
      <c r="C1314" s="2" t="s">
        <v>1233</v>
      </c>
      <c r="D1314" s="2" t="s">
        <v>1757</v>
      </c>
      <c r="E1314" s="6">
        <v>9</v>
      </c>
      <c r="F1314" s="7" t="s">
        <v>1758</v>
      </c>
      <c r="G1314" s="2" t="s">
        <v>29</v>
      </c>
      <c r="H1314" s="2" t="s">
        <v>1759</v>
      </c>
      <c r="I1314" s="2" t="s">
        <v>2549</v>
      </c>
      <c r="J1314" s="2" t="s">
        <v>2550</v>
      </c>
      <c r="K1314" s="2" t="s">
        <v>2551</v>
      </c>
      <c r="L1314" s="2" t="s">
        <v>35</v>
      </c>
    </row>
    <row r="1315" spans="1:12" ht="34" customHeight="1">
      <c r="A1315" s="2" t="s">
        <v>1236</v>
      </c>
      <c r="B1315" s="2" t="s">
        <v>1232</v>
      </c>
      <c r="C1315" s="2" t="s">
        <v>1233</v>
      </c>
      <c r="D1315" s="2" t="s">
        <v>254</v>
      </c>
      <c r="E1315" s="4">
        <v>2.9</v>
      </c>
      <c r="F1315" s="7" t="s">
        <v>1758</v>
      </c>
      <c r="G1315" s="2" t="s">
        <v>29</v>
      </c>
      <c r="H1315" s="2" t="s">
        <v>1759</v>
      </c>
      <c r="I1315" s="2" t="s">
        <v>2549</v>
      </c>
      <c r="J1315" s="2" t="s">
        <v>2550</v>
      </c>
      <c r="K1315" s="2" t="s">
        <v>2551</v>
      </c>
      <c r="L1315" s="2" t="s">
        <v>35</v>
      </c>
    </row>
    <row r="1316" spans="1:12" ht="37" customHeight="1">
      <c r="A1316" s="2" t="s">
        <v>1236</v>
      </c>
      <c r="B1316" s="2" t="s">
        <v>1232</v>
      </c>
      <c r="C1316" s="2" t="s">
        <v>1233</v>
      </c>
      <c r="D1316" s="2" t="s">
        <v>124</v>
      </c>
      <c r="E1316" s="5">
        <v>1.65</v>
      </c>
      <c r="F1316" s="7" t="s">
        <v>1763</v>
      </c>
      <c r="G1316" s="2" t="s">
        <v>29</v>
      </c>
      <c r="H1316" s="2" t="s">
        <v>1759</v>
      </c>
      <c r="I1316" s="2" t="s">
        <v>2549</v>
      </c>
      <c r="J1316" s="2" t="s">
        <v>2550</v>
      </c>
      <c r="K1316" s="2" t="s">
        <v>2551</v>
      </c>
      <c r="L1316" s="2" t="s">
        <v>35</v>
      </c>
    </row>
    <row r="1317" spans="1:12" ht="37" customHeight="1">
      <c r="A1317" s="2" t="s">
        <v>1236</v>
      </c>
      <c r="B1317" s="2" t="s">
        <v>1232</v>
      </c>
      <c r="C1317" s="2" t="s">
        <v>1233</v>
      </c>
      <c r="D1317" s="2" t="s">
        <v>65</v>
      </c>
      <c r="E1317" s="5">
        <v>0.33</v>
      </c>
      <c r="F1317" s="7" t="s">
        <v>1763</v>
      </c>
      <c r="G1317" s="2" t="s">
        <v>29</v>
      </c>
      <c r="H1317" s="2" t="s">
        <v>1759</v>
      </c>
      <c r="I1317" s="2" t="s">
        <v>2549</v>
      </c>
      <c r="J1317" s="2" t="s">
        <v>2550</v>
      </c>
      <c r="K1317" s="2" t="s">
        <v>2551</v>
      </c>
      <c r="L1317" s="2" t="s">
        <v>35</v>
      </c>
    </row>
    <row r="1318" spans="1:12" ht="37" customHeight="1">
      <c r="A1318" s="2" t="s">
        <v>1236</v>
      </c>
      <c r="B1318" s="2" t="s">
        <v>1232</v>
      </c>
      <c r="C1318" s="2" t="s">
        <v>1233</v>
      </c>
      <c r="D1318" s="2" t="s">
        <v>222</v>
      </c>
      <c r="E1318" s="5">
        <v>17.75</v>
      </c>
      <c r="F1318" s="7" t="s">
        <v>1764</v>
      </c>
      <c r="G1318" s="2" t="s">
        <v>29</v>
      </c>
      <c r="H1318" s="2" t="s">
        <v>1759</v>
      </c>
      <c r="I1318" s="2" t="s">
        <v>2549</v>
      </c>
      <c r="J1318" s="2" t="s">
        <v>2550</v>
      </c>
      <c r="K1318" s="2" t="s">
        <v>2551</v>
      </c>
      <c r="L1318" s="2" t="s">
        <v>35</v>
      </c>
    </row>
    <row r="1319" spans="1:12" ht="37" customHeight="1">
      <c r="A1319" s="2" t="s">
        <v>1236</v>
      </c>
      <c r="B1319" s="2" t="s">
        <v>1232</v>
      </c>
      <c r="C1319" s="2" t="s">
        <v>1233</v>
      </c>
      <c r="D1319" s="2" t="s">
        <v>1765</v>
      </c>
      <c r="E1319" s="5" t="s">
        <v>979</v>
      </c>
      <c r="F1319" s="7" t="s">
        <v>1766</v>
      </c>
      <c r="G1319" s="2" t="s">
        <v>29</v>
      </c>
      <c r="H1319" s="2" t="s">
        <v>1759</v>
      </c>
      <c r="I1319" s="2" t="s">
        <v>1767</v>
      </c>
      <c r="J1319" s="2"/>
      <c r="K1319" t="s">
        <v>2552</v>
      </c>
    </row>
    <row r="1320" spans="1:12" ht="37" customHeight="1">
      <c r="A1320" s="2" t="s">
        <v>1243</v>
      </c>
      <c r="B1320" s="2" t="s">
        <v>1232</v>
      </c>
      <c r="C1320" s="2" t="s">
        <v>1238</v>
      </c>
      <c r="D1320" s="2" t="s">
        <v>1757</v>
      </c>
      <c r="E1320" s="5">
        <v>5.18</v>
      </c>
      <c r="F1320" s="7" t="s">
        <v>1758</v>
      </c>
      <c r="G1320" s="2" t="s">
        <v>1240</v>
      </c>
      <c r="H1320" s="2" t="s">
        <v>1759</v>
      </c>
      <c r="I1320" s="2" t="s">
        <v>2553</v>
      </c>
      <c r="J1320" s="2" t="s">
        <v>2554</v>
      </c>
      <c r="K1320" s="2" t="s">
        <v>2555</v>
      </c>
      <c r="L1320" s="2" t="s">
        <v>45</v>
      </c>
    </row>
    <row r="1321" spans="1:12" ht="34" customHeight="1">
      <c r="A1321" s="2" t="s">
        <v>1243</v>
      </c>
      <c r="B1321" s="2" t="s">
        <v>1232</v>
      </c>
      <c r="C1321" s="2" t="s">
        <v>1238</v>
      </c>
      <c r="D1321" s="2" t="s">
        <v>254</v>
      </c>
      <c r="E1321" s="5">
        <v>1.35</v>
      </c>
      <c r="F1321" s="7" t="s">
        <v>1758</v>
      </c>
      <c r="G1321" s="2" t="s">
        <v>1240</v>
      </c>
      <c r="H1321" s="2" t="s">
        <v>1759</v>
      </c>
      <c r="I1321" s="2" t="s">
        <v>2553</v>
      </c>
      <c r="J1321" s="2" t="s">
        <v>2554</v>
      </c>
      <c r="K1321" s="2" t="s">
        <v>2555</v>
      </c>
      <c r="L1321" s="2" t="s">
        <v>45</v>
      </c>
    </row>
    <row r="1322" spans="1:12" ht="34" customHeight="1">
      <c r="A1322" s="2" t="s">
        <v>1243</v>
      </c>
      <c r="B1322" s="2" t="s">
        <v>1232</v>
      </c>
      <c r="C1322" s="2" t="s">
        <v>1238</v>
      </c>
      <c r="D1322" s="2" t="s">
        <v>124</v>
      </c>
      <c r="E1322" s="5">
        <v>2.1800000000000002</v>
      </c>
      <c r="F1322" s="7" t="s">
        <v>1763</v>
      </c>
      <c r="G1322" s="2" t="s">
        <v>1240</v>
      </c>
      <c r="H1322" s="2" t="s">
        <v>1759</v>
      </c>
      <c r="I1322" s="2" t="s">
        <v>2553</v>
      </c>
      <c r="J1322" s="2" t="s">
        <v>2554</v>
      </c>
      <c r="K1322" s="2" t="s">
        <v>2555</v>
      </c>
      <c r="L1322" s="2" t="s">
        <v>45</v>
      </c>
    </row>
    <row r="1323" spans="1:12" ht="34" customHeight="1">
      <c r="A1323" s="2" t="s">
        <v>1243</v>
      </c>
      <c r="B1323" s="2" t="s">
        <v>1232</v>
      </c>
      <c r="C1323" s="2" t="s">
        <v>1238</v>
      </c>
      <c r="D1323" s="2" t="s">
        <v>65</v>
      </c>
      <c r="E1323" s="5">
        <v>0.65</v>
      </c>
      <c r="F1323" s="7" t="s">
        <v>1763</v>
      </c>
      <c r="G1323" s="2" t="s">
        <v>1240</v>
      </c>
      <c r="H1323" s="2" t="s">
        <v>1759</v>
      </c>
      <c r="I1323" s="2" t="s">
        <v>2553</v>
      </c>
      <c r="J1323" s="2" t="s">
        <v>2554</v>
      </c>
      <c r="K1323" s="2" t="s">
        <v>2555</v>
      </c>
      <c r="L1323" s="2" t="s">
        <v>45</v>
      </c>
    </row>
    <row r="1324" spans="1:12" ht="34" customHeight="1">
      <c r="A1324" s="2" t="s">
        <v>1243</v>
      </c>
      <c r="B1324" s="2" t="s">
        <v>1232</v>
      </c>
      <c r="C1324" s="2" t="s">
        <v>1238</v>
      </c>
      <c r="D1324" s="2" t="s">
        <v>222</v>
      </c>
      <c r="E1324" s="4">
        <v>10.8</v>
      </c>
      <c r="F1324" s="7" t="s">
        <v>1764</v>
      </c>
      <c r="G1324" s="2" t="s">
        <v>1240</v>
      </c>
      <c r="H1324" s="2" t="s">
        <v>1759</v>
      </c>
      <c r="I1324" s="2" t="s">
        <v>2553</v>
      </c>
      <c r="J1324" s="2" t="s">
        <v>2554</v>
      </c>
      <c r="K1324" s="2" t="s">
        <v>2555</v>
      </c>
      <c r="L1324" s="2" t="s">
        <v>45</v>
      </c>
    </row>
    <row r="1325" spans="1:12" ht="34" customHeight="1">
      <c r="A1325" s="2" t="s">
        <v>1243</v>
      </c>
      <c r="B1325" s="2" t="s">
        <v>1232</v>
      </c>
      <c r="C1325" s="2" t="s">
        <v>1238</v>
      </c>
      <c r="D1325" s="2" t="s">
        <v>1765</v>
      </c>
      <c r="E1325" s="4" t="s">
        <v>1239</v>
      </c>
      <c r="F1325" s="7" t="s">
        <v>1766</v>
      </c>
      <c r="G1325" s="2" t="s">
        <v>1240</v>
      </c>
      <c r="H1325" s="2" t="s">
        <v>1759</v>
      </c>
      <c r="I1325" s="2" t="s">
        <v>1767</v>
      </c>
      <c r="J1325" s="2"/>
      <c r="K1325" t="s">
        <v>2556</v>
      </c>
    </row>
    <row r="1326" spans="1:12" ht="37" customHeight="1">
      <c r="A1326" s="2" t="s">
        <v>1250</v>
      </c>
      <c r="B1326" s="2" t="s">
        <v>1232</v>
      </c>
      <c r="C1326" s="2" t="s">
        <v>1246</v>
      </c>
      <c r="D1326" s="2" t="s">
        <v>1757</v>
      </c>
      <c r="E1326" s="5">
        <v>9.5500000000000007</v>
      </c>
      <c r="F1326" s="7" t="s">
        <v>1758</v>
      </c>
      <c r="G1326" s="2" t="s">
        <v>920</v>
      </c>
      <c r="H1326" s="2" t="s">
        <v>1759</v>
      </c>
      <c r="I1326" s="2" t="s">
        <v>2557</v>
      </c>
      <c r="J1326" s="2" t="s">
        <v>2558</v>
      </c>
      <c r="K1326" s="2" t="s">
        <v>2559</v>
      </c>
      <c r="L1326" s="2" t="s">
        <v>45</v>
      </c>
    </row>
    <row r="1327" spans="1:12" ht="37" customHeight="1">
      <c r="A1327" s="2" t="s">
        <v>1250</v>
      </c>
      <c r="B1327" s="2" t="s">
        <v>1232</v>
      </c>
      <c r="C1327" s="2" t="s">
        <v>1246</v>
      </c>
      <c r="D1327" s="2" t="s">
        <v>254</v>
      </c>
      <c r="E1327" s="17">
        <v>3.18</v>
      </c>
      <c r="F1327" s="20" t="s">
        <v>1758</v>
      </c>
      <c r="G1327" s="21" t="s">
        <v>920</v>
      </c>
      <c r="H1327" s="21" t="s">
        <v>1779</v>
      </c>
      <c r="I1327" s="2" t="s">
        <v>2560</v>
      </c>
      <c r="J1327" s="2" t="s">
        <v>2558</v>
      </c>
      <c r="K1327" s="2" t="s">
        <v>2561</v>
      </c>
      <c r="L1327" s="2" t="s">
        <v>45</v>
      </c>
    </row>
    <row r="1328" spans="1:12" ht="34" customHeight="1">
      <c r="A1328" s="2" t="s">
        <v>1250</v>
      </c>
      <c r="B1328" s="2" t="s">
        <v>1232</v>
      </c>
      <c r="C1328" s="2" t="s">
        <v>1246</v>
      </c>
      <c r="D1328" s="2" t="s">
        <v>124</v>
      </c>
      <c r="E1328" s="4">
        <v>1.7</v>
      </c>
      <c r="F1328" s="7" t="s">
        <v>1763</v>
      </c>
      <c r="G1328" s="2" t="s">
        <v>920</v>
      </c>
      <c r="H1328" s="2" t="s">
        <v>1759</v>
      </c>
      <c r="I1328" s="2" t="s">
        <v>2562</v>
      </c>
      <c r="J1328" s="2" t="s">
        <v>2558</v>
      </c>
      <c r="K1328" s="2" t="s">
        <v>2559</v>
      </c>
      <c r="L1328" s="2" t="s">
        <v>45</v>
      </c>
    </row>
    <row r="1329" spans="1:12" ht="34" customHeight="1">
      <c r="A1329" s="2" t="s">
        <v>1250</v>
      </c>
      <c r="B1329" s="2" t="s">
        <v>1232</v>
      </c>
      <c r="C1329" s="2" t="s">
        <v>1246</v>
      </c>
      <c r="D1329" s="2" t="s">
        <v>65</v>
      </c>
      <c r="E1329" s="5">
        <v>0.25</v>
      </c>
      <c r="F1329" s="7" t="s">
        <v>1763</v>
      </c>
      <c r="G1329" s="2" t="s">
        <v>920</v>
      </c>
      <c r="H1329" s="2" t="s">
        <v>1759</v>
      </c>
      <c r="I1329" s="2" t="s">
        <v>2562</v>
      </c>
      <c r="J1329" s="2" t="s">
        <v>2558</v>
      </c>
      <c r="K1329" s="2" t="s">
        <v>2559</v>
      </c>
      <c r="L1329" s="2" t="s">
        <v>45</v>
      </c>
    </row>
    <row r="1330" spans="1:12" ht="37" customHeight="1">
      <c r="A1330" s="2" t="s">
        <v>1250</v>
      </c>
      <c r="B1330" s="2" t="s">
        <v>1232</v>
      </c>
      <c r="C1330" s="2" t="s">
        <v>1246</v>
      </c>
      <c r="D1330" s="2" t="s">
        <v>222</v>
      </c>
      <c r="E1330" s="4">
        <v>30.5</v>
      </c>
      <c r="F1330" s="7" t="s">
        <v>1764</v>
      </c>
      <c r="G1330" s="2" t="s">
        <v>920</v>
      </c>
      <c r="H1330" s="2" t="s">
        <v>1759</v>
      </c>
      <c r="I1330" s="2" t="s">
        <v>2557</v>
      </c>
      <c r="J1330" s="2" t="s">
        <v>2558</v>
      </c>
      <c r="K1330" s="2" t="s">
        <v>2559</v>
      </c>
      <c r="L1330" s="2" t="s">
        <v>45</v>
      </c>
    </row>
    <row r="1331" spans="1:12" ht="34" customHeight="1">
      <c r="A1331" s="2" t="s">
        <v>1250</v>
      </c>
      <c r="B1331" s="2" t="s">
        <v>1232</v>
      </c>
      <c r="C1331" s="2" t="s">
        <v>1246</v>
      </c>
      <c r="D1331" s="2" t="s">
        <v>1765</v>
      </c>
      <c r="E1331" s="4" t="s">
        <v>1247</v>
      </c>
      <c r="F1331" s="7" t="s">
        <v>1766</v>
      </c>
      <c r="G1331" s="2" t="s">
        <v>920</v>
      </c>
      <c r="H1331" s="2" t="s">
        <v>1759</v>
      </c>
      <c r="I1331" s="2" t="s">
        <v>1767</v>
      </c>
      <c r="J1331" s="2"/>
      <c r="K1331" t="s">
        <v>2563</v>
      </c>
    </row>
    <row r="1332" spans="1:12" ht="34" customHeight="1">
      <c r="A1332" s="2" t="s">
        <v>1256</v>
      </c>
      <c r="B1332" s="2" t="s">
        <v>1232</v>
      </c>
      <c r="C1332" s="2" t="s">
        <v>1254</v>
      </c>
      <c r="D1332" s="2" t="s">
        <v>1757</v>
      </c>
      <c r="E1332" s="4">
        <v>8.6</v>
      </c>
      <c r="F1332" s="7" t="s">
        <v>1758</v>
      </c>
      <c r="G1332" s="2" t="s">
        <v>920</v>
      </c>
      <c r="H1332" s="2" t="s">
        <v>1759</v>
      </c>
      <c r="I1332" s="2" t="s">
        <v>2557</v>
      </c>
      <c r="J1332" s="2" t="s">
        <v>2558</v>
      </c>
      <c r="K1332" s="2" t="s">
        <v>2559</v>
      </c>
      <c r="L1332" s="2" t="s">
        <v>45</v>
      </c>
    </row>
    <row r="1333" spans="1:12" ht="34" customHeight="1">
      <c r="A1333" s="2" t="s">
        <v>1256</v>
      </c>
      <c r="B1333" s="2" t="s">
        <v>1232</v>
      </c>
      <c r="C1333" s="2" t="s">
        <v>1254</v>
      </c>
      <c r="D1333" s="2" t="s">
        <v>254</v>
      </c>
      <c r="E1333" s="17">
        <v>2.87</v>
      </c>
      <c r="F1333" s="20" t="s">
        <v>1758</v>
      </c>
      <c r="G1333" s="21" t="s">
        <v>920</v>
      </c>
      <c r="H1333" s="21" t="s">
        <v>1779</v>
      </c>
      <c r="I1333" s="2" t="s">
        <v>2560</v>
      </c>
      <c r="J1333" s="2" t="s">
        <v>2558</v>
      </c>
      <c r="K1333" s="2" t="s">
        <v>2564</v>
      </c>
      <c r="L1333" s="2" t="s">
        <v>45</v>
      </c>
    </row>
    <row r="1334" spans="1:12" ht="34" customHeight="1">
      <c r="A1334" s="2" t="s">
        <v>1256</v>
      </c>
      <c r="B1334" s="2" t="s">
        <v>1232</v>
      </c>
      <c r="C1334" s="2" t="s">
        <v>1254</v>
      </c>
      <c r="D1334" s="2" t="s">
        <v>124</v>
      </c>
      <c r="E1334" s="4">
        <v>1.7</v>
      </c>
      <c r="F1334" s="7" t="s">
        <v>1763</v>
      </c>
      <c r="G1334" s="2" t="s">
        <v>920</v>
      </c>
      <c r="H1334" s="2" t="s">
        <v>1759</v>
      </c>
      <c r="I1334" s="2" t="s">
        <v>2562</v>
      </c>
      <c r="J1334" s="2" t="s">
        <v>2558</v>
      </c>
      <c r="K1334" s="2" t="s">
        <v>2559</v>
      </c>
      <c r="L1334" s="2" t="s">
        <v>45</v>
      </c>
    </row>
    <row r="1335" spans="1:12" ht="34" customHeight="1">
      <c r="A1335" s="2" t="s">
        <v>1256</v>
      </c>
      <c r="B1335" s="2" t="s">
        <v>1232</v>
      </c>
      <c r="C1335" s="2" t="s">
        <v>1254</v>
      </c>
      <c r="D1335" s="2" t="s">
        <v>65</v>
      </c>
      <c r="E1335" s="5">
        <v>0.25</v>
      </c>
      <c r="F1335" s="7" t="s">
        <v>1763</v>
      </c>
      <c r="G1335" s="2" t="s">
        <v>920</v>
      </c>
      <c r="H1335" s="2" t="s">
        <v>1759</v>
      </c>
      <c r="I1335" s="2" t="s">
        <v>2562</v>
      </c>
      <c r="J1335" s="2" t="s">
        <v>2558</v>
      </c>
      <c r="K1335" s="2" t="s">
        <v>2559</v>
      </c>
      <c r="L1335" s="2" t="s">
        <v>45</v>
      </c>
    </row>
    <row r="1336" spans="1:12" ht="34" customHeight="1">
      <c r="A1336" s="2" t="s">
        <v>1256</v>
      </c>
      <c r="B1336" s="2" t="s">
        <v>1232</v>
      </c>
      <c r="C1336" s="2" t="s">
        <v>1254</v>
      </c>
      <c r="D1336" s="2" t="s">
        <v>222</v>
      </c>
      <c r="E1336" s="6">
        <v>28</v>
      </c>
      <c r="F1336" s="7" t="s">
        <v>1764</v>
      </c>
      <c r="G1336" s="2" t="s">
        <v>920</v>
      </c>
      <c r="H1336" s="2" t="s">
        <v>1759</v>
      </c>
      <c r="I1336" s="2" t="s">
        <v>2557</v>
      </c>
      <c r="J1336" s="2" t="s">
        <v>2558</v>
      </c>
      <c r="K1336" s="2" t="s">
        <v>2559</v>
      </c>
      <c r="L1336" s="2" t="s">
        <v>45</v>
      </c>
    </row>
    <row r="1337" spans="1:12" ht="34" customHeight="1">
      <c r="A1337" s="2" t="s">
        <v>1256</v>
      </c>
      <c r="B1337" s="2" t="s">
        <v>1232</v>
      </c>
      <c r="C1337" s="2" t="s">
        <v>1254</v>
      </c>
      <c r="D1337" s="2" t="s">
        <v>1765</v>
      </c>
      <c r="E1337" s="6" t="s">
        <v>1255</v>
      </c>
      <c r="F1337" s="7" t="s">
        <v>1766</v>
      </c>
      <c r="G1337" s="2" t="s">
        <v>920</v>
      </c>
      <c r="H1337" s="2" t="s">
        <v>1759</v>
      </c>
      <c r="I1337" s="2" t="s">
        <v>1767</v>
      </c>
      <c r="J1337" s="2"/>
      <c r="K1337" t="s">
        <v>2565</v>
      </c>
    </row>
    <row r="1338" spans="1:12" ht="34" customHeight="1">
      <c r="A1338" s="2" t="s">
        <v>1260</v>
      </c>
      <c r="B1338" s="2" t="s">
        <v>1232</v>
      </c>
      <c r="C1338" s="2" t="s">
        <v>1258</v>
      </c>
      <c r="D1338" s="2" t="s">
        <v>1757</v>
      </c>
      <c r="E1338" s="4">
        <v>7.5</v>
      </c>
      <c r="F1338" s="7" t="s">
        <v>1758</v>
      </c>
      <c r="G1338" s="2" t="s">
        <v>920</v>
      </c>
      <c r="H1338" s="2" t="s">
        <v>1759</v>
      </c>
      <c r="I1338" s="2" t="s">
        <v>2557</v>
      </c>
      <c r="J1338" s="2" t="s">
        <v>2558</v>
      </c>
      <c r="K1338" s="2" t="s">
        <v>2559</v>
      </c>
      <c r="L1338" s="2" t="s">
        <v>45</v>
      </c>
    </row>
    <row r="1339" spans="1:12" ht="34" customHeight="1">
      <c r="A1339" s="2" t="s">
        <v>1260</v>
      </c>
      <c r="B1339" s="2" t="s">
        <v>1232</v>
      </c>
      <c r="C1339" s="2" t="s">
        <v>1258</v>
      </c>
      <c r="D1339" s="2" t="s">
        <v>254</v>
      </c>
      <c r="E1339" s="13">
        <v>2.5</v>
      </c>
      <c r="F1339" s="20" t="s">
        <v>1758</v>
      </c>
      <c r="G1339" s="21" t="s">
        <v>920</v>
      </c>
      <c r="H1339" s="21" t="s">
        <v>1779</v>
      </c>
      <c r="I1339" s="2" t="s">
        <v>2560</v>
      </c>
      <c r="J1339" s="2" t="s">
        <v>2558</v>
      </c>
      <c r="K1339" s="2" t="s">
        <v>2566</v>
      </c>
      <c r="L1339" s="2" t="s">
        <v>45</v>
      </c>
    </row>
    <row r="1340" spans="1:12" ht="34" customHeight="1">
      <c r="A1340" s="2" t="s">
        <v>1260</v>
      </c>
      <c r="B1340" s="2" t="s">
        <v>1232</v>
      </c>
      <c r="C1340" s="2" t="s">
        <v>1258</v>
      </c>
      <c r="D1340" s="2" t="s">
        <v>124</v>
      </c>
      <c r="E1340" s="4">
        <v>1.9</v>
      </c>
      <c r="F1340" s="7" t="s">
        <v>1763</v>
      </c>
      <c r="G1340" s="2" t="s">
        <v>920</v>
      </c>
      <c r="H1340" s="2" t="s">
        <v>1759</v>
      </c>
      <c r="I1340" s="2" t="s">
        <v>2562</v>
      </c>
      <c r="J1340" s="2" t="s">
        <v>2558</v>
      </c>
      <c r="K1340" s="2" t="s">
        <v>2559</v>
      </c>
      <c r="L1340" s="2" t="s">
        <v>45</v>
      </c>
    </row>
    <row r="1341" spans="1:12" ht="37" customHeight="1">
      <c r="A1341" s="2" t="s">
        <v>1260</v>
      </c>
      <c r="B1341" s="2" t="s">
        <v>1232</v>
      </c>
      <c r="C1341" s="2" t="s">
        <v>1258</v>
      </c>
      <c r="D1341" s="2" t="s">
        <v>65</v>
      </c>
      <c r="E1341" s="5">
        <v>0.47</v>
      </c>
      <c r="F1341" s="7" t="s">
        <v>1763</v>
      </c>
      <c r="G1341" s="2" t="s">
        <v>920</v>
      </c>
      <c r="H1341" s="2" t="s">
        <v>1759</v>
      </c>
      <c r="I1341" s="2" t="s">
        <v>2562</v>
      </c>
      <c r="J1341" s="2" t="s">
        <v>2558</v>
      </c>
      <c r="K1341" s="2" t="s">
        <v>2559</v>
      </c>
      <c r="L1341" s="2" t="s">
        <v>45</v>
      </c>
    </row>
    <row r="1342" spans="1:12" ht="37" customHeight="1">
      <c r="A1342" s="2" t="s">
        <v>1260</v>
      </c>
      <c r="B1342" s="2" t="s">
        <v>1232</v>
      </c>
      <c r="C1342" s="2" t="s">
        <v>1258</v>
      </c>
      <c r="D1342" s="2" t="s">
        <v>222</v>
      </c>
      <c r="E1342" s="4">
        <v>20.100000000000001</v>
      </c>
      <c r="F1342" s="7" t="s">
        <v>1764</v>
      </c>
      <c r="G1342" s="2" t="s">
        <v>920</v>
      </c>
      <c r="H1342" s="2" t="s">
        <v>1759</v>
      </c>
      <c r="I1342" s="2" t="s">
        <v>2557</v>
      </c>
      <c r="J1342" s="2" t="s">
        <v>2558</v>
      </c>
      <c r="K1342" s="2" t="s">
        <v>2559</v>
      </c>
      <c r="L1342" s="2" t="s">
        <v>45</v>
      </c>
    </row>
    <row r="1343" spans="1:12" ht="37" customHeight="1">
      <c r="A1343" s="2" t="s">
        <v>1260</v>
      </c>
      <c r="B1343" s="2" t="s">
        <v>1232</v>
      </c>
      <c r="C1343" s="2" t="s">
        <v>1258</v>
      </c>
      <c r="D1343" s="2" t="s">
        <v>1765</v>
      </c>
      <c r="E1343" s="4" t="s">
        <v>1259</v>
      </c>
      <c r="F1343" s="7" t="s">
        <v>1766</v>
      </c>
      <c r="G1343" s="2" t="s">
        <v>920</v>
      </c>
      <c r="H1343" s="2" t="s">
        <v>1759</v>
      </c>
      <c r="I1343" s="2" t="s">
        <v>1767</v>
      </c>
      <c r="J1343" s="2"/>
      <c r="K1343" t="s">
        <v>2567</v>
      </c>
    </row>
    <row r="1344" spans="1:12" ht="37" customHeight="1">
      <c r="A1344" s="2" t="s">
        <v>1264</v>
      </c>
      <c r="B1344" s="2" t="s">
        <v>1232</v>
      </c>
      <c r="C1344" s="2" t="s">
        <v>1262</v>
      </c>
      <c r="D1344" s="2" t="s">
        <v>1757</v>
      </c>
      <c r="E1344" s="4">
        <v>6.1</v>
      </c>
      <c r="F1344" s="7" t="s">
        <v>1758</v>
      </c>
      <c r="G1344" s="2" t="s">
        <v>920</v>
      </c>
      <c r="H1344" s="2" t="s">
        <v>1759</v>
      </c>
      <c r="I1344" s="2" t="s">
        <v>2557</v>
      </c>
      <c r="J1344" s="2" t="s">
        <v>2558</v>
      </c>
      <c r="K1344" s="2" t="s">
        <v>2559</v>
      </c>
      <c r="L1344" s="2" t="s">
        <v>45</v>
      </c>
    </row>
    <row r="1345" spans="1:12" ht="37" customHeight="1">
      <c r="A1345" s="2" t="s">
        <v>1264</v>
      </c>
      <c r="B1345" s="2" t="s">
        <v>1232</v>
      </c>
      <c r="C1345" s="2" t="s">
        <v>1262</v>
      </c>
      <c r="D1345" s="2" t="s">
        <v>254</v>
      </c>
      <c r="E1345" s="17">
        <v>2.0299999999999998</v>
      </c>
      <c r="F1345" s="20" t="s">
        <v>1758</v>
      </c>
      <c r="G1345" s="21" t="s">
        <v>920</v>
      </c>
      <c r="H1345" s="21" t="s">
        <v>1779</v>
      </c>
      <c r="I1345" s="2" t="s">
        <v>2560</v>
      </c>
      <c r="J1345" s="2" t="s">
        <v>2558</v>
      </c>
      <c r="K1345" s="2" t="s">
        <v>2568</v>
      </c>
      <c r="L1345" s="2" t="s">
        <v>45</v>
      </c>
    </row>
    <row r="1346" spans="1:12" ht="34" customHeight="1">
      <c r="A1346" s="2" t="s">
        <v>1264</v>
      </c>
      <c r="B1346" s="2" t="s">
        <v>1232</v>
      </c>
      <c r="C1346" s="2" t="s">
        <v>1262</v>
      </c>
      <c r="D1346" s="2" t="s">
        <v>124</v>
      </c>
      <c r="E1346" s="4">
        <v>1.9</v>
      </c>
      <c r="F1346" s="7" t="s">
        <v>1763</v>
      </c>
      <c r="G1346" s="2" t="s">
        <v>920</v>
      </c>
      <c r="H1346" s="2" t="s">
        <v>1759</v>
      </c>
      <c r="I1346" s="2" t="s">
        <v>2562</v>
      </c>
      <c r="J1346" s="2" t="s">
        <v>2558</v>
      </c>
      <c r="K1346" s="2" t="s">
        <v>2559</v>
      </c>
      <c r="L1346" s="2" t="s">
        <v>45</v>
      </c>
    </row>
    <row r="1347" spans="1:12" ht="34" customHeight="1">
      <c r="A1347" s="2" t="s">
        <v>1264</v>
      </c>
      <c r="B1347" s="2" t="s">
        <v>1232</v>
      </c>
      <c r="C1347" s="2" t="s">
        <v>1262</v>
      </c>
      <c r="D1347" s="2" t="s">
        <v>65</v>
      </c>
      <c r="E1347" s="5">
        <v>0.47</v>
      </c>
      <c r="F1347" s="7" t="s">
        <v>1763</v>
      </c>
      <c r="G1347" s="2" t="s">
        <v>920</v>
      </c>
      <c r="H1347" s="2" t="s">
        <v>1759</v>
      </c>
      <c r="I1347" s="2" t="s">
        <v>2562</v>
      </c>
      <c r="J1347" s="2" t="s">
        <v>2558</v>
      </c>
      <c r="K1347" s="2" t="s">
        <v>2559</v>
      </c>
      <c r="L1347" s="2" t="s">
        <v>45</v>
      </c>
    </row>
    <row r="1348" spans="1:12" ht="34" customHeight="1">
      <c r="A1348" s="2" t="s">
        <v>1264</v>
      </c>
      <c r="B1348" s="2" t="s">
        <v>1232</v>
      </c>
      <c r="C1348" s="2" t="s">
        <v>1262</v>
      </c>
      <c r="D1348" s="2" t="s">
        <v>222</v>
      </c>
      <c r="E1348" s="4">
        <v>14.1</v>
      </c>
      <c r="F1348" s="7" t="s">
        <v>1764</v>
      </c>
      <c r="G1348" s="2" t="s">
        <v>920</v>
      </c>
      <c r="H1348" s="2" t="s">
        <v>1759</v>
      </c>
      <c r="I1348" s="2" t="s">
        <v>2557</v>
      </c>
      <c r="J1348" s="2" t="s">
        <v>2558</v>
      </c>
      <c r="K1348" s="2" t="s">
        <v>2559</v>
      </c>
      <c r="L1348" s="2" t="s">
        <v>45</v>
      </c>
    </row>
    <row r="1349" spans="1:12" ht="34" customHeight="1">
      <c r="A1349" s="2" t="s">
        <v>1264</v>
      </c>
      <c r="B1349" s="2" t="s">
        <v>1232</v>
      </c>
      <c r="C1349" s="2" t="s">
        <v>1262</v>
      </c>
      <c r="D1349" s="2" t="s">
        <v>1765</v>
      </c>
      <c r="E1349" s="4" t="s">
        <v>1263</v>
      </c>
      <c r="F1349" s="7" t="s">
        <v>1766</v>
      </c>
      <c r="G1349" s="2" t="s">
        <v>920</v>
      </c>
      <c r="H1349" s="2" t="s">
        <v>1759</v>
      </c>
      <c r="I1349" s="2" t="s">
        <v>1767</v>
      </c>
      <c r="J1349" s="2"/>
      <c r="K1349" t="s">
        <v>2569</v>
      </c>
    </row>
    <row r="1350" spans="1:12" ht="34" customHeight="1">
      <c r="A1350" s="2" t="s">
        <v>1270</v>
      </c>
      <c r="B1350" s="2" t="s">
        <v>1266</v>
      </c>
      <c r="C1350" s="2" t="s">
        <v>1267</v>
      </c>
      <c r="D1350" s="2" t="s">
        <v>1757</v>
      </c>
      <c r="E1350" s="8">
        <v>8.4000000000000005E-2</v>
      </c>
      <c r="F1350" s="7" t="s">
        <v>1758</v>
      </c>
      <c r="G1350" s="2" t="s">
        <v>1268</v>
      </c>
      <c r="H1350" s="2" t="s">
        <v>1759</v>
      </c>
      <c r="I1350" s="2" t="s">
        <v>2150</v>
      </c>
      <c r="J1350" s="2" t="s">
        <v>1777</v>
      </c>
      <c r="K1350" s="2" t="s">
        <v>2570</v>
      </c>
      <c r="L1350" s="2" t="s">
        <v>45</v>
      </c>
    </row>
    <row r="1351" spans="1:12" ht="34" customHeight="1">
      <c r="A1351" s="2" t="s">
        <v>1270</v>
      </c>
      <c r="B1351" s="2" t="s">
        <v>1266</v>
      </c>
      <c r="C1351" s="2" t="s">
        <v>1267</v>
      </c>
      <c r="D1351" s="2" t="s">
        <v>254</v>
      </c>
      <c r="E1351" s="8">
        <v>5.6000000000000001E-2</v>
      </c>
      <c r="F1351" s="7" t="s">
        <v>1758</v>
      </c>
      <c r="G1351" s="2" t="s">
        <v>1268</v>
      </c>
      <c r="H1351" s="2" t="s">
        <v>1759</v>
      </c>
      <c r="I1351" s="2" t="s">
        <v>2150</v>
      </c>
      <c r="J1351" s="2" t="s">
        <v>1777</v>
      </c>
      <c r="K1351" s="2" t="s">
        <v>2570</v>
      </c>
      <c r="L1351" s="2" t="s">
        <v>45</v>
      </c>
    </row>
    <row r="1352" spans="1:12" ht="34" customHeight="1">
      <c r="A1352" s="2" t="s">
        <v>1270</v>
      </c>
      <c r="B1352" s="2" t="s">
        <v>1266</v>
      </c>
      <c r="C1352" s="2" t="s">
        <v>1267</v>
      </c>
      <c r="D1352" s="2" t="s">
        <v>124</v>
      </c>
      <c r="E1352" s="6">
        <v>4</v>
      </c>
      <c r="F1352" s="7" t="s">
        <v>1763</v>
      </c>
      <c r="G1352" s="2" t="s">
        <v>1268</v>
      </c>
      <c r="H1352" s="2" t="s">
        <v>1759</v>
      </c>
      <c r="I1352" s="2" t="s">
        <v>2150</v>
      </c>
      <c r="J1352" s="2" t="s">
        <v>1777</v>
      </c>
      <c r="K1352" s="2" t="s">
        <v>2570</v>
      </c>
      <c r="L1352" s="2" t="s">
        <v>45</v>
      </c>
    </row>
    <row r="1353" spans="1:12" ht="34" customHeight="1">
      <c r="A1353" s="2" t="s">
        <v>1270</v>
      </c>
      <c r="B1353" s="2" t="s">
        <v>1266</v>
      </c>
      <c r="C1353" s="2" t="s">
        <v>1267</v>
      </c>
      <c r="D1353" s="2" t="s">
        <v>65</v>
      </c>
      <c r="E1353" s="7"/>
      <c r="F1353" s="7" t="s">
        <v>1763</v>
      </c>
      <c r="G1353" s="2" t="s">
        <v>1268</v>
      </c>
      <c r="H1353" s="2" t="s">
        <v>1773</v>
      </c>
      <c r="I1353" s="2"/>
      <c r="J1353" s="2"/>
      <c r="K1353" s="2" t="s">
        <v>2570</v>
      </c>
      <c r="L1353" s="2" t="s">
        <v>45</v>
      </c>
    </row>
    <row r="1354" spans="1:12" ht="34" customHeight="1">
      <c r="A1354" s="2" t="s">
        <v>1270</v>
      </c>
      <c r="B1354" s="2" t="s">
        <v>1266</v>
      </c>
      <c r="C1354" s="2" t="s">
        <v>1267</v>
      </c>
      <c r="D1354" s="2" t="s">
        <v>222</v>
      </c>
      <c r="E1354" s="9">
        <v>6.4999999999999997E-3</v>
      </c>
      <c r="F1354" s="7" t="s">
        <v>1764</v>
      </c>
      <c r="G1354" s="2" t="s">
        <v>1268</v>
      </c>
      <c r="H1354" s="2" t="s">
        <v>1759</v>
      </c>
      <c r="I1354" s="2" t="s">
        <v>2150</v>
      </c>
      <c r="J1354" s="2" t="s">
        <v>1777</v>
      </c>
      <c r="K1354" s="2" t="s">
        <v>2570</v>
      </c>
      <c r="L1354" s="2" t="s">
        <v>45</v>
      </c>
    </row>
    <row r="1355" spans="1:12" ht="34" customHeight="1">
      <c r="A1355" s="2" t="s">
        <v>1270</v>
      </c>
      <c r="B1355" s="2" t="s">
        <v>1266</v>
      </c>
      <c r="C1355" s="2" t="s">
        <v>1267</v>
      </c>
      <c r="D1355" s="2" t="s">
        <v>1765</v>
      </c>
      <c r="E1355" s="9" t="s">
        <v>257</v>
      </c>
      <c r="F1355" s="7" t="s">
        <v>1766</v>
      </c>
      <c r="G1355" s="2" t="s">
        <v>1268</v>
      </c>
      <c r="H1355" s="2" t="s">
        <v>1759</v>
      </c>
      <c r="I1355" s="2" t="s">
        <v>1767</v>
      </c>
      <c r="J1355" s="2"/>
      <c r="K1355" t="s">
        <v>1933</v>
      </c>
    </row>
    <row r="1356" spans="1:12" ht="37" customHeight="1">
      <c r="A1356" s="2" t="s">
        <v>1278</v>
      </c>
      <c r="B1356" s="2" t="s">
        <v>1272</v>
      </c>
      <c r="C1356" s="2" t="s">
        <v>1273</v>
      </c>
      <c r="D1356" s="2" t="s">
        <v>1757</v>
      </c>
      <c r="E1356" s="5">
        <v>0.54</v>
      </c>
      <c r="F1356" s="7" t="s">
        <v>1758</v>
      </c>
      <c r="G1356" s="2" t="s">
        <v>1275</v>
      </c>
      <c r="H1356" s="2" t="s">
        <v>1759</v>
      </c>
      <c r="I1356" s="2" t="s">
        <v>2571</v>
      </c>
      <c r="J1356" s="2" t="s">
        <v>2572</v>
      </c>
      <c r="K1356" s="2" t="s">
        <v>2573</v>
      </c>
      <c r="L1356" s="2" t="s">
        <v>35</v>
      </c>
    </row>
    <row r="1357" spans="1:12" ht="37" customHeight="1">
      <c r="A1357" s="2" t="s">
        <v>1278</v>
      </c>
      <c r="B1357" s="2" t="s">
        <v>1272</v>
      </c>
      <c r="C1357" s="2" t="s">
        <v>1273</v>
      </c>
      <c r="D1357" s="2" t="s">
        <v>254</v>
      </c>
      <c r="E1357" s="4">
        <v>0.1</v>
      </c>
      <c r="F1357" s="7" t="s">
        <v>1758</v>
      </c>
      <c r="G1357" s="2" t="s">
        <v>1275</v>
      </c>
      <c r="H1357" s="2" t="s">
        <v>1759</v>
      </c>
      <c r="I1357" s="2" t="s">
        <v>2571</v>
      </c>
      <c r="J1357" s="2" t="s">
        <v>2572</v>
      </c>
      <c r="K1357" s="2" t="s">
        <v>2573</v>
      </c>
      <c r="L1357" s="2" t="s">
        <v>35</v>
      </c>
    </row>
    <row r="1358" spans="1:12" ht="34" customHeight="1">
      <c r="A1358" s="2" t="s">
        <v>1278</v>
      </c>
      <c r="B1358" s="2" t="s">
        <v>1272</v>
      </c>
      <c r="C1358" s="2" t="s">
        <v>1273</v>
      </c>
      <c r="D1358" s="2" t="s">
        <v>124</v>
      </c>
      <c r="E1358" s="11">
        <v>1</v>
      </c>
      <c r="F1358" s="20" t="s">
        <v>1763</v>
      </c>
      <c r="G1358" s="21" t="s">
        <v>1275</v>
      </c>
      <c r="H1358" s="21" t="s">
        <v>1779</v>
      </c>
      <c r="I1358" s="2" t="s">
        <v>2574</v>
      </c>
      <c r="J1358" s="2" t="s">
        <v>2575</v>
      </c>
      <c r="K1358" s="2" t="s">
        <v>2576</v>
      </c>
      <c r="L1358" s="2" t="s">
        <v>35</v>
      </c>
    </row>
    <row r="1359" spans="1:12" ht="34" customHeight="1">
      <c r="A1359" s="2" t="s">
        <v>1278</v>
      </c>
      <c r="B1359" s="2" t="s">
        <v>1272</v>
      </c>
      <c r="C1359" s="2" t="s">
        <v>1273</v>
      </c>
      <c r="D1359" s="2" t="s">
        <v>65</v>
      </c>
      <c r="E1359" s="11">
        <v>0</v>
      </c>
      <c r="F1359" s="20" t="s">
        <v>1763</v>
      </c>
      <c r="G1359" s="21" t="s">
        <v>1275</v>
      </c>
      <c r="H1359" s="21" t="s">
        <v>1779</v>
      </c>
      <c r="I1359" s="2" t="s">
        <v>2574</v>
      </c>
      <c r="J1359" s="2" t="s">
        <v>2575</v>
      </c>
      <c r="K1359" s="2" t="s">
        <v>2577</v>
      </c>
      <c r="L1359" s="2" t="s">
        <v>35</v>
      </c>
    </row>
    <row r="1360" spans="1:12" ht="34" customHeight="1">
      <c r="A1360" s="2" t="s">
        <v>1278</v>
      </c>
      <c r="B1360" s="2" t="s">
        <v>1272</v>
      </c>
      <c r="C1360" s="2" t="s">
        <v>1273</v>
      </c>
      <c r="D1360" s="2" t="s">
        <v>222</v>
      </c>
      <c r="E1360" s="4">
        <v>0.3</v>
      </c>
      <c r="F1360" s="7" t="s">
        <v>1764</v>
      </c>
      <c r="G1360" s="2" t="s">
        <v>1275</v>
      </c>
      <c r="H1360" s="2" t="s">
        <v>1759</v>
      </c>
      <c r="I1360" s="2" t="s">
        <v>2571</v>
      </c>
      <c r="J1360" s="2" t="s">
        <v>2572</v>
      </c>
      <c r="K1360" s="2" t="s">
        <v>2573</v>
      </c>
      <c r="L1360" s="2" t="s">
        <v>35</v>
      </c>
    </row>
    <row r="1361" spans="1:12" ht="37" customHeight="1">
      <c r="A1361" s="2" t="s">
        <v>1278</v>
      </c>
      <c r="B1361" s="2" t="s">
        <v>1272</v>
      </c>
      <c r="C1361" s="2" t="s">
        <v>1273</v>
      </c>
      <c r="D1361" s="2" t="s">
        <v>1765</v>
      </c>
      <c r="E1361" s="4" t="s">
        <v>1274</v>
      </c>
      <c r="F1361" s="7" t="s">
        <v>1766</v>
      </c>
      <c r="G1361" s="2" t="s">
        <v>1275</v>
      </c>
      <c r="H1361" s="2" t="s">
        <v>1759</v>
      </c>
      <c r="I1361" s="2" t="s">
        <v>1767</v>
      </c>
      <c r="J1361" s="2"/>
      <c r="K1361" t="s">
        <v>2578</v>
      </c>
    </row>
    <row r="1362" spans="1:12" ht="37" customHeight="1">
      <c r="A1362" s="2" t="s">
        <v>1283</v>
      </c>
      <c r="B1362" s="2" t="s">
        <v>1272</v>
      </c>
      <c r="C1362" s="2" t="s">
        <v>1282</v>
      </c>
      <c r="D1362" s="2" t="s">
        <v>1757</v>
      </c>
      <c r="E1362" s="5">
        <v>0.64</v>
      </c>
      <c r="F1362" s="7" t="s">
        <v>1758</v>
      </c>
      <c r="G1362" s="2" t="s">
        <v>1275</v>
      </c>
      <c r="H1362" s="2" t="s">
        <v>1759</v>
      </c>
      <c r="I1362" s="2" t="s">
        <v>2571</v>
      </c>
      <c r="J1362" s="2" t="s">
        <v>2572</v>
      </c>
      <c r="K1362" s="2" t="s">
        <v>2579</v>
      </c>
      <c r="L1362" s="2" t="s">
        <v>35</v>
      </c>
    </row>
    <row r="1363" spans="1:12" ht="37" customHeight="1">
      <c r="A1363" s="2" t="s">
        <v>1283</v>
      </c>
      <c r="B1363" s="2" t="s">
        <v>1272</v>
      </c>
      <c r="C1363" s="2" t="s">
        <v>1282</v>
      </c>
      <c r="D1363" s="2" t="s">
        <v>254</v>
      </c>
      <c r="E1363" s="5">
        <v>0.17</v>
      </c>
      <c r="F1363" s="7" t="s">
        <v>1758</v>
      </c>
      <c r="G1363" s="2" t="s">
        <v>1275</v>
      </c>
      <c r="H1363" s="2" t="s">
        <v>1759</v>
      </c>
      <c r="I1363" s="2" t="s">
        <v>2571</v>
      </c>
      <c r="J1363" s="2" t="s">
        <v>2572</v>
      </c>
      <c r="K1363" s="2" t="s">
        <v>2579</v>
      </c>
      <c r="L1363" s="2" t="s">
        <v>35</v>
      </c>
    </row>
    <row r="1364" spans="1:12" ht="37" customHeight="1">
      <c r="A1364" s="2" t="s">
        <v>1283</v>
      </c>
      <c r="B1364" s="2" t="s">
        <v>1272</v>
      </c>
      <c r="C1364" s="2" t="s">
        <v>1282</v>
      </c>
      <c r="D1364" s="2" t="s">
        <v>124</v>
      </c>
      <c r="E1364" s="11">
        <v>1</v>
      </c>
      <c r="F1364" s="20" t="s">
        <v>1763</v>
      </c>
      <c r="G1364" s="21" t="s">
        <v>1275</v>
      </c>
      <c r="H1364" s="21" t="s">
        <v>1779</v>
      </c>
      <c r="I1364" s="2" t="s">
        <v>2574</v>
      </c>
      <c r="J1364" s="2" t="s">
        <v>2575</v>
      </c>
      <c r="K1364" s="2" t="s">
        <v>2580</v>
      </c>
      <c r="L1364" s="2" t="s">
        <v>35</v>
      </c>
    </row>
    <row r="1365" spans="1:12" ht="37" customHeight="1">
      <c r="A1365" s="2" t="s">
        <v>1283</v>
      </c>
      <c r="B1365" s="2" t="s">
        <v>1272</v>
      </c>
      <c r="C1365" s="2" t="s">
        <v>1282</v>
      </c>
      <c r="D1365" s="2" t="s">
        <v>65</v>
      </c>
      <c r="E1365" s="11">
        <v>0</v>
      </c>
      <c r="F1365" s="20" t="s">
        <v>1763</v>
      </c>
      <c r="G1365" s="21" t="s">
        <v>1275</v>
      </c>
      <c r="H1365" s="21" t="s">
        <v>1779</v>
      </c>
      <c r="I1365" s="2" t="s">
        <v>2574</v>
      </c>
      <c r="J1365" s="2" t="s">
        <v>2575</v>
      </c>
      <c r="K1365" s="2" t="s">
        <v>2581</v>
      </c>
      <c r="L1365" s="2" t="s">
        <v>35</v>
      </c>
    </row>
    <row r="1366" spans="1:12" ht="37" customHeight="1">
      <c r="A1366" s="2" t="s">
        <v>1283</v>
      </c>
      <c r="B1366" s="2" t="s">
        <v>1272</v>
      </c>
      <c r="C1366" s="2" t="s">
        <v>1282</v>
      </c>
      <c r="D1366" s="2" t="s">
        <v>222</v>
      </c>
      <c r="E1366" s="4">
        <v>0.8</v>
      </c>
      <c r="F1366" s="7" t="s">
        <v>1764</v>
      </c>
      <c r="G1366" s="2" t="s">
        <v>1275</v>
      </c>
      <c r="H1366" s="2" t="s">
        <v>1759</v>
      </c>
      <c r="I1366" s="2" t="s">
        <v>2571</v>
      </c>
      <c r="J1366" s="2" t="s">
        <v>2572</v>
      </c>
      <c r="K1366" s="2" t="s">
        <v>2579</v>
      </c>
      <c r="L1366" s="2" t="s">
        <v>35</v>
      </c>
    </row>
    <row r="1367" spans="1:12" ht="37" customHeight="1">
      <c r="A1367" s="2" t="s">
        <v>1283</v>
      </c>
      <c r="B1367" s="2" t="s">
        <v>1272</v>
      </c>
      <c r="C1367" s="2" t="s">
        <v>1282</v>
      </c>
      <c r="D1367" s="2" t="s">
        <v>1765</v>
      </c>
      <c r="E1367" s="4" t="s">
        <v>745</v>
      </c>
      <c r="F1367" s="7" t="s">
        <v>1766</v>
      </c>
      <c r="G1367" s="2" t="s">
        <v>1275</v>
      </c>
      <c r="H1367" s="2" t="s">
        <v>1759</v>
      </c>
      <c r="I1367" s="2" t="s">
        <v>1767</v>
      </c>
      <c r="J1367" s="2"/>
      <c r="K1367" t="s">
        <v>2582</v>
      </c>
    </row>
    <row r="1368" spans="1:12" ht="50.5" customHeight="1">
      <c r="A1368" s="2" t="s">
        <v>1291</v>
      </c>
      <c r="B1368" s="2" t="s">
        <v>1272</v>
      </c>
      <c r="C1368" s="2" t="s">
        <v>1285</v>
      </c>
      <c r="D1368" s="2" t="s">
        <v>1757</v>
      </c>
      <c r="E1368" s="5">
        <v>0.68</v>
      </c>
      <c r="F1368" s="7" t="s">
        <v>1758</v>
      </c>
      <c r="G1368" s="2" t="s">
        <v>71</v>
      </c>
      <c r="H1368" s="2" t="s">
        <v>1759</v>
      </c>
      <c r="I1368" s="2" t="s">
        <v>2583</v>
      </c>
      <c r="J1368" s="2" t="s">
        <v>2584</v>
      </c>
      <c r="K1368" s="2" t="s">
        <v>2585</v>
      </c>
      <c r="L1368" s="2" t="s">
        <v>35</v>
      </c>
    </row>
    <row r="1369" spans="1:12" ht="50.5" customHeight="1">
      <c r="A1369" s="2" t="s">
        <v>1291</v>
      </c>
      <c r="B1369" s="2" t="s">
        <v>1272</v>
      </c>
      <c r="C1369" s="2" t="s">
        <v>1285</v>
      </c>
      <c r="D1369" s="2" t="s">
        <v>254</v>
      </c>
      <c r="E1369" s="5">
        <v>0.22</v>
      </c>
      <c r="F1369" s="7" t="s">
        <v>1758</v>
      </c>
      <c r="G1369" s="2" t="s">
        <v>71</v>
      </c>
      <c r="H1369" s="2" t="s">
        <v>1759</v>
      </c>
      <c r="I1369" s="2" t="s">
        <v>2583</v>
      </c>
      <c r="J1369" s="2" t="s">
        <v>2584</v>
      </c>
      <c r="K1369" s="2" t="s">
        <v>2585</v>
      </c>
      <c r="L1369" s="2" t="s">
        <v>35</v>
      </c>
    </row>
    <row r="1370" spans="1:12" ht="37" customHeight="1">
      <c r="A1370" s="2" t="s">
        <v>1291</v>
      </c>
      <c r="B1370" s="2" t="s">
        <v>1272</v>
      </c>
      <c r="C1370" s="2" t="s">
        <v>1285</v>
      </c>
      <c r="D1370" s="2" t="s">
        <v>124</v>
      </c>
      <c r="E1370" s="7" t="s">
        <v>1286</v>
      </c>
      <c r="F1370" s="7" t="s">
        <v>1763</v>
      </c>
      <c r="G1370" s="2" t="s">
        <v>71</v>
      </c>
      <c r="H1370" s="2" t="s">
        <v>1759</v>
      </c>
      <c r="I1370" s="2" t="s">
        <v>2583</v>
      </c>
      <c r="J1370" s="2" t="s">
        <v>2584</v>
      </c>
      <c r="K1370" s="2" t="s">
        <v>2585</v>
      </c>
      <c r="L1370" s="2" t="s">
        <v>35</v>
      </c>
    </row>
    <row r="1371" spans="1:12" ht="34" customHeight="1">
      <c r="A1371" s="2" t="s">
        <v>1291</v>
      </c>
      <c r="B1371" s="2" t="s">
        <v>1272</v>
      </c>
      <c r="C1371" s="2" t="s">
        <v>1285</v>
      </c>
      <c r="D1371" s="2" t="s">
        <v>65</v>
      </c>
      <c r="E1371" s="7" t="s">
        <v>1287</v>
      </c>
      <c r="F1371" s="7" t="s">
        <v>1763</v>
      </c>
      <c r="G1371" s="2" t="s">
        <v>71</v>
      </c>
      <c r="H1371" s="2" t="s">
        <v>1759</v>
      </c>
      <c r="I1371" s="2" t="s">
        <v>2583</v>
      </c>
      <c r="J1371" s="2" t="s">
        <v>2584</v>
      </c>
      <c r="K1371" s="2" t="s">
        <v>2585</v>
      </c>
      <c r="L1371" s="2" t="s">
        <v>35</v>
      </c>
    </row>
    <row r="1372" spans="1:12" ht="34" customHeight="1">
      <c r="A1372" s="2" t="s">
        <v>1291</v>
      </c>
      <c r="B1372" s="2" t="s">
        <v>1272</v>
      </c>
      <c r="C1372" s="2" t="s">
        <v>1285</v>
      </c>
      <c r="D1372" s="2" t="s">
        <v>222</v>
      </c>
      <c r="E1372" s="7" t="s">
        <v>1288</v>
      </c>
      <c r="F1372" s="7" t="s">
        <v>1764</v>
      </c>
      <c r="G1372" s="2" t="s">
        <v>71</v>
      </c>
      <c r="H1372" s="2" t="s">
        <v>1759</v>
      </c>
      <c r="I1372" s="2" t="s">
        <v>2583</v>
      </c>
      <c r="J1372" s="2" t="s">
        <v>2584</v>
      </c>
      <c r="K1372" s="2" t="s">
        <v>2585</v>
      </c>
      <c r="L1372" s="2" t="s">
        <v>35</v>
      </c>
    </row>
    <row r="1373" spans="1:12" ht="34" customHeight="1">
      <c r="A1373" s="2" t="s">
        <v>1291</v>
      </c>
      <c r="B1373" s="2" t="s">
        <v>1272</v>
      </c>
      <c r="C1373" s="2" t="s">
        <v>1285</v>
      </c>
      <c r="D1373" s="2" t="s">
        <v>1765</v>
      </c>
      <c r="E1373" s="7" t="s">
        <v>430</v>
      </c>
      <c r="F1373" s="7" t="s">
        <v>1766</v>
      </c>
      <c r="G1373" s="2" t="s">
        <v>71</v>
      </c>
      <c r="H1373" s="2" t="s">
        <v>1759</v>
      </c>
      <c r="I1373" s="2" t="s">
        <v>1767</v>
      </c>
      <c r="J1373" s="2"/>
      <c r="K1373" t="s">
        <v>2586</v>
      </c>
    </row>
    <row r="1374" spans="1:12" ht="34" customHeight="1">
      <c r="A1374" s="2" t="s">
        <v>1298</v>
      </c>
      <c r="B1374" s="2" t="s">
        <v>1272</v>
      </c>
      <c r="C1374" s="2" t="s">
        <v>1293</v>
      </c>
      <c r="D1374" s="2" t="s">
        <v>1757</v>
      </c>
      <c r="E1374" s="5">
        <v>4.62</v>
      </c>
      <c r="F1374" s="7" t="s">
        <v>1758</v>
      </c>
      <c r="G1374" s="2" t="s">
        <v>1295</v>
      </c>
      <c r="H1374" s="2" t="s">
        <v>1759</v>
      </c>
      <c r="I1374" s="2" t="s">
        <v>2587</v>
      </c>
      <c r="J1374" s="2" t="s">
        <v>2588</v>
      </c>
      <c r="K1374" s="2" t="s">
        <v>2589</v>
      </c>
      <c r="L1374" s="2" t="s">
        <v>45</v>
      </c>
    </row>
    <row r="1375" spans="1:12" ht="34" customHeight="1">
      <c r="A1375" s="2" t="s">
        <v>1298</v>
      </c>
      <c r="B1375" s="2" t="s">
        <v>1272</v>
      </c>
      <c r="C1375" s="2" t="s">
        <v>1293</v>
      </c>
      <c r="D1375" s="2" t="s">
        <v>254</v>
      </c>
      <c r="E1375" s="5">
        <v>1.18</v>
      </c>
      <c r="F1375" s="7" t="s">
        <v>1758</v>
      </c>
      <c r="G1375" s="2" t="s">
        <v>1295</v>
      </c>
      <c r="H1375" s="2" t="s">
        <v>1759</v>
      </c>
      <c r="I1375" s="2" t="s">
        <v>2587</v>
      </c>
      <c r="J1375" s="2" t="s">
        <v>2588</v>
      </c>
      <c r="K1375" s="2" t="s">
        <v>2589</v>
      </c>
      <c r="L1375" s="2" t="s">
        <v>45</v>
      </c>
    </row>
    <row r="1376" spans="1:12" ht="34" customHeight="1">
      <c r="A1376" s="2" t="s">
        <v>1298</v>
      </c>
      <c r="B1376" s="2" t="s">
        <v>1272</v>
      </c>
      <c r="C1376" s="2" t="s">
        <v>1293</v>
      </c>
      <c r="D1376" s="2" t="s">
        <v>124</v>
      </c>
      <c r="E1376" s="4">
        <v>1.8</v>
      </c>
      <c r="F1376" s="7" t="s">
        <v>1763</v>
      </c>
      <c r="G1376" s="2" t="s">
        <v>1295</v>
      </c>
      <c r="H1376" s="2" t="s">
        <v>1759</v>
      </c>
      <c r="I1376" s="2" t="s">
        <v>2587</v>
      </c>
      <c r="J1376" s="2" t="s">
        <v>2588</v>
      </c>
      <c r="K1376" s="2" t="s">
        <v>2589</v>
      </c>
      <c r="L1376" s="2" t="s">
        <v>45</v>
      </c>
    </row>
    <row r="1377" spans="1:12" ht="34" customHeight="1">
      <c r="A1377" s="2" t="s">
        <v>1298</v>
      </c>
      <c r="B1377" s="2" t="s">
        <v>1272</v>
      </c>
      <c r="C1377" s="2" t="s">
        <v>1293</v>
      </c>
      <c r="D1377" s="2" t="s">
        <v>65</v>
      </c>
      <c r="E1377" s="5">
        <v>0.65</v>
      </c>
      <c r="F1377" s="7" t="s">
        <v>1763</v>
      </c>
      <c r="G1377" s="2" t="s">
        <v>1295</v>
      </c>
      <c r="H1377" s="2" t="s">
        <v>1759</v>
      </c>
      <c r="I1377" s="2" t="s">
        <v>2587</v>
      </c>
      <c r="J1377" s="2" t="s">
        <v>2588</v>
      </c>
      <c r="K1377" s="2" t="s">
        <v>2589</v>
      </c>
      <c r="L1377" s="2" t="s">
        <v>45</v>
      </c>
    </row>
    <row r="1378" spans="1:12" ht="34" customHeight="1">
      <c r="A1378" s="2" t="s">
        <v>1298</v>
      </c>
      <c r="B1378" s="2" t="s">
        <v>1272</v>
      </c>
      <c r="C1378" s="2" t="s">
        <v>1293</v>
      </c>
      <c r="D1378" s="2" t="s">
        <v>222</v>
      </c>
      <c r="E1378" s="6">
        <v>12</v>
      </c>
      <c r="F1378" s="7" t="s">
        <v>1764</v>
      </c>
      <c r="G1378" s="2" t="s">
        <v>1295</v>
      </c>
      <c r="H1378" s="2" t="s">
        <v>1759</v>
      </c>
      <c r="I1378" s="2" t="s">
        <v>2587</v>
      </c>
      <c r="J1378" s="2" t="s">
        <v>2588</v>
      </c>
      <c r="K1378" s="2" t="s">
        <v>2589</v>
      </c>
      <c r="L1378" s="2" t="s">
        <v>45</v>
      </c>
    </row>
    <row r="1379" spans="1:12" ht="34" customHeight="1">
      <c r="A1379" s="2" t="s">
        <v>1298</v>
      </c>
      <c r="B1379" s="2" t="s">
        <v>1272</v>
      </c>
      <c r="C1379" s="2" t="s">
        <v>1293</v>
      </c>
      <c r="D1379" s="2" t="s">
        <v>1765</v>
      </c>
      <c r="E1379" s="6" t="s">
        <v>1294</v>
      </c>
      <c r="F1379" s="7" t="s">
        <v>1766</v>
      </c>
      <c r="G1379" s="2" t="s">
        <v>1295</v>
      </c>
      <c r="H1379" s="2" t="s">
        <v>1759</v>
      </c>
      <c r="I1379" s="2" t="s">
        <v>1767</v>
      </c>
      <c r="J1379" s="2"/>
      <c r="K1379" t="s">
        <v>2590</v>
      </c>
    </row>
    <row r="1380" spans="1:12" ht="34" customHeight="1">
      <c r="A1380" s="2" t="s">
        <v>1305</v>
      </c>
      <c r="B1380" s="2" t="s">
        <v>1272</v>
      </c>
      <c r="C1380" s="2" t="s">
        <v>1301</v>
      </c>
      <c r="D1380" s="2" t="s">
        <v>1757</v>
      </c>
      <c r="E1380" s="4">
        <v>3.3</v>
      </c>
      <c r="F1380" s="7" t="s">
        <v>1758</v>
      </c>
      <c r="G1380" s="2" t="s">
        <v>29</v>
      </c>
      <c r="H1380" s="2" t="s">
        <v>1759</v>
      </c>
      <c r="I1380" s="2" t="s">
        <v>2591</v>
      </c>
      <c r="J1380" s="2" t="s">
        <v>2592</v>
      </c>
      <c r="K1380" s="2" t="s">
        <v>2593</v>
      </c>
      <c r="L1380" s="2" t="s">
        <v>45</v>
      </c>
    </row>
    <row r="1381" spans="1:12" ht="37" customHeight="1">
      <c r="A1381" s="2" t="s">
        <v>1305</v>
      </c>
      <c r="B1381" s="2" t="s">
        <v>1272</v>
      </c>
      <c r="C1381" s="2" t="s">
        <v>1301</v>
      </c>
      <c r="D1381" s="2" t="s">
        <v>254</v>
      </c>
      <c r="E1381" s="5">
        <v>1.1299999999999999</v>
      </c>
      <c r="F1381" s="7" t="s">
        <v>1758</v>
      </c>
      <c r="G1381" s="2" t="s">
        <v>29</v>
      </c>
      <c r="H1381" s="2" t="s">
        <v>1759</v>
      </c>
      <c r="I1381" s="2" t="s">
        <v>2591</v>
      </c>
      <c r="J1381" s="2" t="s">
        <v>2592</v>
      </c>
      <c r="K1381" s="2" t="s">
        <v>2593</v>
      </c>
      <c r="L1381" s="2" t="s">
        <v>45</v>
      </c>
    </row>
    <row r="1382" spans="1:12" ht="37" customHeight="1">
      <c r="A1382" s="2" t="s">
        <v>1305</v>
      </c>
      <c r="B1382" s="2" t="s">
        <v>1272</v>
      </c>
      <c r="C1382" s="2" t="s">
        <v>1301</v>
      </c>
      <c r="D1382" s="2" t="s">
        <v>124</v>
      </c>
      <c r="E1382" s="5">
        <v>1.84</v>
      </c>
      <c r="F1382" s="7" t="s">
        <v>1763</v>
      </c>
      <c r="G1382" s="2" t="s">
        <v>29</v>
      </c>
      <c r="H1382" s="2" t="s">
        <v>1759</v>
      </c>
      <c r="I1382" s="2" t="s">
        <v>2591</v>
      </c>
      <c r="J1382" s="2" t="s">
        <v>2592</v>
      </c>
      <c r="K1382" s="2" t="s">
        <v>2593</v>
      </c>
      <c r="L1382" s="2" t="s">
        <v>45</v>
      </c>
    </row>
    <row r="1383" spans="1:12" ht="34" customHeight="1">
      <c r="A1383" s="2" t="s">
        <v>1305</v>
      </c>
      <c r="B1383" s="2" t="s">
        <v>1272</v>
      </c>
      <c r="C1383" s="2" t="s">
        <v>1301</v>
      </c>
      <c r="D1383" s="2" t="s">
        <v>65</v>
      </c>
      <c r="E1383" s="7"/>
      <c r="F1383" s="7" t="s">
        <v>1763</v>
      </c>
      <c r="G1383" s="2" t="s">
        <v>29</v>
      </c>
      <c r="H1383" s="2" t="s">
        <v>1773</v>
      </c>
      <c r="I1383" s="2"/>
      <c r="J1383" s="2"/>
      <c r="K1383" s="2" t="s">
        <v>2593</v>
      </c>
      <c r="L1383" s="2" t="s">
        <v>45</v>
      </c>
    </row>
    <row r="1384" spans="1:12" ht="34" customHeight="1">
      <c r="A1384" s="2" t="s">
        <v>1305</v>
      </c>
      <c r="B1384" s="2" t="s">
        <v>1272</v>
      </c>
      <c r="C1384" s="2" t="s">
        <v>1301</v>
      </c>
      <c r="D1384" s="2" t="s">
        <v>222</v>
      </c>
      <c r="E1384" s="4">
        <v>7.8</v>
      </c>
      <c r="F1384" s="7" t="s">
        <v>1764</v>
      </c>
      <c r="G1384" s="2" t="s">
        <v>29</v>
      </c>
      <c r="H1384" s="2" t="s">
        <v>1759</v>
      </c>
      <c r="I1384" s="2" t="s">
        <v>2591</v>
      </c>
      <c r="J1384" s="2" t="s">
        <v>2592</v>
      </c>
      <c r="K1384" s="2" t="s">
        <v>2593</v>
      </c>
      <c r="L1384" s="2" t="s">
        <v>45</v>
      </c>
    </row>
    <row r="1385" spans="1:12" ht="37" customHeight="1">
      <c r="A1385" s="2" t="s">
        <v>1305</v>
      </c>
      <c r="B1385" s="2" t="s">
        <v>1272</v>
      </c>
      <c r="C1385" s="2" t="s">
        <v>1301</v>
      </c>
      <c r="D1385" s="2" t="s">
        <v>1765</v>
      </c>
      <c r="E1385" s="4" t="s">
        <v>1302</v>
      </c>
      <c r="F1385" s="7" t="s">
        <v>1766</v>
      </c>
      <c r="G1385" s="2" t="s">
        <v>29</v>
      </c>
      <c r="H1385" s="2" t="s">
        <v>1759</v>
      </c>
      <c r="I1385" s="2" t="s">
        <v>1767</v>
      </c>
      <c r="J1385" s="2"/>
      <c r="K1385" t="s">
        <v>2594</v>
      </c>
    </row>
    <row r="1386" spans="1:12" ht="37" customHeight="1">
      <c r="A1386" s="2" t="s">
        <v>1310</v>
      </c>
      <c r="B1386" s="2" t="s">
        <v>1272</v>
      </c>
      <c r="C1386" s="2" t="s">
        <v>1307</v>
      </c>
      <c r="D1386" s="2" t="s">
        <v>1757</v>
      </c>
      <c r="E1386" s="5">
        <v>6.25</v>
      </c>
      <c r="F1386" s="7" t="s">
        <v>1758</v>
      </c>
      <c r="G1386" s="2" t="s">
        <v>29</v>
      </c>
      <c r="H1386" s="2" t="s">
        <v>1759</v>
      </c>
      <c r="I1386" s="2" t="s">
        <v>2595</v>
      </c>
      <c r="J1386" s="2" t="s">
        <v>2596</v>
      </c>
      <c r="K1386" s="2" t="s">
        <v>2597</v>
      </c>
      <c r="L1386" s="2" t="s">
        <v>45</v>
      </c>
    </row>
    <row r="1387" spans="1:12" ht="37" customHeight="1">
      <c r="A1387" s="2" t="s">
        <v>1310</v>
      </c>
      <c r="B1387" s="2" t="s">
        <v>1272</v>
      </c>
      <c r="C1387" s="2" t="s">
        <v>1307</v>
      </c>
      <c r="D1387" s="2" t="s">
        <v>254</v>
      </c>
      <c r="E1387" s="5">
        <v>1.56</v>
      </c>
      <c r="F1387" s="7" t="s">
        <v>1758</v>
      </c>
      <c r="G1387" s="2" t="s">
        <v>29</v>
      </c>
      <c r="H1387" s="2" t="s">
        <v>1759</v>
      </c>
      <c r="I1387" s="2" t="s">
        <v>2595</v>
      </c>
      <c r="J1387" s="2" t="s">
        <v>2596</v>
      </c>
      <c r="K1387" s="2" t="s">
        <v>2597</v>
      </c>
      <c r="L1387" s="2" t="s">
        <v>45</v>
      </c>
    </row>
    <row r="1388" spans="1:12" ht="50.5" customHeight="1">
      <c r="A1388" s="2" t="s">
        <v>1310</v>
      </c>
      <c r="B1388" s="2" t="s">
        <v>1272</v>
      </c>
      <c r="C1388" s="2" t="s">
        <v>1307</v>
      </c>
      <c r="D1388" s="2" t="s">
        <v>124</v>
      </c>
      <c r="E1388" s="4">
        <v>2.2000000000000002</v>
      </c>
      <c r="F1388" s="7" t="s">
        <v>1763</v>
      </c>
      <c r="G1388" s="2" t="s">
        <v>29</v>
      </c>
      <c r="H1388" s="2" t="s">
        <v>1759</v>
      </c>
      <c r="I1388" s="2" t="s">
        <v>2595</v>
      </c>
      <c r="J1388" s="2" t="s">
        <v>2596</v>
      </c>
      <c r="K1388" s="2" t="s">
        <v>2597</v>
      </c>
      <c r="L1388" s="2" t="s">
        <v>45</v>
      </c>
    </row>
    <row r="1389" spans="1:12" ht="50.5" customHeight="1">
      <c r="A1389" s="2" t="s">
        <v>1310</v>
      </c>
      <c r="B1389" s="2" t="s">
        <v>1272</v>
      </c>
      <c r="C1389" s="2" t="s">
        <v>1307</v>
      </c>
      <c r="D1389" s="2" t="s">
        <v>65</v>
      </c>
      <c r="E1389" s="5">
        <v>0.63</v>
      </c>
      <c r="F1389" s="7" t="s">
        <v>1763</v>
      </c>
      <c r="G1389" s="2" t="s">
        <v>29</v>
      </c>
      <c r="H1389" s="2" t="s">
        <v>1759</v>
      </c>
      <c r="I1389" s="2" t="s">
        <v>2595</v>
      </c>
      <c r="J1389" s="2" t="s">
        <v>2596</v>
      </c>
      <c r="K1389" s="2" t="s">
        <v>2597</v>
      </c>
      <c r="L1389" s="2" t="s">
        <v>45</v>
      </c>
    </row>
    <row r="1390" spans="1:12" ht="37" customHeight="1">
      <c r="A1390" s="2" t="s">
        <v>1310</v>
      </c>
      <c r="B1390" s="2" t="s">
        <v>1272</v>
      </c>
      <c r="C1390" s="2" t="s">
        <v>1307</v>
      </c>
      <c r="D1390" s="2" t="s">
        <v>222</v>
      </c>
      <c r="E1390" s="6">
        <v>11</v>
      </c>
      <c r="F1390" s="7" t="s">
        <v>1764</v>
      </c>
      <c r="G1390" s="2" t="s">
        <v>29</v>
      </c>
      <c r="H1390" s="2" t="s">
        <v>1759</v>
      </c>
      <c r="I1390" s="2" t="s">
        <v>2595</v>
      </c>
      <c r="J1390" s="2" t="s">
        <v>2596</v>
      </c>
      <c r="K1390" s="2" t="s">
        <v>2597</v>
      </c>
      <c r="L1390" s="2" t="s">
        <v>45</v>
      </c>
    </row>
    <row r="1391" spans="1:12" ht="34" customHeight="1">
      <c r="A1391" s="2" t="s">
        <v>1310</v>
      </c>
      <c r="B1391" s="2" t="s">
        <v>1272</v>
      </c>
      <c r="C1391" s="2" t="s">
        <v>1307</v>
      </c>
      <c r="D1391" s="2" t="s">
        <v>1765</v>
      </c>
      <c r="E1391" s="6" t="s">
        <v>1308</v>
      </c>
      <c r="F1391" s="7" t="s">
        <v>1766</v>
      </c>
      <c r="G1391" s="2" t="s">
        <v>29</v>
      </c>
      <c r="H1391" s="2" t="s">
        <v>1759</v>
      </c>
      <c r="I1391" s="2" t="s">
        <v>1767</v>
      </c>
      <c r="J1391" s="2"/>
      <c r="K1391" t="s">
        <v>2598</v>
      </c>
    </row>
    <row r="1392" spans="1:12" ht="34" customHeight="1">
      <c r="A1392" s="2" t="s">
        <v>1316</v>
      </c>
      <c r="B1392" s="2" t="s">
        <v>1272</v>
      </c>
      <c r="C1392" s="2" t="s">
        <v>1312</v>
      </c>
      <c r="D1392" s="2" t="s">
        <v>1757</v>
      </c>
      <c r="E1392" s="5">
        <v>9.75</v>
      </c>
      <c r="F1392" s="7" t="s">
        <v>1758</v>
      </c>
      <c r="G1392" s="2" t="s">
        <v>29</v>
      </c>
      <c r="H1392" s="2" t="s">
        <v>1759</v>
      </c>
      <c r="I1392" s="2" t="s">
        <v>2599</v>
      </c>
      <c r="J1392" s="2" t="s">
        <v>2600</v>
      </c>
      <c r="K1392" s="2" t="s">
        <v>2601</v>
      </c>
      <c r="L1392" s="2" t="s">
        <v>45</v>
      </c>
    </row>
    <row r="1393" spans="1:12" ht="34" customHeight="1">
      <c r="A1393" s="2" t="s">
        <v>1316</v>
      </c>
      <c r="B1393" s="2" t="s">
        <v>1272</v>
      </c>
      <c r="C1393" s="2" t="s">
        <v>1312</v>
      </c>
      <c r="D1393" s="2" t="s">
        <v>254</v>
      </c>
      <c r="E1393" s="5">
        <v>2.44</v>
      </c>
      <c r="F1393" s="7" t="s">
        <v>1758</v>
      </c>
      <c r="G1393" s="2" t="s">
        <v>29</v>
      </c>
      <c r="H1393" s="2" t="s">
        <v>1759</v>
      </c>
      <c r="I1393" s="2" t="s">
        <v>2599</v>
      </c>
      <c r="J1393" s="2" t="s">
        <v>2600</v>
      </c>
      <c r="K1393" s="2" t="s">
        <v>2601</v>
      </c>
      <c r="L1393" s="2" t="s">
        <v>45</v>
      </c>
    </row>
    <row r="1394" spans="1:12" ht="34" customHeight="1">
      <c r="A1394" s="2" t="s">
        <v>1316</v>
      </c>
      <c r="B1394" s="2" t="s">
        <v>1272</v>
      </c>
      <c r="C1394" s="2" t="s">
        <v>1312</v>
      </c>
      <c r="D1394" s="2" t="s">
        <v>124</v>
      </c>
      <c r="E1394" s="4">
        <v>2.2000000000000002</v>
      </c>
      <c r="F1394" s="7" t="s">
        <v>1763</v>
      </c>
      <c r="G1394" s="2" t="s">
        <v>29</v>
      </c>
      <c r="H1394" s="2" t="s">
        <v>1759</v>
      </c>
      <c r="I1394" s="2" t="s">
        <v>2599</v>
      </c>
      <c r="J1394" s="2" t="s">
        <v>2600</v>
      </c>
      <c r="K1394" s="2" t="s">
        <v>2601</v>
      </c>
      <c r="L1394" s="2" t="s">
        <v>45</v>
      </c>
    </row>
    <row r="1395" spans="1:12" ht="34" customHeight="1">
      <c r="A1395" s="2" t="s">
        <v>1316</v>
      </c>
      <c r="B1395" s="2" t="s">
        <v>1272</v>
      </c>
      <c r="C1395" s="2" t="s">
        <v>1312</v>
      </c>
      <c r="D1395" s="2" t="s">
        <v>65</v>
      </c>
      <c r="E1395" s="8">
        <v>0.625</v>
      </c>
      <c r="F1395" s="7" t="s">
        <v>1763</v>
      </c>
      <c r="G1395" s="2" t="s">
        <v>29</v>
      </c>
      <c r="H1395" s="2" t="s">
        <v>1759</v>
      </c>
      <c r="I1395" s="2" t="s">
        <v>2599</v>
      </c>
      <c r="J1395" s="2" t="s">
        <v>2600</v>
      </c>
      <c r="K1395" s="2" t="s">
        <v>2601</v>
      </c>
      <c r="L1395" s="2" t="s">
        <v>45</v>
      </c>
    </row>
    <row r="1396" spans="1:12" ht="34" customHeight="1">
      <c r="A1396" s="2" t="s">
        <v>1316</v>
      </c>
      <c r="B1396" s="2" t="s">
        <v>1272</v>
      </c>
      <c r="C1396" s="2" t="s">
        <v>1312</v>
      </c>
      <c r="D1396" s="2" t="s">
        <v>222</v>
      </c>
      <c r="E1396" s="6">
        <v>14</v>
      </c>
      <c r="F1396" s="7" t="s">
        <v>1764</v>
      </c>
      <c r="G1396" s="2" t="s">
        <v>29</v>
      </c>
      <c r="H1396" s="2" t="s">
        <v>1759</v>
      </c>
      <c r="I1396" s="2" t="s">
        <v>2599</v>
      </c>
      <c r="J1396" s="2" t="s">
        <v>2600</v>
      </c>
      <c r="K1396" s="2" t="s">
        <v>2601</v>
      </c>
      <c r="L1396" s="2" t="s">
        <v>45</v>
      </c>
    </row>
    <row r="1397" spans="1:12" ht="34" customHeight="1">
      <c r="A1397" s="2" t="s">
        <v>1316</v>
      </c>
      <c r="B1397" s="2" t="s">
        <v>1272</v>
      </c>
      <c r="C1397" s="2" t="s">
        <v>1312</v>
      </c>
      <c r="D1397" s="2" t="s">
        <v>1765</v>
      </c>
      <c r="E1397" s="6" t="s">
        <v>1313</v>
      </c>
      <c r="F1397" s="7" t="s">
        <v>1766</v>
      </c>
      <c r="G1397" s="2" t="s">
        <v>29</v>
      </c>
      <c r="H1397" s="2" t="s">
        <v>1759</v>
      </c>
      <c r="I1397" s="2" t="s">
        <v>1767</v>
      </c>
      <c r="J1397" s="2"/>
      <c r="K1397" t="s">
        <v>2602</v>
      </c>
    </row>
    <row r="1398" spans="1:12" ht="34" customHeight="1">
      <c r="A1398" s="2" t="s">
        <v>1321</v>
      </c>
      <c r="B1398" s="2" t="s">
        <v>1272</v>
      </c>
      <c r="C1398" s="2" t="s">
        <v>1318</v>
      </c>
      <c r="D1398" s="2" t="s">
        <v>1757</v>
      </c>
      <c r="E1398" s="4">
        <v>5.2</v>
      </c>
      <c r="F1398" s="7" t="s">
        <v>1758</v>
      </c>
      <c r="G1398" s="2" t="s">
        <v>29</v>
      </c>
      <c r="H1398" s="2" t="s">
        <v>1759</v>
      </c>
      <c r="I1398" s="2" t="s">
        <v>2603</v>
      </c>
      <c r="J1398" s="2" t="s">
        <v>2604</v>
      </c>
      <c r="K1398" s="2" t="s">
        <v>2605</v>
      </c>
      <c r="L1398" s="2" t="s">
        <v>45</v>
      </c>
    </row>
    <row r="1399" spans="1:12" ht="34" customHeight="1">
      <c r="A1399" s="2" t="s">
        <v>1321</v>
      </c>
      <c r="B1399" s="2" t="s">
        <v>1272</v>
      </c>
      <c r="C1399" s="2" t="s">
        <v>1318</v>
      </c>
      <c r="D1399" s="2" t="s">
        <v>254</v>
      </c>
      <c r="E1399" s="4">
        <v>1.3</v>
      </c>
      <c r="F1399" s="7" t="s">
        <v>1758</v>
      </c>
      <c r="G1399" s="2" t="s">
        <v>29</v>
      </c>
      <c r="H1399" s="2" t="s">
        <v>1759</v>
      </c>
      <c r="I1399" s="2" t="s">
        <v>2603</v>
      </c>
      <c r="J1399" s="2" t="s">
        <v>2604</v>
      </c>
      <c r="K1399" s="2" t="s">
        <v>2605</v>
      </c>
      <c r="L1399" s="2" t="s">
        <v>45</v>
      </c>
    </row>
    <row r="1400" spans="1:12" ht="34" customHeight="1">
      <c r="A1400" s="2" t="s">
        <v>1321</v>
      </c>
      <c r="B1400" s="2" t="s">
        <v>1272</v>
      </c>
      <c r="C1400" s="2" t="s">
        <v>1318</v>
      </c>
      <c r="D1400" s="2" t="s">
        <v>124</v>
      </c>
      <c r="E1400" s="8">
        <v>2.1789999999999998</v>
      </c>
      <c r="F1400" s="7" t="s">
        <v>1763</v>
      </c>
      <c r="G1400" s="2" t="s">
        <v>29</v>
      </c>
      <c r="H1400" s="2" t="s">
        <v>1759</v>
      </c>
      <c r="I1400" s="2" t="s">
        <v>2603</v>
      </c>
      <c r="J1400" s="2" t="s">
        <v>2604</v>
      </c>
      <c r="K1400" s="2" t="s">
        <v>2605</v>
      </c>
      <c r="L1400" s="2" t="s">
        <v>45</v>
      </c>
    </row>
    <row r="1401" spans="1:12" ht="37" customHeight="1">
      <c r="A1401" s="2" t="s">
        <v>1321</v>
      </c>
      <c r="B1401" s="2" t="s">
        <v>1272</v>
      </c>
      <c r="C1401" s="2" t="s">
        <v>1318</v>
      </c>
      <c r="D1401" s="2" t="s">
        <v>65</v>
      </c>
      <c r="E1401" s="8">
        <v>0.84199999999999997</v>
      </c>
      <c r="F1401" s="7" t="s">
        <v>1763</v>
      </c>
      <c r="G1401" s="2" t="s">
        <v>29</v>
      </c>
      <c r="H1401" s="2" t="s">
        <v>1759</v>
      </c>
      <c r="I1401" s="2" t="s">
        <v>2603</v>
      </c>
      <c r="J1401" s="2" t="s">
        <v>2604</v>
      </c>
      <c r="K1401" s="2" t="s">
        <v>2605</v>
      </c>
      <c r="L1401" s="2" t="s">
        <v>45</v>
      </c>
    </row>
    <row r="1402" spans="1:12" ht="37" customHeight="1">
      <c r="A1402" s="2" t="s">
        <v>1321</v>
      </c>
      <c r="B1402" s="2" t="s">
        <v>1272</v>
      </c>
      <c r="C1402" s="2" t="s">
        <v>1318</v>
      </c>
      <c r="D1402" s="2" t="s">
        <v>222</v>
      </c>
      <c r="E1402" s="8">
        <v>12.824999999999999</v>
      </c>
      <c r="F1402" s="7" t="s">
        <v>1764</v>
      </c>
      <c r="G1402" s="2" t="s">
        <v>29</v>
      </c>
      <c r="H1402" s="2" t="s">
        <v>1759</v>
      </c>
      <c r="I1402" s="2" t="s">
        <v>2603</v>
      </c>
      <c r="J1402" s="2" t="s">
        <v>2604</v>
      </c>
      <c r="K1402" s="2" t="s">
        <v>2605</v>
      </c>
      <c r="L1402" s="2" t="s">
        <v>45</v>
      </c>
    </row>
    <row r="1403" spans="1:12" ht="37" customHeight="1">
      <c r="A1403" s="2" t="s">
        <v>1321</v>
      </c>
      <c r="B1403" s="2" t="s">
        <v>1272</v>
      </c>
      <c r="C1403" s="2" t="s">
        <v>1318</v>
      </c>
      <c r="D1403" s="2" t="s">
        <v>1765</v>
      </c>
      <c r="E1403" s="8" t="s">
        <v>430</v>
      </c>
      <c r="F1403" s="7" t="s">
        <v>1766</v>
      </c>
      <c r="G1403" s="2" t="s">
        <v>29</v>
      </c>
      <c r="H1403" s="2" t="s">
        <v>1759</v>
      </c>
      <c r="I1403" s="2" t="s">
        <v>1767</v>
      </c>
      <c r="J1403" s="2"/>
      <c r="K1403" t="s">
        <v>2606</v>
      </c>
    </row>
    <row r="1404" spans="1:12" ht="37" customHeight="1">
      <c r="A1404" s="2" t="s">
        <v>1325</v>
      </c>
      <c r="B1404" s="2" t="s">
        <v>1272</v>
      </c>
      <c r="C1404" s="2" t="s">
        <v>1322</v>
      </c>
      <c r="D1404" s="2" t="s">
        <v>1757</v>
      </c>
      <c r="E1404" s="4">
        <v>5.2</v>
      </c>
      <c r="F1404" s="7" t="s">
        <v>1758</v>
      </c>
      <c r="G1404" s="2" t="s">
        <v>29</v>
      </c>
      <c r="H1404" s="2" t="s">
        <v>1759</v>
      </c>
      <c r="I1404" s="2" t="s">
        <v>2595</v>
      </c>
      <c r="J1404" s="2" t="s">
        <v>2596</v>
      </c>
      <c r="K1404" s="2" t="s">
        <v>2607</v>
      </c>
      <c r="L1404" s="2" t="s">
        <v>45</v>
      </c>
    </row>
    <row r="1405" spans="1:12" ht="37" customHeight="1">
      <c r="A1405" s="2" t="s">
        <v>1325</v>
      </c>
      <c r="B1405" s="2" t="s">
        <v>1272</v>
      </c>
      <c r="C1405" s="2" t="s">
        <v>1322</v>
      </c>
      <c r="D1405" s="2" t="s">
        <v>254</v>
      </c>
      <c r="E1405" s="4">
        <v>1.3</v>
      </c>
      <c r="F1405" s="7" t="s">
        <v>1758</v>
      </c>
      <c r="G1405" s="2" t="s">
        <v>29</v>
      </c>
      <c r="H1405" s="2" t="s">
        <v>1759</v>
      </c>
      <c r="I1405" s="2" t="s">
        <v>2595</v>
      </c>
      <c r="J1405" s="2" t="s">
        <v>2596</v>
      </c>
      <c r="K1405" s="2" t="s">
        <v>2607</v>
      </c>
      <c r="L1405" s="2" t="s">
        <v>45</v>
      </c>
    </row>
    <row r="1406" spans="1:12" ht="37" customHeight="1">
      <c r="A1406" s="2" t="s">
        <v>1325</v>
      </c>
      <c r="B1406" s="2" t="s">
        <v>1272</v>
      </c>
      <c r="C1406" s="2" t="s">
        <v>1322</v>
      </c>
      <c r="D1406" s="2" t="s">
        <v>124</v>
      </c>
      <c r="E1406" s="4">
        <v>2.2000000000000002</v>
      </c>
      <c r="F1406" s="7" t="s">
        <v>1763</v>
      </c>
      <c r="G1406" s="2" t="s">
        <v>29</v>
      </c>
      <c r="H1406" s="2" t="s">
        <v>1759</v>
      </c>
      <c r="I1406" s="2" t="s">
        <v>2595</v>
      </c>
      <c r="J1406" s="2" t="s">
        <v>2596</v>
      </c>
      <c r="K1406" s="2" t="s">
        <v>2607</v>
      </c>
      <c r="L1406" s="2" t="s">
        <v>45</v>
      </c>
    </row>
    <row r="1407" spans="1:12" ht="50.5" customHeight="1">
      <c r="A1407" s="2" t="s">
        <v>1325</v>
      </c>
      <c r="B1407" s="2" t="s">
        <v>1272</v>
      </c>
      <c r="C1407" s="2" t="s">
        <v>1322</v>
      </c>
      <c r="D1407" s="2" t="s">
        <v>65</v>
      </c>
      <c r="E1407" s="4">
        <v>0.9</v>
      </c>
      <c r="F1407" s="7" t="s">
        <v>1763</v>
      </c>
      <c r="G1407" s="2" t="s">
        <v>29</v>
      </c>
      <c r="H1407" s="2" t="s">
        <v>1759</v>
      </c>
      <c r="I1407" s="2" t="s">
        <v>2595</v>
      </c>
      <c r="J1407" s="2" t="s">
        <v>2596</v>
      </c>
      <c r="K1407" s="2" t="s">
        <v>2607</v>
      </c>
      <c r="L1407" s="2" t="s">
        <v>45</v>
      </c>
    </row>
    <row r="1408" spans="1:12" ht="37" customHeight="1">
      <c r="A1408" s="2" t="s">
        <v>1325</v>
      </c>
      <c r="B1408" s="2" t="s">
        <v>1272</v>
      </c>
      <c r="C1408" s="2" t="s">
        <v>1322</v>
      </c>
      <c r="D1408" s="2" t="s">
        <v>222</v>
      </c>
      <c r="E1408" s="4">
        <v>12.8</v>
      </c>
      <c r="F1408" s="7" t="s">
        <v>1764</v>
      </c>
      <c r="G1408" s="2" t="s">
        <v>29</v>
      </c>
      <c r="H1408" s="2" t="s">
        <v>1759</v>
      </c>
      <c r="I1408" s="2" t="s">
        <v>2595</v>
      </c>
      <c r="J1408" s="2" t="s">
        <v>2596</v>
      </c>
      <c r="K1408" s="2" t="s">
        <v>2607</v>
      </c>
      <c r="L1408" s="2" t="s">
        <v>45</v>
      </c>
    </row>
    <row r="1409" spans="1:12" ht="37" customHeight="1">
      <c r="A1409" s="2" t="s">
        <v>1325</v>
      </c>
      <c r="B1409" s="2" t="s">
        <v>1272</v>
      </c>
      <c r="C1409" s="2" t="s">
        <v>1322</v>
      </c>
      <c r="D1409" s="2" t="s">
        <v>1765</v>
      </c>
      <c r="E1409" s="4" t="s">
        <v>430</v>
      </c>
      <c r="F1409" s="7" t="s">
        <v>1766</v>
      </c>
      <c r="G1409" s="2" t="s">
        <v>29</v>
      </c>
      <c r="H1409" s="2" t="s">
        <v>1759</v>
      </c>
      <c r="I1409" s="2" t="s">
        <v>1767</v>
      </c>
      <c r="J1409" s="2"/>
      <c r="K1409" t="s">
        <v>2606</v>
      </c>
    </row>
    <row r="1410" spans="1:12" ht="37" customHeight="1">
      <c r="A1410" s="2" t="s">
        <v>1332</v>
      </c>
      <c r="B1410" s="2" t="s">
        <v>1272</v>
      </c>
      <c r="C1410" s="2" t="s">
        <v>1327</v>
      </c>
      <c r="D1410" s="2" t="s">
        <v>1757</v>
      </c>
      <c r="E1410" s="5">
        <v>6.75</v>
      </c>
      <c r="F1410" s="7" t="s">
        <v>1758</v>
      </c>
      <c r="G1410" s="2" t="s">
        <v>1329</v>
      </c>
      <c r="H1410" s="2" t="s">
        <v>1759</v>
      </c>
      <c r="I1410" s="2" t="s">
        <v>2608</v>
      </c>
      <c r="J1410" s="2" t="s">
        <v>2609</v>
      </c>
      <c r="K1410" s="2" t="s">
        <v>2610</v>
      </c>
      <c r="L1410" s="2" t="s">
        <v>35</v>
      </c>
    </row>
    <row r="1411" spans="1:12" ht="34" customHeight="1">
      <c r="A1411" s="2" t="s">
        <v>1332</v>
      </c>
      <c r="B1411" s="2" t="s">
        <v>1272</v>
      </c>
      <c r="C1411" s="2" t="s">
        <v>1327</v>
      </c>
      <c r="D1411" s="2" t="s">
        <v>254</v>
      </c>
      <c r="E1411" s="4">
        <v>1.5</v>
      </c>
      <c r="F1411" s="7" t="s">
        <v>1758</v>
      </c>
      <c r="G1411" s="2" t="s">
        <v>1329</v>
      </c>
      <c r="H1411" s="2" t="s">
        <v>1759</v>
      </c>
      <c r="I1411" s="2" t="s">
        <v>2608</v>
      </c>
      <c r="J1411" s="2" t="s">
        <v>2609</v>
      </c>
      <c r="K1411" s="2" t="s">
        <v>2610</v>
      </c>
      <c r="L1411" s="2" t="s">
        <v>35</v>
      </c>
    </row>
    <row r="1412" spans="1:12" ht="34" customHeight="1">
      <c r="A1412" s="2" t="s">
        <v>1332</v>
      </c>
      <c r="B1412" s="2" t="s">
        <v>1272</v>
      </c>
      <c r="C1412" s="2" t="s">
        <v>1327</v>
      </c>
      <c r="D1412" s="2" t="s">
        <v>124</v>
      </c>
      <c r="E1412" s="4">
        <v>1.8</v>
      </c>
      <c r="F1412" s="7" t="s">
        <v>1763</v>
      </c>
      <c r="G1412" s="2" t="s">
        <v>1329</v>
      </c>
      <c r="H1412" s="2" t="s">
        <v>1759</v>
      </c>
      <c r="I1412" s="2" t="s">
        <v>2608</v>
      </c>
      <c r="J1412" s="2" t="s">
        <v>2609</v>
      </c>
      <c r="K1412" s="2" t="s">
        <v>2610</v>
      </c>
      <c r="L1412" s="2" t="s">
        <v>35</v>
      </c>
    </row>
    <row r="1413" spans="1:12" ht="34" customHeight="1">
      <c r="A1413" s="2" t="s">
        <v>1332</v>
      </c>
      <c r="B1413" s="2" t="s">
        <v>1272</v>
      </c>
      <c r="C1413" s="2" t="s">
        <v>1327</v>
      </c>
      <c r="D1413" s="2" t="s">
        <v>65</v>
      </c>
      <c r="E1413" s="4">
        <v>0.7</v>
      </c>
      <c r="F1413" s="7" t="s">
        <v>1763</v>
      </c>
      <c r="G1413" s="2" t="s">
        <v>1329</v>
      </c>
      <c r="H1413" s="2" t="s">
        <v>1759</v>
      </c>
      <c r="I1413" s="2" t="s">
        <v>2608</v>
      </c>
      <c r="J1413" s="2" t="s">
        <v>2609</v>
      </c>
      <c r="K1413" s="2" t="s">
        <v>2610</v>
      </c>
      <c r="L1413" s="2" t="s">
        <v>35</v>
      </c>
    </row>
    <row r="1414" spans="1:12" ht="34" customHeight="1">
      <c r="A1414" s="2" t="s">
        <v>1332</v>
      </c>
      <c r="B1414" s="2" t="s">
        <v>1272</v>
      </c>
      <c r="C1414" s="2" t="s">
        <v>1327</v>
      </c>
      <c r="D1414" s="2" t="s">
        <v>222</v>
      </c>
      <c r="E1414" s="4">
        <v>10.199999999999999</v>
      </c>
      <c r="F1414" s="7" t="s">
        <v>1764</v>
      </c>
      <c r="G1414" s="2" t="s">
        <v>1329</v>
      </c>
      <c r="H1414" s="2" t="s">
        <v>1759</v>
      </c>
      <c r="I1414" s="2" t="s">
        <v>2608</v>
      </c>
      <c r="J1414" s="2" t="s">
        <v>2609</v>
      </c>
      <c r="K1414" s="2" t="s">
        <v>2610</v>
      </c>
      <c r="L1414" s="2" t="s">
        <v>35</v>
      </c>
    </row>
    <row r="1415" spans="1:12" ht="34" customHeight="1">
      <c r="A1415" s="2" t="s">
        <v>1332</v>
      </c>
      <c r="B1415" s="2" t="s">
        <v>1272</v>
      </c>
      <c r="C1415" s="2" t="s">
        <v>1327</v>
      </c>
      <c r="D1415" s="2" t="s">
        <v>1765</v>
      </c>
      <c r="E1415" s="4" t="s">
        <v>1328</v>
      </c>
      <c r="F1415" s="7" t="s">
        <v>1766</v>
      </c>
      <c r="G1415" s="2" t="s">
        <v>1329</v>
      </c>
      <c r="H1415" s="2" t="s">
        <v>1759</v>
      </c>
      <c r="I1415" s="2" t="s">
        <v>1767</v>
      </c>
      <c r="J1415" s="2"/>
      <c r="K1415" t="s">
        <v>2611</v>
      </c>
    </row>
    <row r="1416" spans="1:12" ht="34" customHeight="1">
      <c r="A1416" s="2" t="s">
        <v>1337</v>
      </c>
      <c r="B1416" s="2" t="s">
        <v>1272</v>
      </c>
      <c r="C1416" s="2" t="s">
        <v>1333</v>
      </c>
      <c r="D1416" s="2" t="s">
        <v>1757</v>
      </c>
      <c r="E1416" s="4">
        <v>5.6</v>
      </c>
      <c r="F1416" s="7" t="s">
        <v>1758</v>
      </c>
      <c r="G1416" s="2" t="s">
        <v>29</v>
      </c>
      <c r="H1416" s="2" t="s">
        <v>1759</v>
      </c>
      <c r="I1416" s="2" t="s">
        <v>2612</v>
      </c>
      <c r="J1416" s="2" t="s">
        <v>2613</v>
      </c>
      <c r="K1416" s="2" t="s">
        <v>2614</v>
      </c>
      <c r="L1416" s="2" t="s">
        <v>45</v>
      </c>
    </row>
    <row r="1417" spans="1:12" ht="34" customHeight="1">
      <c r="A1417" s="2" t="s">
        <v>1337</v>
      </c>
      <c r="B1417" s="2" t="s">
        <v>1272</v>
      </c>
      <c r="C1417" s="2" t="s">
        <v>1333</v>
      </c>
      <c r="D1417" s="2" t="s">
        <v>254</v>
      </c>
      <c r="E1417" s="4">
        <v>1.4</v>
      </c>
      <c r="F1417" s="7" t="s">
        <v>1758</v>
      </c>
      <c r="G1417" s="2" t="s">
        <v>29</v>
      </c>
      <c r="H1417" s="2" t="s">
        <v>1759</v>
      </c>
      <c r="I1417" s="2" t="s">
        <v>2612</v>
      </c>
      <c r="J1417" s="2" t="s">
        <v>2613</v>
      </c>
      <c r="K1417" s="2" t="s">
        <v>2614</v>
      </c>
      <c r="L1417" s="2" t="s">
        <v>45</v>
      </c>
    </row>
    <row r="1418" spans="1:12" ht="34" customHeight="1">
      <c r="A1418" s="2" t="s">
        <v>1337</v>
      </c>
      <c r="B1418" s="2" t="s">
        <v>1272</v>
      </c>
      <c r="C1418" s="2" t="s">
        <v>1333</v>
      </c>
      <c r="D1418" s="2" t="s">
        <v>124</v>
      </c>
      <c r="E1418" s="5">
        <v>2.0299999999999998</v>
      </c>
      <c r="F1418" s="7" t="s">
        <v>1763</v>
      </c>
      <c r="G1418" s="2" t="s">
        <v>29</v>
      </c>
      <c r="H1418" s="2" t="s">
        <v>1759</v>
      </c>
      <c r="I1418" s="2" t="s">
        <v>2612</v>
      </c>
      <c r="J1418" s="2" t="s">
        <v>2613</v>
      </c>
      <c r="K1418" s="2" t="s">
        <v>2614</v>
      </c>
      <c r="L1418" s="2" t="s">
        <v>45</v>
      </c>
    </row>
    <row r="1419" spans="1:12" ht="34" customHeight="1">
      <c r="A1419" s="2" t="s">
        <v>1337</v>
      </c>
      <c r="B1419" s="2" t="s">
        <v>1272</v>
      </c>
      <c r="C1419" s="2" t="s">
        <v>1333</v>
      </c>
      <c r="D1419" s="2" t="s">
        <v>65</v>
      </c>
      <c r="E1419" s="5">
        <v>0.67</v>
      </c>
      <c r="F1419" s="7" t="s">
        <v>1763</v>
      </c>
      <c r="G1419" s="2" t="s">
        <v>29</v>
      </c>
      <c r="H1419" s="2" t="s">
        <v>1759</v>
      </c>
      <c r="I1419" s="2" t="s">
        <v>2612</v>
      </c>
      <c r="J1419" s="2" t="s">
        <v>2613</v>
      </c>
      <c r="K1419" s="2" t="s">
        <v>2614</v>
      </c>
      <c r="L1419" s="2" t="s">
        <v>45</v>
      </c>
    </row>
    <row r="1420" spans="1:12" ht="34" customHeight="1">
      <c r="A1420" s="2" t="s">
        <v>1337</v>
      </c>
      <c r="B1420" s="2" t="s">
        <v>1272</v>
      </c>
      <c r="C1420" s="2" t="s">
        <v>1333</v>
      </c>
      <c r="D1420" s="2" t="s">
        <v>222</v>
      </c>
      <c r="E1420" s="5">
        <v>6.43</v>
      </c>
      <c r="F1420" s="7" t="s">
        <v>1764</v>
      </c>
      <c r="G1420" s="2" t="s">
        <v>29</v>
      </c>
      <c r="H1420" s="2" t="s">
        <v>1759</v>
      </c>
      <c r="I1420" s="2" t="s">
        <v>2612</v>
      </c>
      <c r="J1420" s="2" t="s">
        <v>2613</v>
      </c>
      <c r="K1420" s="2" t="s">
        <v>2614</v>
      </c>
      <c r="L1420" s="2" t="s">
        <v>45</v>
      </c>
    </row>
    <row r="1421" spans="1:12" ht="34" customHeight="1">
      <c r="A1421" s="2" t="s">
        <v>1337</v>
      </c>
      <c r="B1421" s="2" t="s">
        <v>1272</v>
      </c>
      <c r="C1421" s="2" t="s">
        <v>1333</v>
      </c>
      <c r="D1421" s="2" t="s">
        <v>1765</v>
      </c>
      <c r="E1421" s="5" t="s">
        <v>1334</v>
      </c>
      <c r="F1421" s="7" t="s">
        <v>1766</v>
      </c>
      <c r="G1421" s="2" t="s">
        <v>29</v>
      </c>
      <c r="H1421" s="2" t="s">
        <v>1759</v>
      </c>
      <c r="I1421" s="2" t="s">
        <v>1767</v>
      </c>
      <c r="J1421" s="2"/>
      <c r="K1421" t="s">
        <v>2615</v>
      </c>
    </row>
    <row r="1422" spans="1:12" ht="34" customHeight="1">
      <c r="A1422" s="2" t="s">
        <v>1343</v>
      </c>
      <c r="B1422" s="2" t="s">
        <v>1272</v>
      </c>
      <c r="C1422" s="2" t="s">
        <v>1338</v>
      </c>
      <c r="D1422" s="2" t="s">
        <v>1757</v>
      </c>
      <c r="E1422" s="4">
        <v>7.5</v>
      </c>
      <c r="F1422" s="7" t="s">
        <v>1758</v>
      </c>
      <c r="G1422" s="2" t="s">
        <v>1340</v>
      </c>
      <c r="H1422" s="2" t="s">
        <v>1759</v>
      </c>
      <c r="I1422" s="2" t="s">
        <v>2616</v>
      </c>
      <c r="J1422" s="2" t="s">
        <v>2617</v>
      </c>
      <c r="K1422" s="2" t="s">
        <v>2618</v>
      </c>
      <c r="L1422" s="2" t="s">
        <v>45</v>
      </c>
    </row>
    <row r="1423" spans="1:12" ht="34" customHeight="1">
      <c r="A1423" s="2" t="s">
        <v>1343</v>
      </c>
      <c r="B1423" s="2" t="s">
        <v>1272</v>
      </c>
      <c r="C1423" s="2" t="s">
        <v>1338</v>
      </c>
      <c r="D1423" s="2" t="s">
        <v>254</v>
      </c>
      <c r="E1423" s="4">
        <v>2.5</v>
      </c>
      <c r="F1423" s="7" t="s">
        <v>1758</v>
      </c>
      <c r="G1423" s="2" t="s">
        <v>1340</v>
      </c>
      <c r="H1423" s="2" t="s">
        <v>1759</v>
      </c>
      <c r="I1423" s="2" t="s">
        <v>2616</v>
      </c>
      <c r="J1423" s="2" t="s">
        <v>2617</v>
      </c>
      <c r="K1423" s="2" t="s">
        <v>2618</v>
      </c>
      <c r="L1423" s="2" t="s">
        <v>45</v>
      </c>
    </row>
    <row r="1424" spans="1:12" ht="34" customHeight="1">
      <c r="A1424" s="2" t="s">
        <v>1343</v>
      </c>
      <c r="B1424" s="2" t="s">
        <v>1272</v>
      </c>
      <c r="C1424" s="2" t="s">
        <v>1338</v>
      </c>
      <c r="D1424" s="2" t="s">
        <v>124</v>
      </c>
      <c r="E1424" s="8">
        <v>1.8420000000000001</v>
      </c>
      <c r="F1424" s="7" t="s">
        <v>1763</v>
      </c>
      <c r="G1424" s="2" t="s">
        <v>1340</v>
      </c>
      <c r="H1424" s="2" t="s">
        <v>1759</v>
      </c>
      <c r="I1424" s="2" t="s">
        <v>2616</v>
      </c>
      <c r="J1424" s="2" t="s">
        <v>2617</v>
      </c>
      <c r="K1424" s="2" t="s">
        <v>2618</v>
      </c>
      <c r="L1424" s="2" t="s">
        <v>45</v>
      </c>
    </row>
    <row r="1425" spans="1:12" ht="34" customHeight="1">
      <c r="A1425" s="2" t="s">
        <v>1343</v>
      </c>
      <c r="B1425" s="2" t="s">
        <v>1272</v>
      </c>
      <c r="C1425" s="2" t="s">
        <v>1338</v>
      </c>
      <c r="D1425" s="2" t="s">
        <v>65</v>
      </c>
      <c r="E1425" s="8">
        <v>0.81399999999999995</v>
      </c>
      <c r="F1425" s="7" t="s">
        <v>1763</v>
      </c>
      <c r="G1425" s="2" t="s">
        <v>1340</v>
      </c>
      <c r="H1425" s="2" t="s">
        <v>1759</v>
      </c>
      <c r="I1425" s="2" t="s">
        <v>2616</v>
      </c>
      <c r="J1425" s="2" t="s">
        <v>2617</v>
      </c>
      <c r="K1425" s="2" t="s">
        <v>2618</v>
      </c>
      <c r="L1425" s="2" t="s">
        <v>45</v>
      </c>
    </row>
    <row r="1426" spans="1:12" ht="34" customHeight="1">
      <c r="A1426" s="2" t="s">
        <v>1343</v>
      </c>
      <c r="B1426" s="2" t="s">
        <v>1272</v>
      </c>
      <c r="C1426" s="2" t="s">
        <v>1338</v>
      </c>
      <c r="D1426" s="2" t="s">
        <v>222</v>
      </c>
      <c r="E1426" s="6">
        <v>30</v>
      </c>
      <c r="F1426" s="7" t="s">
        <v>1764</v>
      </c>
      <c r="G1426" s="2" t="s">
        <v>1340</v>
      </c>
      <c r="H1426" s="2" t="s">
        <v>1759</v>
      </c>
      <c r="I1426" s="2" t="s">
        <v>2616</v>
      </c>
      <c r="J1426" s="2" t="s">
        <v>2617</v>
      </c>
      <c r="K1426" s="2" t="s">
        <v>2618</v>
      </c>
      <c r="L1426" s="2" t="s">
        <v>45</v>
      </c>
    </row>
    <row r="1427" spans="1:12" ht="34" customHeight="1">
      <c r="A1427" s="2" t="s">
        <v>1343</v>
      </c>
      <c r="B1427" s="2" t="s">
        <v>1272</v>
      </c>
      <c r="C1427" s="2" t="s">
        <v>1338</v>
      </c>
      <c r="D1427" s="2" t="s">
        <v>1765</v>
      </c>
      <c r="E1427" s="6" t="s">
        <v>1339</v>
      </c>
      <c r="F1427" s="7" t="s">
        <v>1766</v>
      </c>
      <c r="G1427" s="2" t="s">
        <v>1340</v>
      </c>
      <c r="H1427" s="2" t="s">
        <v>1759</v>
      </c>
      <c r="I1427" s="2" t="s">
        <v>1767</v>
      </c>
      <c r="J1427" s="2"/>
      <c r="K1427" t="s">
        <v>2619</v>
      </c>
    </row>
    <row r="1428" spans="1:12" ht="34" customHeight="1">
      <c r="A1428" s="2" t="s">
        <v>1347</v>
      </c>
      <c r="B1428" s="2" t="s">
        <v>1272</v>
      </c>
      <c r="C1428" s="2" t="s">
        <v>1344</v>
      </c>
      <c r="D1428" s="2" t="s">
        <v>1757</v>
      </c>
      <c r="E1428" s="5">
        <v>6.04</v>
      </c>
      <c r="F1428" s="7" t="s">
        <v>1758</v>
      </c>
      <c r="G1428" s="2" t="s">
        <v>29</v>
      </c>
      <c r="H1428" s="2" t="s">
        <v>1759</v>
      </c>
      <c r="I1428" s="2" t="s">
        <v>2620</v>
      </c>
      <c r="J1428" s="2" t="s">
        <v>2621</v>
      </c>
      <c r="K1428" s="2"/>
      <c r="L1428" s="2" t="s">
        <v>35</v>
      </c>
    </row>
    <row r="1429" spans="1:12" ht="34" customHeight="1">
      <c r="A1429" s="2" t="s">
        <v>1347</v>
      </c>
      <c r="B1429" s="2" t="s">
        <v>1272</v>
      </c>
      <c r="C1429" s="2" t="s">
        <v>1344</v>
      </c>
      <c r="D1429" s="2" t="s">
        <v>254</v>
      </c>
      <c r="E1429" s="5">
        <v>1.51</v>
      </c>
      <c r="F1429" s="7" t="s">
        <v>1758</v>
      </c>
      <c r="G1429" s="2" t="s">
        <v>29</v>
      </c>
      <c r="H1429" s="2" t="s">
        <v>1759</v>
      </c>
      <c r="I1429" s="2" t="s">
        <v>2620</v>
      </c>
      <c r="J1429" s="2" t="s">
        <v>2621</v>
      </c>
      <c r="K1429" s="2"/>
      <c r="L1429" s="2" t="s">
        <v>35</v>
      </c>
    </row>
    <row r="1430" spans="1:12" ht="34" customHeight="1">
      <c r="A1430" s="2" t="s">
        <v>1347</v>
      </c>
      <c r="B1430" s="2" t="s">
        <v>1272</v>
      </c>
      <c r="C1430" s="2" t="s">
        <v>1344</v>
      </c>
      <c r="D1430" s="2" t="s">
        <v>124</v>
      </c>
      <c r="E1430" s="5">
        <v>2.0299999999999998</v>
      </c>
      <c r="F1430" s="7" t="s">
        <v>1763</v>
      </c>
      <c r="G1430" s="2" t="s">
        <v>29</v>
      </c>
      <c r="H1430" s="2" t="s">
        <v>1759</v>
      </c>
      <c r="I1430" s="2" t="s">
        <v>2620</v>
      </c>
      <c r="J1430" s="2" t="s">
        <v>2621</v>
      </c>
      <c r="K1430" s="2"/>
      <c r="L1430" s="2" t="s">
        <v>35</v>
      </c>
    </row>
    <row r="1431" spans="1:12" ht="50.5" customHeight="1">
      <c r="A1431" s="2" t="s">
        <v>1347</v>
      </c>
      <c r="B1431" s="2" t="s">
        <v>1272</v>
      </c>
      <c r="C1431" s="2" t="s">
        <v>1344</v>
      </c>
      <c r="D1431" s="2" t="s">
        <v>65</v>
      </c>
      <c r="E1431" s="7"/>
      <c r="F1431" s="7" t="s">
        <v>1763</v>
      </c>
      <c r="G1431" s="2" t="s">
        <v>29</v>
      </c>
      <c r="H1431" s="2" t="s">
        <v>1773</v>
      </c>
      <c r="I1431" s="2"/>
      <c r="J1431" s="2"/>
      <c r="K1431" s="2"/>
      <c r="L1431" s="2" t="s">
        <v>35</v>
      </c>
    </row>
    <row r="1432" spans="1:12" ht="50.5" customHeight="1">
      <c r="A1432" s="2" t="s">
        <v>1347</v>
      </c>
      <c r="B1432" s="2" t="s">
        <v>1272</v>
      </c>
      <c r="C1432" s="2" t="s">
        <v>1344</v>
      </c>
      <c r="D1432" s="2" t="s">
        <v>222</v>
      </c>
      <c r="E1432" s="5">
        <v>6.64</v>
      </c>
      <c r="F1432" s="7" t="s">
        <v>1764</v>
      </c>
      <c r="G1432" s="2" t="s">
        <v>29</v>
      </c>
      <c r="H1432" s="2" t="s">
        <v>1759</v>
      </c>
      <c r="I1432" s="2" t="s">
        <v>2620</v>
      </c>
      <c r="J1432" s="2" t="s">
        <v>2621</v>
      </c>
      <c r="K1432" s="2"/>
      <c r="L1432" s="2" t="s">
        <v>35</v>
      </c>
    </row>
    <row r="1433" spans="1:12" ht="50.5" customHeight="1">
      <c r="A1433" s="2" t="s">
        <v>1347</v>
      </c>
      <c r="B1433" s="2" t="s">
        <v>1272</v>
      </c>
      <c r="C1433" s="2" t="s">
        <v>1344</v>
      </c>
      <c r="D1433" s="2" t="s">
        <v>1765</v>
      </c>
      <c r="E1433" s="5" t="s">
        <v>1345</v>
      </c>
      <c r="F1433" s="7" t="s">
        <v>1766</v>
      </c>
      <c r="G1433" s="2" t="s">
        <v>29</v>
      </c>
      <c r="H1433" s="2" t="s">
        <v>1759</v>
      </c>
      <c r="I1433" s="2" t="s">
        <v>1767</v>
      </c>
      <c r="J1433" s="2"/>
      <c r="K1433" t="s">
        <v>2622</v>
      </c>
    </row>
    <row r="1434" spans="1:12" ht="50.5" customHeight="1">
      <c r="A1434" s="2" t="s">
        <v>1350</v>
      </c>
      <c r="B1434" s="2" t="s">
        <v>1272</v>
      </c>
      <c r="C1434" s="2" t="s">
        <v>1348</v>
      </c>
      <c r="D1434" s="2" t="s">
        <v>1757</v>
      </c>
      <c r="E1434" s="5">
        <v>7.64</v>
      </c>
      <c r="F1434" s="7" t="s">
        <v>1758</v>
      </c>
      <c r="G1434" s="2" t="s">
        <v>29</v>
      </c>
      <c r="H1434" s="2" t="s">
        <v>1759</v>
      </c>
      <c r="I1434" s="2" t="s">
        <v>2620</v>
      </c>
      <c r="J1434" s="2" t="s">
        <v>2621</v>
      </c>
      <c r="K1434" s="2"/>
      <c r="L1434" s="2" t="s">
        <v>35</v>
      </c>
    </row>
    <row r="1435" spans="1:12" ht="50.5" customHeight="1">
      <c r="A1435" s="2" t="s">
        <v>1350</v>
      </c>
      <c r="B1435" s="2" t="s">
        <v>1272</v>
      </c>
      <c r="C1435" s="2" t="s">
        <v>1348</v>
      </c>
      <c r="D1435" s="2" t="s">
        <v>254</v>
      </c>
      <c r="E1435" s="4">
        <v>1.7</v>
      </c>
      <c r="F1435" s="7" t="s">
        <v>1758</v>
      </c>
      <c r="G1435" s="2" t="s">
        <v>29</v>
      </c>
      <c r="H1435" s="2" t="s">
        <v>1759</v>
      </c>
      <c r="I1435" s="2" t="s">
        <v>2620</v>
      </c>
      <c r="J1435" s="2" t="s">
        <v>2621</v>
      </c>
      <c r="K1435" s="2"/>
      <c r="L1435" s="2" t="s">
        <v>35</v>
      </c>
    </row>
    <row r="1436" spans="1:12" ht="34" customHeight="1">
      <c r="A1436" s="2" t="s">
        <v>1350</v>
      </c>
      <c r="B1436" s="2" t="s">
        <v>1272</v>
      </c>
      <c r="C1436" s="2" t="s">
        <v>1348</v>
      </c>
      <c r="D1436" s="2" t="s">
        <v>124</v>
      </c>
      <c r="E1436" s="4">
        <v>1.8</v>
      </c>
      <c r="F1436" s="7" t="s">
        <v>1763</v>
      </c>
      <c r="G1436" s="2" t="s">
        <v>29</v>
      </c>
      <c r="H1436" s="2" t="s">
        <v>1759</v>
      </c>
      <c r="I1436" s="2" t="s">
        <v>2620</v>
      </c>
      <c r="J1436" s="2" t="s">
        <v>2621</v>
      </c>
      <c r="K1436" s="2"/>
      <c r="L1436" s="2" t="s">
        <v>35</v>
      </c>
    </row>
    <row r="1437" spans="1:12" ht="34" customHeight="1">
      <c r="A1437" s="2" t="s">
        <v>1350</v>
      </c>
      <c r="B1437" s="2" t="s">
        <v>1272</v>
      </c>
      <c r="C1437" s="2" t="s">
        <v>1348</v>
      </c>
      <c r="D1437" s="2" t="s">
        <v>65</v>
      </c>
      <c r="E1437" s="7"/>
      <c r="F1437" s="7" t="s">
        <v>1763</v>
      </c>
      <c r="G1437" s="2" t="s">
        <v>29</v>
      </c>
      <c r="H1437" s="2" t="s">
        <v>1773</v>
      </c>
      <c r="I1437" s="2"/>
      <c r="J1437" s="2"/>
      <c r="K1437" s="2"/>
      <c r="L1437" s="2" t="s">
        <v>35</v>
      </c>
    </row>
    <row r="1438" spans="1:12" ht="34" customHeight="1">
      <c r="A1438" s="2" t="s">
        <v>1350</v>
      </c>
      <c r="B1438" s="2" t="s">
        <v>1272</v>
      </c>
      <c r="C1438" s="2" t="s">
        <v>1348</v>
      </c>
      <c r="D1438" s="2" t="s">
        <v>222</v>
      </c>
      <c r="E1438" s="4">
        <v>10.9</v>
      </c>
      <c r="F1438" s="7" t="s">
        <v>1764</v>
      </c>
      <c r="G1438" s="2" t="s">
        <v>29</v>
      </c>
      <c r="H1438" s="2" t="s">
        <v>1759</v>
      </c>
      <c r="I1438" s="2" t="s">
        <v>2620</v>
      </c>
      <c r="J1438" s="2" t="s">
        <v>2621</v>
      </c>
      <c r="K1438" s="2"/>
      <c r="L1438" s="2" t="s">
        <v>35</v>
      </c>
    </row>
    <row r="1439" spans="1:12" ht="37" customHeight="1">
      <c r="A1439" s="2" t="s">
        <v>1350</v>
      </c>
      <c r="B1439" s="2" t="s">
        <v>1272</v>
      </c>
      <c r="C1439" s="2" t="s">
        <v>1348</v>
      </c>
      <c r="D1439" s="2" t="s">
        <v>1765</v>
      </c>
      <c r="E1439" s="4" t="s">
        <v>1349</v>
      </c>
      <c r="F1439" s="7" t="s">
        <v>1766</v>
      </c>
      <c r="G1439" s="2" t="s">
        <v>29</v>
      </c>
      <c r="H1439" s="2" t="s">
        <v>1759</v>
      </c>
      <c r="I1439" s="2" t="s">
        <v>1767</v>
      </c>
      <c r="J1439" s="2"/>
      <c r="K1439" t="s">
        <v>2623</v>
      </c>
    </row>
    <row r="1440" spans="1:12" ht="34" customHeight="1">
      <c r="A1440" s="2" t="s">
        <v>1355</v>
      </c>
      <c r="B1440" s="2" t="s">
        <v>1272</v>
      </c>
      <c r="C1440" s="2" t="s">
        <v>1352</v>
      </c>
      <c r="D1440" s="2" t="s">
        <v>1757</v>
      </c>
      <c r="E1440" s="5">
        <v>5.52</v>
      </c>
      <c r="F1440" s="7" t="s">
        <v>1758</v>
      </c>
      <c r="G1440" s="2" t="s">
        <v>1353</v>
      </c>
      <c r="H1440" s="2" t="s">
        <v>1759</v>
      </c>
      <c r="I1440" s="2" t="s">
        <v>2624</v>
      </c>
      <c r="J1440" s="2" t="s">
        <v>2625</v>
      </c>
      <c r="K1440" s="2" t="s">
        <v>2626</v>
      </c>
      <c r="L1440" s="2" t="s">
        <v>35</v>
      </c>
    </row>
    <row r="1441" spans="1:12" ht="34" customHeight="1">
      <c r="A1441" s="2" t="s">
        <v>1355</v>
      </c>
      <c r="B1441" s="2" t="s">
        <v>1272</v>
      </c>
      <c r="C1441" s="2" t="s">
        <v>1352</v>
      </c>
      <c r="D1441" s="2" t="s">
        <v>254</v>
      </c>
      <c r="E1441" s="5">
        <v>1.38</v>
      </c>
      <c r="F1441" s="7" t="s">
        <v>1758</v>
      </c>
      <c r="G1441" s="2" t="s">
        <v>1353</v>
      </c>
      <c r="H1441" s="2" t="s">
        <v>1759</v>
      </c>
      <c r="I1441" s="2" t="s">
        <v>2624</v>
      </c>
      <c r="J1441" s="2" t="s">
        <v>2625</v>
      </c>
      <c r="K1441" s="2" t="s">
        <v>2626</v>
      </c>
      <c r="L1441" s="2" t="s">
        <v>35</v>
      </c>
    </row>
    <row r="1442" spans="1:12" ht="34" customHeight="1">
      <c r="A1442" s="2" t="s">
        <v>1355</v>
      </c>
      <c r="B1442" s="2" t="s">
        <v>1272</v>
      </c>
      <c r="C1442" s="2" t="s">
        <v>1352</v>
      </c>
      <c r="D1442" s="2" t="s">
        <v>124</v>
      </c>
      <c r="E1442" s="5">
        <v>1.89</v>
      </c>
      <c r="F1442" s="7" t="s">
        <v>1763</v>
      </c>
      <c r="G1442" s="2" t="s">
        <v>1353</v>
      </c>
      <c r="H1442" s="2" t="s">
        <v>1759</v>
      </c>
      <c r="I1442" s="2" t="s">
        <v>2624</v>
      </c>
      <c r="J1442" s="2" t="s">
        <v>2625</v>
      </c>
      <c r="K1442" s="2" t="s">
        <v>2626</v>
      </c>
      <c r="L1442" s="2" t="s">
        <v>35</v>
      </c>
    </row>
    <row r="1443" spans="1:12" ht="34" customHeight="1">
      <c r="A1443" s="2" t="s">
        <v>1355</v>
      </c>
      <c r="B1443" s="2" t="s">
        <v>1272</v>
      </c>
      <c r="C1443" s="2" t="s">
        <v>1352</v>
      </c>
      <c r="D1443" s="2" t="s">
        <v>65</v>
      </c>
      <c r="E1443" s="5">
        <v>0.77</v>
      </c>
      <c r="F1443" s="7" t="s">
        <v>1763</v>
      </c>
      <c r="G1443" s="2" t="s">
        <v>1353</v>
      </c>
      <c r="H1443" s="2" t="s">
        <v>1759</v>
      </c>
      <c r="I1443" s="2" t="s">
        <v>2624</v>
      </c>
      <c r="J1443" s="2" t="s">
        <v>2625</v>
      </c>
      <c r="K1443" s="2" t="s">
        <v>2626</v>
      </c>
      <c r="L1443" s="2" t="s">
        <v>35</v>
      </c>
    </row>
    <row r="1444" spans="1:12" ht="34" customHeight="1">
      <c r="A1444" s="2" t="s">
        <v>1355</v>
      </c>
      <c r="B1444" s="2" t="s">
        <v>1272</v>
      </c>
      <c r="C1444" s="2" t="s">
        <v>1352</v>
      </c>
      <c r="D1444" s="2" t="s">
        <v>222</v>
      </c>
      <c r="E1444" s="5">
        <v>11.32</v>
      </c>
      <c r="F1444" s="7" t="s">
        <v>1764</v>
      </c>
      <c r="G1444" s="2" t="s">
        <v>1353</v>
      </c>
      <c r="H1444" s="2" t="s">
        <v>1759</v>
      </c>
      <c r="I1444" s="2" t="s">
        <v>2627</v>
      </c>
      <c r="J1444" s="2" t="s">
        <v>2628</v>
      </c>
      <c r="K1444" s="2" t="s">
        <v>2626</v>
      </c>
      <c r="L1444" s="2" t="s">
        <v>35</v>
      </c>
    </row>
    <row r="1445" spans="1:12" ht="34" customHeight="1">
      <c r="A1445" s="2" t="s">
        <v>1355</v>
      </c>
      <c r="B1445" s="2" t="s">
        <v>1272</v>
      </c>
      <c r="C1445" s="2" t="s">
        <v>1352</v>
      </c>
      <c r="D1445" s="2" t="s">
        <v>1765</v>
      </c>
      <c r="E1445" s="5" t="s">
        <v>430</v>
      </c>
      <c r="F1445" s="7" t="s">
        <v>1766</v>
      </c>
      <c r="G1445" s="2" t="s">
        <v>1353</v>
      </c>
      <c r="H1445" s="2" t="s">
        <v>1759</v>
      </c>
      <c r="I1445" s="2" t="s">
        <v>1767</v>
      </c>
      <c r="J1445" s="2"/>
      <c r="K1445" t="s">
        <v>2629</v>
      </c>
    </row>
    <row r="1446" spans="1:12" ht="34" customHeight="1">
      <c r="A1446" s="2" t="s">
        <v>1359</v>
      </c>
      <c r="B1446" s="2" t="s">
        <v>1272</v>
      </c>
      <c r="C1446" s="2" t="s">
        <v>1356</v>
      </c>
      <c r="D1446" s="2" t="s">
        <v>1757</v>
      </c>
      <c r="E1446" s="4">
        <v>3.2</v>
      </c>
      <c r="F1446" s="7" t="s">
        <v>1758</v>
      </c>
      <c r="G1446" s="2" t="s">
        <v>29</v>
      </c>
      <c r="H1446" s="2" t="s">
        <v>1759</v>
      </c>
      <c r="I1446" s="2" t="s">
        <v>2630</v>
      </c>
      <c r="J1446" s="2" t="s">
        <v>2631</v>
      </c>
      <c r="K1446" s="2" t="s">
        <v>2632</v>
      </c>
      <c r="L1446" s="2" t="s">
        <v>45</v>
      </c>
    </row>
    <row r="1447" spans="1:12" ht="34" customHeight="1">
      <c r="A1447" s="2" t="s">
        <v>1359</v>
      </c>
      <c r="B1447" s="2" t="s">
        <v>1272</v>
      </c>
      <c r="C1447" s="2" t="s">
        <v>1356</v>
      </c>
      <c r="D1447" s="2" t="s">
        <v>254</v>
      </c>
      <c r="E1447" s="6">
        <v>2</v>
      </c>
      <c r="F1447" s="7" t="s">
        <v>1758</v>
      </c>
      <c r="G1447" s="2" t="s">
        <v>29</v>
      </c>
      <c r="H1447" s="2" t="s">
        <v>1759</v>
      </c>
      <c r="I1447" s="2" t="s">
        <v>2630</v>
      </c>
      <c r="J1447" s="2" t="s">
        <v>2631</v>
      </c>
      <c r="K1447" s="2" t="s">
        <v>2632</v>
      </c>
      <c r="L1447" s="2" t="s">
        <v>45</v>
      </c>
    </row>
    <row r="1448" spans="1:12" ht="34" customHeight="1">
      <c r="A1448" s="2" t="s">
        <v>1359</v>
      </c>
      <c r="B1448" s="2" t="s">
        <v>1272</v>
      </c>
      <c r="C1448" s="2" t="s">
        <v>1356</v>
      </c>
      <c r="D1448" s="2" t="s">
        <v>124</v>
      </c>
      <c r="E1448" s="5">
        <v>3.75</v>
      </c>
      <c r="F1448" s="7" t="s">
        <v>1763</v>
      </c>
      <c r="G1448" s="2" t="s">
        <v>29</v>
      </c>
      <c r="H1448" s="2" t="s">
        <v>1759</v>
      </c>
      <c r="I1448" s="2" t="s">
        <v>2630</v>
      </c>
      <c r="J1448" s="2" t="s">
        <v>2631</v>
      </c>
      <c r="K1448" s="2" t="s">
        <v>2632</v>
      </c>
      <c r="L1448" s="2" t="s">
        <v>45</v>
      </c>
    </row>
    <row r="1449" spans="1:12" ht="34" customHeight="1">
      <c r="A1449" s="2" t="s">
        <v>1359</v>
      </c>
      <c r="B1449" s="2" t="s">
        <v>1272</v>
      </c>
      <c r="C1449" s="2" t="s">
        <v>1356</v>
      </c>
      <c r="D1449" s="2" t="s">
        <v>65</v>
      </c>
      <c r="E1449" s="5">
        <v>0.71</v>
      </c>
      <c r="F1449" s="7" t="s">
        <v>1763</v>
      </c>
      <c r="G1449" s="2" t="s">
        <v>29</v>
      </c>
      <c r="H1449" s="2" t="s">
        <v>1759</v>
      </c>
      <c r="I1449" s="2" t="s">
        <v>2630</v>
      </c>
      <c r="J1449" s="2" t="s">
        <v>2631</v>
      </c>
      <c r="K1449" s="2" t="s">
        <v>2632</v>
      </c>
      <c r="L1449" s="2" t="s">
        <v>45</v>
      </c>
    </row>
    <row r="1450" spans="1:12" ht="34" customHeight="1">
      <c r="A1450" s="2" t="s">
        <v>1359</v>
      </c>
      <c r="B1450" s="2" t="s">
        <v>1272</v>
      </c>
      <c r="C1450" s="2" t="s">
        <v>1356</v>
      </c>
      <c r="D1450" s="2" t="s">
        <v>222</v>
      </c>
      <c r="E1450" s="5">
        <v>30.85</v>
      </c>
      <c r="F1450" s="7" t="s">
        <v>1764</v>
      </c>
      <c r="G1450" s="2" t="s">
        <v>29</v>
      </c>
      <c r="H1450" s="2" t="s">
        <v>1759</v>
      </c>
      <c r="I1450" s="2" t="s">
        <v>2630</v>
      </c>
      <c r="J1450" s="2" t="s">
        <v>2631</v>
      </c>
      <c r="K1450" s="2" t="s">
        <v>2632</v>
      </c>
      <c r="L1450" s="2" t="s">
        <v>45</v>
      </c>
    </row>
    <row r="1451" spans="1:12" ht="34" customHeight="1">
      <c r="A1451" s="2" t="s">
        <v>1359</v>
      </c>
      <c r="B1451" s="2" t="s">
        <v>1272</v>
      </c>
      <c r="C1451" s="2" t="s">
        <v>1356</v>
      </c>
      <c r="D1451" s="2" t="s">
        <v>1765</v>
      </c>
      <c r="E1451" s="5" t="s">
        <v>883</v>
      </c>
      <c r="F1451" s="7" t="s">
        <v>1766</v>
      </c>
      <c r="G1451" s="2" t="s">
        <v>29</v>
      </c>
      <c r="H1451" s="2" t="s">
        <v>1759</v>
      </c>
      <c r="I1451" s="2" t="s">
        <v>1767</v>
      </c>
      <c r="J1451" s="2"/>
      <c r="K1451" t="s">
        <v>2633</v>
      </c>
    </row>
    <row r="1452" spans="1:12" ht="34" customHeight="1">
      <c r="A1452" s="2" t="s">
        <v>1364</v>
      </c>
      <c r="B1452" s="2" t="s">
        <v>1272</v>
      </c>
      <c r="C1452" s="2" t="s">
        <v>1360</v>
      </c>
      <c r="D1452" s="2" t="s">
        <v>1757</v>
      </c>
      <c r="E1452" s="4">
        <v>3.2</v>
      </c>
      <c r="F1452" s="7" t="s">
        <v>1758</v>
      </c>
      <c r="G1452" s="2" t="s">
        <v>1361</v>
      </c>
      <c r="H1452" s="2" t="s">
        <v>1759</v>
      </c>
      <c r="I1452" s="2" t="s">
        <v>2634</v>
      </c>
      <c r="J1452" s="2" t="s">
        <v>2635</v>
      </c>
      <c r="K1452" s="2" t="s">
        <v>2636</v>
      </c>
      <c r="L1452" s="2" t="s">
        <v>190</v>
      </c>
    </row>
    <row r="1453" spans="1:12" ht="34" customHeight="1">
      <c r="A1453" s="2" t="s">
        <v>1364</v>
      </c>
      <c r="B1453" s="2" t="s">
        <v>1272</v>
      </c>
      <c r="C1453" s="2" t="s">
        <v>1360</v>
      </c>
      <c r="D1453" s="2" t="s">
        <v>254</v>
      </c>
      <c r="E1453" s="6">
        <v>2</v>
      </c>
      <c r="F1453" s="7" t="s">
        <v>1758</v>
      </c>
      <c r="G1453" s="2" t="s">
        <v>1361</v>
      </c>
      <c r="H1453" s="2" t="s">
        <v>1759</v>
      </c>
      <c r="I1453" s="2" t="s">
        <v>2634</v>
      </c>
      <c r="J1453" s="2" t="s">
        <v>2635</v>
      </c>
      <c r="K1453" s="2" t="s">
        <v>2636</v>
      </c>
      <c r="L1453" s="2" t="s">
        <v>190</v>
      </c>
    </row>
    <row r="1454" spans="1:12" ht="34" customHeight="1">
      <c r="A1454" s="2" t="s">
        <v>1364</v>
      </c>
      <c r="B1454" s="2" t="s">
        <v>1272</v>
      </c>
      <c r="C1454" s="2" t="s">
        <v>1360</v>
      </c>
      <c r="D1454" s="2" t="s">
        <v>124</v>
      </c>
      <c r="E1454" s="4">
        <v>3.4</v>
      </c>
      <c r="F1454" s="7" t="s">
        <v>1763</v>
      </c>
      <c r="G1454" s="2" t="s">
        <v>1361</v>
      </c>
      <c r="H1454" s="2" t="s">
        <v>1759</v>
      </c>
      <c r="I1454" s="2" t="s">
        <v>2634</v>
      </c>
      <c r="J1454" s="2" t="s">
        <v>2635</v>
      </c>
      <c r="K1454" s="2" t="s">
        <v>2636</v>
      </c>
      <c r="L1454" s="2" t="s">
        <v>190</v>
      </c>
    </row>
    <row r="1455" spans="1:12" ht="34" customHeight="1">
      <c r="A1455" s="2" t="s">
        <v>1364</v>
      </c>
      <c r="B1455" s="2" t="s">
        <v>1272</v>
      </c>
      <c r="C1455" s="2" t="s">
        <v>1360</v>
      </c>
      <c r="D1455" s="2" t="s">
        <v>65</v>
      </c>
      <c r="E1455" s="5">
        <v>0.64</v>
      </c>
      <c r="F1455" s="7" t="s">
        <v>1763</v>
      </c>
      <c r="G1455" s="2" t="s">
        <v>1361</v>
      </c>
      <c r="H1455" s="2" t="s">
        <v>1759</v>
      </c>
      <c r="I1455" s="2" t="s">
        <v>2634</v>
      </c>
      <c r="J1455" s="2" t="s">
        <v>2635</v>
      </c>
      <c r="K1455" s="2" t="s">
        <v>2636</v>
      </c>
      <c r="L1455" s="2" t="s">
        <v>190</v>
      </c>
    </row>
    <row r="1456" spans="1:12" ht="34" customHeight="1">
      <c r="A1456" s="2" t="s">
        <v>1364</v>
      </c>
      <c r="B1456" s="2" t="s">
        <v>1272</v>
      </c>
      <c r="C1456" s="2" t="s">
        <v>1360</v>
      </c>
      <c r="D1456" s="2" t="s">
        <v>222</v>
      </c>
      <c r="E1456" s="6">
        <v>29</v>
      </c>
      <c r="F1456" s="7" t="s">
        <v>1764</v>
      </c>
      <c r="G1456" s="2" t="s">
        <v>1361</v>
      </c>
      <c r="H1456" s="2" t="s">
        <v>1759</v>
      </c>
      <c r="I1456" s="2" t="s">
        <v>2634</v>
      </c>
      <c r="J1456" s="2" t="s">
        <v>2635</v>
      </c>
      <c r="K1456" s="2" t="s">
        <v>2636</v>
      </c>
      <c r="L1456" s="2" t="s">
        <v>190</v>
      </c>
    </row>
    <row r="1457" spans="1:12" ht="34" customHeight="1">
      <c r="A1457" s="2" t="s">
        <v>1364</v>
      </c>
      <c r="B1457" s="2" t="s">
        <v>1272</v>
      </c>
      <c r="C1457" s="2" t="s">
        <v>1360</v>
      </c>
      <c r="D1457" s="2" t="s">
        <v>1765</v>
      </c>
      <c r="E1457" s="6" t="s">
        <v>883</v>
      </c>
      <c r="F1457" s="7" t="s">
        <v>1766</v>
      </c>
      <c r="G1457" s="2" t="s">
        <v>1361</v>
      </c>
      <c r="H1457" s="2" t="s">
        <v>1759</v>
      </c>
      <c r="I1457" s="2" t="s">
        <v>1767</v>
      </c>
      <c r="J1457" s="2"/>
      <c r="K1457" t="s">
        <v>2633</v>
      </c>
    </row>
    <row r="1458" spans="1:12" ht="34" customHeight="1">
      <c r="A1458" s="2" t="s">
        <v>1372</v>
      </c>
      <c r="B1458" s="2" t="s">
        <v>1272</v>
      </c>
      <c r="C1458" s="2" t="s">
        <v>1366</v>
      </c>
      <c r="D1458" s="2" t="s">
        <v>1757</v>
      </c>
      <c r="E1458" s="7" t="s">
        <v>1367</v>
      </c>
      <c r="F1458" s="7" t="s">
        <v>1758</v>
      </c>
      <c r="G1458" s="2" t="s">
        <v>29</v>
      </c>
      <c r="H1458" s="2" t="s">
        <v>1759</v>
      </c>
      <c r="I1458" s="2" t="s">
        <v>2637</v>
      </c>
      <c r="J1458" s="2" t="s">
        <v>2280</v>
      </c>
      <c r="K1458" s="2" t="s">
        <v>2638</v>
      </c>
      <c r="L1458" s="2" t="s">
        <v>45</v>
      </c>
    </row>
    <row r="1459" spans="1:12" ht="34" customHeight="1">
      <c r="A1459" s="2" t="s">
        <v>1372</v>
      </c>
      <c r="B1459" s="2" t="s">
        <v>1272</v>
      </c>
      <c r="C1459" s="2" t="s">
        <v>1366</v>
      </c>
      <c r="D1459" s="2" t="s">
        <v>254</v>
      </c>
      <c r="E1459" s="7" t="s">
        <v>1368</v>
      </c>
      <c r="F1459" s="7" t="s">
        <v>1758</v>
      </c>
      <c r="G1459" s="2" t="s">
        <v>29</v>
      </c>
      <c r="H1459" s="2" t="s">
        <v>1759</v>
      </c>
      <c r="I1459" s="2" t="s">
        <v>2637</v>
      </c>
      <c r="J1459" s="2" t="s">
        <v>2280</v>
      </c>
      <c r="K1459" s="2" t="s">
        <v>2638</v>
      </c>
      <c r="L1459" s="2" t="s">
        <v>45</v>
      </c>
    </row>
    <row r="1460" spans="1:12" ht="34" customHeight="1">
      <c r="A1460" s="2" t="s">
        <v>1372</v>
      </c>
      <c r="B1460" s="2" t="s">
        <v>1272</v>
      </c>
      <c r="C1460" s="2" t="s">
        <v>1366</v>
      </c>
      <c r="D1460" s="2" t="s">
        <v>124</v>
      </c>
      <c r="E1460" s="7"/>
      <c r="F1460" s="7" t="s">
        <v>1763</v>
      </c>
      <c r="G1460" s="2" t="s">
        <v>29</v>
      </c>
      <c r="H1460" s="2" t="s">
        <v>1773</v>
      </c>
      <c r="I1460" s="2"/>
      <c r="J1460" s="2"/>
      <c r="K1460" s="2" t="s">
        <v>2638</v>
      </c>
      <c r="L1460" s="2" t="s">
        <v>45</v>
      </c>
    </row>
    <row r="1461" spans="1:12" ht="34" customHeight="1">
      <c r="A1461" s="2" t="s">
        <v>1372</v>
      </c>
      <c r="B1461" s="2" t="s">
        <v>1272</v>
      </c>
      <c r="C1461" s="2" t="s">
        <v>1366</v>
      </c>
      <c r="D1461" s="2" t="s">
        <v>65</v>
      </c>
      <c r="E1461" s="7"/>
      <c r="F1461" s="7" t="s">
        <v>1763</v>
      </c>
      <c r="G1461" s="2" t="s">
        <v>29</v>
      </c>
      <c r="H1461" s="2" t="s">
        <v>1773</v>
      </c>
      <c r="I1461" s="2"/>
      <c r="J1461" s="2"/>
      <c r="K1461" s="2" t="s">
        <v>2638</v>
      </c>
      <c r="L1461" s="2" t="s">
        <v>45</v>
      </c>
    </row>
    <row r="1462" spans="1:12" ht="34" customHeight="1">
      <c r="A1462" s="2" t="s">
        <v>1372</v>
      </c>
      <c r="B1462" s="2" t="s">
        <v>1272</v>
      </c>
      <c r="C1462" s="2" t="s">
        <v>1366</v>
      </c>
      <c r="D1462" s="2" t="s">
        <v>222</v>
      </c>
      <c r="E1462" s="7" t="s">
        <v>1369</v>
      </c>
      <c r="F1462" s="7" t="s">
        <v>1764</v>
      </c>
      <c r="G1462" s="2" t="s">
        <v>29</v>
      </c>
      <c r="H1462" s="2" t="s">
        <v>1759</v>
      </c>
      <c r="I1462" s="2" t="s">
        <v>2637</v>
      </c>
      <c r="J1462" s="2" t="s">
        <v>2280</v>
      </c>
      <c r="K1462" s="2" t="s">
        <v>2638</v>
      </c>
      <c r="L1462" s="2" t="s">
        <v>45</v>
      </c>
    </row>
    <row r="1463" spans="1:12" ht="34" customHeight="1">
      <c r="A1463" s="2" t="s">
        <v>1372</v>
      </c>
      <c r="B1463" s="2" t="s">
        <v>1272</v>
      </c>
      <c r="C1463" s="2" t="s">
        <v>1366</v>
      </c>
      <c r="D1463" s="2" t="s">
        <v>1765</v>
      </c>
      <c r="E1463" s="7" t="s">
        <v>48</v>
      </c>
      <c r="F1463" s="7" t="s">
        <v>1766</v>
      </c>
      <c r="G1463" s="2" t="s">
        <v>29</v>
      </c>
      <c r="H1463" s="2" t="s">
        <v>1759</v>
      </c>
      <c r="I1463" s="2" t="s">
        <v>1767</v>
      </c>
      <c r="J1463" s="2"/>
      <c r="K1463" t="s">
        <v>2639</v>
      </c>
    </row>
    <row r="1464" spans="1:12" ht="34" customHeight="1">
      <c r="A1464" s="2" t="s">
        <v>1377</v>
      </c>
      <c r="B1464" s="2" t="s">
        <v>1272</v>
      </c>
      <c r="C1464" s="2" t="s">
        <v>1374</v>
      </c>
      <c r="D1464" s="2" t="s">
        <v>1757</v>
      </c>
      <c r="E1464" s="5">
        <v>2.59</v>
      </c>
      <c r="F1464" s="7" t="s">
        <v>1758</v>
      </c>
      <c r="G1464" s="2" t="s">
        <v>29</v>
      </c>
      <c r="H1464" s="2" t="s">
        <v>1759</v>
      </c>
      <c r="I1464" s="2" t="s">
        <v>2640</v>
      </c>
      <c r="J1464" s="2" t="s">
        <v>2641</v>
      </c>
      <c r="K1464" s="2" t="s">
        <v>2642</v>
      </c>
      <c r="L1464" s="2" t="s">
        <v>45</v>
      </c>
    </row>
    <row r="1465" spans="1:12" ht="34" customHeight="1">
      <c r="A1465" s="2" t="s">
        <v>1377</v>
      </c>
      <c r="B1465" s="2" t="s">
        <v>1272</v>
      </c>
      <c r="C1465" s="2" t="s">
        <v>1374</v>
      </c>
      <c r="D1465" s="2" t="s">
        <v>254</v>
      </c>
      <c r="E1465" s="4">
        <v>0.8</v>
      </c>
      <c r="F1465" s="7" t="s">
        <v>1758</v>
      </c>
      <c r="G1465" s="2" t="s">
        <v>29</v>
      </c>
      <c r="H1465" s="2" t="s">
        <v>1759</v>
      </c>
      <c r="I1465" s="2" t="s">
        <v>2640</v>
      </c>
      <c r="J1465" s="2" t="s">
        <v>2641</v>
      </c>
      <c r="K1465" s="2" t="s">
        <v>2642</v>
      </c>
      <c r="L1465" s="2" t="s">
        <v>45</v>
      </c>
    </row>
    <row r="1466" spans="1:12" ht="50.5" customHeight="1">
      <c r="A1466" s="2" t="s">
        <v>1377</v>
      </c>
      <c r="B1466" s="2" t="s">
        <v>1272</v>
      </c>
      <c r="C1466" s="2" t="s">
        <v>1374</v>
      </c>
      <c r="D1466" s="2" t="s">
        <v>124</v>
      </c>
      <c r="E1466" s="6">
        <v>2</v>
      </c>
      <c r="F1466" s="7" t="s">
        <v>1763</v>
      </c>
      <c r="G1466" s="2" t="s">
        <v>29</v>
      </c>
      <c r="H1466" s="2" t="s">
        <v>1759</v>
      </c>
      <c r="I1466" s="2" t="s">
        <v>2640</v>
      </c>
      <c r="J1466" s="2" t="s">
        <v>2641</v>
      </c>
      <c r="K1466" s="2" t="s">
        <v>2642</v>
      </c>
      <c r="L1466" s="2" t="s">
        <v>45</v>
      </c>
    </row>
    <row r="1467" spans="1:12" ht="50.5" customHeight="1">
      <c r="A1467" s="2" t="s">
        <v>1377</v>
      </c>
      <c r="B1467" s="2" t="s">
        <v>1272</v>
      </c>
      <c r="C1467" s="2" t="s">
        <v>1374</v>
      </c>
      <c r="D1467" s="2" t="s">
        <v>65</v>
      </c>
      <c r="E1467" s="5">
        <v>0.45</v>
      </c>
      <c r="F1467" s="7" t="s">
        <v>1763</v>
      </c>
      <c r="G1467" s="2" t="s">
        <v>29</v>
      </c>
      <c r="H1467" s="2" t="s">
        <v>1759</v>
      </c>
      <c r="I1467" s="2" t="s">
        <v>2640</v>
      </c>
      <c r="J1467" s="2" t="s">
        <v>2641</v>
      </c>
      <c r="K1467" s="2" t="s">
        <v>2642</v>
      </c>
      <c r="L1467" s="2" t="s">
        <v>45</v>
      </c>
    </row>
    <row r="1468" spans="1:12" ht="50.5" customHeight="1">
      <c r="A1468" s="2" t="s">
        <v>1377</v>
      </c>
      <c r="B1468" s="2" t="s">
        <v>1272</v>
      </c>
      <c r="C1468" s="2" t="s">
        <v>1374</v>
      </c>
      <c r="D1468" s="2" t="s">
        <v>222</v>
      </c>
      <c r="E1468" s="4">
        <v>11.8</v>
      </c>
      <c r="F1468" s="7" t="s">
        <v>1764</v>
      </c>
      <c r="G1468" s="2" t="s">
        <v>29</v>
      </c>
      <c r="H1468" s="2" t="s">
        <v>1759</v>
      </c>
      <c r="I1468" s="2" t="s">
        <v>2640</v>
      </c>
      <c r="J1468" s="2" t="s">
        <v>2641</v>
      </c>
      <c r="K1468" s="2" t="s">
        <v>2642</v>
      </c>
      <c r="L1468" s="2" t="s">
        <v>45</v>
      </c>
    </row>
    <row r="1469" spans="1:12" ht="64" customHeight="1">
      <c r="A1469" s="2" t="s">
        <v>1377</v>
      </c>
      <c r="B1469" s="2" t="s">
        <v>1272</v>
      </c>
      <c r="C1469" s="2" t="s">
        <v>1374</v>
      </c>
      <c r="D1469" s="2" t="s">
        <v>1765</v>
      </c>
      <c r="E1469" s="4" t="s">
        <v>1334</v>
      </c>
      <c r="F1469" s="7" t="s">
        <v>1766</v>
      </c>
      <c r="G1469" s="2" t="s">
        <v>29</v>
      </c>
      <c r="H1469" s="2" t="s">
        <v>1759</v>
      </c>
      <c r="I1469" s="2" t="s">
        <v>1767</v>
      </c>
      <c r="J1469" s="2"/>
      <c r="K1469" t="s">
        <v>2643</v>
      </c>
    </row>
    <row r="1470" spans="1:12" ht="50.5" customHeight="1">
      <c r="A1470" s="2" t="s">
        <v>1382</v>
      </c>
      <c r="B1470" s="2" t="s">
        <v>1272</v>
      </c>
      <c r="C1470" s="2" t="s">
        <v>1379</v>
      </c>
      <c r="D1470" s="2" t="s">
        <v>1757</v>
      </c>
      <c r="E1470" s="4">
        <v>1.5</v>
      </c>
      <c r="F1470" s="7" t="s">
        <v>1758</v>
      </c>
      <c r="G1470" s="2" t="s">
        <v>316</v>
      </c>
      <c r="H1470" s="2" t="s">
        <v>1759</v>
      </c>
      <c r="I1470" s="2" t="s">
        <v>2644</v>
      </c>
      <c r="J1470" s="2" t="s">
        <v>2645</v>
      </c>
      <c r="K1470" s="2" t="s">
        <v>2646</v>
      </c>
      <c r="L1470" s="2" t="s">
        <v>45</v>
      </c>
    </row>
    <row r="1471" spans="1:12" ht="34" customHeight="1">
      <c r="A1471" s="2" t="s">
        <v>1382</v>
      </c>
      <c r="B1471" s="2" t="s">
        <v>1272</v>
      </c>
      <c r="C1471" s="2" t="s">
        <v>1379</v>
      </c>
      <c r="D1471" s="2" t="s">
        <v>254</v>
      </c>
      <c r="E1471" s="5">
        <v>0.36</v>
      </c>
      <c r="F1471" s="7" t="s">
        <v>1758</v>
      </c>
      <c r="G1471" s="2" t="s">
        <v>316</v>
      </c>
      <c r="H1471" s="2" t="s">
        <v>1759</v>
      </c>
      <c r="I1471" s="2" t="s">
        <v>2644</v>
      </c>
      <c r="J1471" s="2" t="s">
        <v>2645</v>
      </c>
      <c r="K1471" s="2" t="s">
        <v>2646</v>
      </c>
      <c r="L1471" s="2" t="s">
        <v>45</v>
      </c>
    </row>
    <row r="1472" spans="1:12" ht="34" customHeight="1">
      <c r="A1472" s="2" t="s">
        <v>1382</v>
      </c>
      <c r="B1472" s="2" t="s">
        <v>1272</v>
      </c>
      <c r="C1472" s="2" t="s">
        <v>1379</v>
      </c>
      <c r="D1472" s="2" t="s">
        <v>124</v>
      </c>
      <c r="E1472" s="7"/>
      <c r="F1472" s="7" t="s">
        <v>1763</v>
      </c>
      <c r="G1472" s="2" t="s">
        <v>316</v>
      </c>
      <c r="H1472" s="2" t="s">
        <v>1773</v>
      </c>
      <c r="I1472" s="2"/>
      <c r="J1472" s="2"/>
      <c r="K1472" s="2" t="s">
        <v>2646</v>
      </c>
      <c r="L1472" s="2" t="s">
        <v>45</v>
      </c>
    </row>
    <row r="1473" spans="1:12" ht="34" customHeight="1">
      <c r="A1473" s="2" t="s">
        <v>1382</v>
      </c>
      <c r="B1473" s="2" t="s">
        <v>1272</v>
      </c>
      <c r="C1473" s="2" t="s">
        <v>1379</v>
      </c>
      <c r="D1473" s="2" t="s">
        <v>65</v>
      </c>
      <c r="E1473" s="7"/>
      <c r="F1473" s="7" t="s">
        <v>1763</v>
      </c>
      <c r="G1473" s="2" t="s">
        <v>316</v>
      </c>
      <c r="H1473" s="2" t="s">
        <v>1773</v>
      </c>
      <c r="I1473" s="2"/>
      <c r="J1473" s="2"/>
      <c r="K1473" s="2" t="s">
        <v>2646</v>
      </c>
      <c r="L1473" s="2" t="s">
        <v>45</v>
      </c>
    </row>
    <row r="1474" spans="1:12" ht="34" customHeight="1">
      <c r="A1474" s="2" t="s">
        <v>1382</v>
      </c>
      <c r="B1474" s="2" t="s">
        <v>1272</v>
      </c>
      <c r="C1474" s="2" t="s">
        <v>1379</v>
      </c>
      <c r="D1474" s="2" t="s">
        <v>222</v>
      </c>
      <c r="E1474" s="5">
        <v>0.04</v>
      </c>
      <c r="F1474" s="7" t="s">
        <v>1764</v>
      </c>
      <c r="G1474" s="2" t="s">
        <v>316</v>
      </c>
      <c r="H1474" s="2" t="s">
        <v>1759</v>
      </c>
      <c r="I1474" s="2" t="s">
        <v>2644</v>
      </c>
      <c r="J1474" s="2" t="s">
        <v>2645</v>
      </c>
      <c r="K1474" s="2" t="s">
        <v>2646</v>
      </c>
      <c r="L1474" s="2" t="s">
        <v>45</v>
      </c>
    </row>
    <row r="1475" spans="1:12" ht="34" customHeight="1">
      <c r="A1475" s="2" t="s">
        <v>1382</v>
      </c>
      <c r="B1475" s="2" t="s">
        <v>1272</v>
      </c>
      <c r="C1475" s="2" t="s">
        <v>1379</v>
      </c>
      <c r="D1475" s="2" t="s">
        <v>1765</v>
      </c>
      <c r="E1475" s="5" t="s">
        <v>261</v>
      </c>
      <c r="F1475" s="7" t="s">
        <v>1766</v>
      </c>
      <c r="G1475" s="2" t="s">
        <v>316</v>
      </c>
      <c r="H1475" s="2" t="s">
        <v>1759</v>
      </c>
      <c r="I1475" s="2" t="s">
        <v>1767</v>
      </c>
      <c r="J1475" s="2"/>
      <c r="K1475" t="s">
        <v>1817</v>
      </c>
    </row>
    <row r="1476" spans="1:12" ht="37" customHeight="1">
      <c r="A1476" s="2" t="s">
        <v>1391</v>
      </c>
      <c r="B1476" s="2" t="s">
        <v>1272</v>
      </c>
      <c r="C1476" s="2" t="s">
        <v>1384</v>
      </c>
      <c r="D1476" s="2" t="s">
        <v>1757</v>
      </c>
      <c r="E1476" s="5">
        <v>0.34</v>
      </c>
      <c r="F1476" s="7" t="s">
        <v>1758</v>
      </c>
      <c r="G1476" s="2" t="s">
        <v>1388</v>
      </c>
      <c r="H1476" s="2" t="s">
        <v>1759</v>
      </c>
      <c r="I1476" s="2" t="s">
        <v>2647</v>
      </c>
      <c r="J1476" s="2" t="s">
        <v>2648</v>
      </c>
      <c r="K1476" s="2" t="s">
        <v>2649</v>
      </c>
      <c r="L1476" s="2" t="s">
        <v>45</v>
      </c>
    </row>
    <row r="1477" spans="1:12" ht="37" customHeight="1">
      <c r="A1477" s="2" t="s">
        <v>1391</v>
      </c>
      <c r="B1477" s="2" t="s">
        <v>1272</v>
      </c>
      <c r="C1477" s="2" t="s">
        <v>1384</v>
      </c>
      <c r="D1477" s="2" t="s">
        <v>254</v>
      </c>
      <c r="E1477" s="5">
        <v>0.22</v>
      </c>
      <c r="F1477" s="7" t="s">
        <v>1758</v>
      </c>
      <c r="G1477" s="2" t="s">
        <v>1388</v>
      </c>
      <c r="H1477" s="2" t="s">
        <v>1759</v>
      </c>
      <c r="I1477" s="2" t="s">
        <v>2647</v>
      </c>
      <c r="J1477" s="2" t="s">
        <v>2648</v>
      </c>
      <c r="K1477" s="2" t="s">
        <v>2649</v>
      </c>
      <c r="L1477" s="2" t="s">
        <v>45</v>
      </c>
    </row>
    <row r="1478" spans="1:12" ht="37" customHeight="1">
      <c r="A1478" s="2" t="s">
        <v>1391</v>
      </c>
      <c r="B1478" s="2" t="s">
        <v>1272</v>
      </c>
      <c r="C1478" s="2" t="s">
        <v>1384</v>
      </c>
      <c r="D1478" s="2" t="s">
        <v>124</v>
      </c>
      <c r="E1478" s="7" t="s">
        <v>1385</v>
      </c>
      <c r="F1478" s="7" t="s">
        <v>1763</v>
      </c>
      <c r="G1478" s="2" t="s">
        <v>1388</v>
      </c>
      <c r="H1478" s="2" t="s">
        <v>1759</v>
      </c>
      <c r="I1478" s="2" t="s">
        <v>2647</v>
      </c>
      <c r="J1478" s="2" t="s">
        <v>2648</v>
      </c>
      <c r="K1478" s="2" t="s">
        <v>2649</v>
      </c>
      <c r="L1478" s="2" t="s">
        <v>45</v>
      </c>
    </row>
    <row r="1479" spans="1:12" ht="50.5" customHeight="1">
      <c r="A1479" s="2" t="s">
        <v>1391</v>
      </c>
      <c r="B1479" s="2" t="s">
        <v>1272</v>
      </c>
      <c r="C1479" s="2" t="s">
        <v>1384</v>
      </c>
      <c r="D1479" s="2" t="s">
        <v>65</v>
      </c>
      <c r="E1479" s="7" t="s">
        <v>1386</v>
      </c>
      <c r="F1479" s="7" t="s">
        <v>1763</v>
      </c>
      <c r="G1479" s="2" t="s">
        <v>1388</v>
      </c>
      <c r="H1479" s="2" t="s">
        <v>1759</v>
      </c>
      <c r="I1479" s="2" t="s">
        <v>2647</v>
      </c>
      <c r="J1479" s="2" t="s">
        <v>2648</v>
      </c>
      <c r="K1479" s="2" t="s">
        <v>2649</v>
      </c>
      <c r="L1479" s="2" t="s">
        <v>45</v>
      </c>
    </row>
    <row r="1480" spans="1:12" ht="37" customHeight="1">
      <c r="A1480" s="2" t="s">
        <v>1391</v>
      </c>
      <c r="B1480" s="2" t="s">
        <v>1272</v>
      </c>
      <c r="C1480" s="2" t="s">
        <v>1384</v>
      </c>
      <c r="D1480" s="2" t="s">
        <v>222</v>
      </c>
      <c r="E1480" s="7" t="s">
        <v>1387</v>
      </c>
      <c r="F1480" s="7" t="s">
        <v>1764</v>
      </c>
      <c r="G1480" s="2" t="s">
        <v>1388</v>
      </c>
      <c r="H1480" s="2" t="s">
        <v>1759</v>
      </c>
      <c r="I1480" s="2" t="s">
        <v>2647</v>
      </c>
      <c r="J1480" s="2" t="s">
        <v>2648</v>
      </c>
      <c r="K1480" s="2" t="s">
        <v>2649</v>
      </c>
      <c r="L1480" s="2" t="s">
        <v>45</v>
      </c>
    </row>
    <row r="1481" spans="1:12" ht="34" customHeight="1">
      <c r="A1481" s="2" t="s">
        <v>1391</v>
      </c>
      <c r="B1481" s="2" t="s">
        <v>1272</v>
      </c>
      <c r="C1481" s="2" t="s">
        <v>1384</v>
      </c>
      <c r="D1481" s="2" t="s">
        <v>1765</v>
      </c>
      <c r="E1481" s="7" t="s">
        <v>261</v>
      </c>
      <c r="F1481" s="7" t="s">
        <v>1766</v>
      </c>
      <c r="G1481" s="2" t="s">
        <v>1388</v>
      </c>
      <c r="H1481" s="2" t="s">
        <v>1759</v>
      </c>
      <c r="I1481" s="2" t="s">
        <v>1767</v>
      </c>
      <c r="J1481" s="2"/>
      <c r="K1481" t="s">
        <v>2650</v>
      </c>
    </row>
    <row r="1482" spans="1:12" ht="34" customHeight="1">
      <c r="A1482" s="2" t="s">
        <v>1395</v>
      </c>
      <c r="B1482" s="2" t="s">
        <v>1272</v>
      </c>
      <c r="C1482" s="2" t="s">
        <v>1393</v>
      </c>
      <c r="D1482" s="2" t="s">
        <v>1757</v>
      </c>
      <c r="E1482" s="4">
        <v>2.1</v>
      </c>
      <c r="F1482" s="7" t="s">
        <v>1758</v>
      </c>
      <c r="G1482" s="2" t="s">
        <v>29</v>
      </c>
      <c r="H1482" s="2" t="s">
        <v>1759</v>
      </c>
      <c r="I1482" s="2" t="s">
        <v>2640</v>
      </c>
      <c r="J1482" s="2" t="s">
        <v>2641</v>
      </c>
      <c r="K1482" s="2" t="s">
        <v>2651</v>
      </c>
      <c r="L1482" s="2" t="s">
        <v>45</v>
      </c>
    </row>
    <row r="1483" spans="1:12" ht="34" customHeight="1">
      <c r="A1483" s="2" t="s">
        <v>1395</v>
      </c>
      <c r="B1483" s="2" t="s">
        <v>1272</v>
      </c>
      <c r="C1483" s="2" t="s">
        <v>1393</v>
      </c>
      <c r="D1483" s="2" t="s">
        <v>254</v>
      </c>
      <c r="E1483" s="5">
        <v>0.65</v>
      </c>
      <c r="F1483" s="7" t="s">
        <v>1758</v>
      </c>
      <c r="G1483" s="2" t="s">
        <v>29</v>
      </c>
      <c r="H1483" s="2" t="s">
        <v>1759</v>
      </c>
      <c r="I1483" s="2" t="s">
        <v>2640</v>
      </c>
      <c r="J1483" s="2" t="s">
        <v>2641</v>
      </c>
      <c r="K1483" s="2" t="s">
        <v>2651</v>
      </c>
      <c r="L1483" s="2" t="s">
        <v>45</v>
      </c>
    </row>
    <row r="1484" spans="1:12" ht="34" customHeight="1">
      <c r="A1484" s="2" t="s">
        <v>1395</v>
      </c>
      <c r="B1484" s="2" t="s">
        <v>1272</v>
      </c>
      <c r="C1484" s="2" t="s">
        <v>1393</v>
      </c>
      <c r="D1484" s="2" t="s">
        <v>124</v>
      </c>
      <c r="E1484" s="6">
        <v>2</v>
      </c>
      <c r="F1484" s="7" t="s">
        <v>1763</v>
      </c>
      <c r="G1484" s="2" t="s">
        <v>29</v>
      </c>
      <c r="H1484" s="2" t="s">
        <v>1759</v>
      </c>
      <c r="I1484" s="2" t="s">
        <v>2640</v>
      </c>
      <c r="J1484" s="2" t="s">
        <v>2641</v>
      </c>
      <c r="K1484" s="2" t="s">
        <v>2651</v>
      </c>
      <c r="L1484" s="2" t="s">
        <v>45</v>
      </c>
    </row>
    <row r="1485" spans="1:12" ht="34" customHeight="1">
      <c r="A1485" s="2" t="s">
        <v>1395</v>
      </c>
      <c r="B1485" s="2" t="s">
        <v>1272</v>
      </c>
      <c r="C1485" s="2" t="s">
        <v>1393</v>
      </c>
      <c r="D1485" s="2" t="s">
        <v>65</v>
      </c>
      <c r="E1485" s="5">
        <v>0.25</v>
      </c>
      <c r="F1485" s="7" t="s">
        <v>1763</v>
      </c>
      <c r="G1485" s="2" t="s">
        <v>29</v>
      </c>
      <c r="H1485" s="2" t="s">
        <v>1759</v>
      </c>
      <c r="I1485" s="2" t="s">
        <v>2640</v>
      </c>
      <c r="J1485" s="2" t="s">
        <v>2641</v>
      </c>
      <c r="K1485" s="2" t="s">
        <v>2651</v>
      </c>
      <c r="L1485" s="2" t="s">
        <v>45</v>
      </c>
    </row>
    <row r="1486" spans="1:12" ht="34" customHeight="1">
      <c r="A1486" s="2" t="s">
        <v>1395</v>
      </c>
      <c r="B1486" s="2" t="s">
        <v>1272</v>
      </c>
      <c r="C1486" s="2" t="s">
        <v>1393</v>
      </c>
      <c r="D1486" s="2" t="s">
        <v>222</v>
      </c>
      <c r="E1486" s="6">
        <v>11</v>
      </c>
      <c r="F1486" s="7" t="s">
        <v>1764</v>
      </c>
      <c r="G1486" s="2" t="s">
        <v>29</v>
      </c>
      <c r="H1486" s="2" t="s">
        <v>1759</v>
      </c>
      <c r="I1486" s="2" t="s">
        <v>2640</v>
      </c>
      <c r="J1486" s="2" t="s">
        <v>2641</v>
      </c>
      <c r="K1486" s="2" t="s">
        <v>2651</v>
      </c>
      <c r="L1486" s="2" t="s">
        <v>45</v>
      </c>
    </row>
    <row r="1487" spans="1:12" ht="34" customHeight="1">
      <c r="A1487" s="2" t="s">
        <v>1395</v>
      </c>
      <c r="B1487" s="2" t="s">
        <v>1272</v>
      </c>
      <c r="C1487" s="2" t="s">
        <v>1393</v>
      </c>
      <c r="D1487" s="2" t="s">
        <v>1765</v>
      </c>
      <c r="E1487" s="6" t="s">
        <v>1274</v>
      </c>
      <c r="F1487" s="7" t="s">
        <v>1766</v>
      </c>
      <c r="G1487" s="2" t="s">
        <v>29</v>
      </c>
      <c r="H1487" s="2" t="s">
        <v>1759</v>
      </c>
      <c r="I1487" s="2" t="s">
        <v>1767</v>
      </c>
      <c r="J1487" s="2"/>
      <c r="K1487" t="s">
        <v>2652</v>
      </c>
    </row>
    <row r="1488" spans="1:12" ht="34" customHeight="1">
      <c r="A1488" s="2" t="s">
        <v>1404</v>
      </c>
      <c r="B1488" s="2" t="s">
        <v>1272</v>
      </c>
      <c r="C1488" s="2" t="s">
        <v>1397</v>
      </c>
      <c r="D1488" s="2" t="s">
        <v>1757</v>
      </c>
      <c r="E1488" s="4">
        <v>1.7</v>
      </c>
      <c r="F1488" s="7" t="s">
        <v>1758</v>
      </c>
      <c r="G1488" s="2" t="s">
        <v>71</v>
      </c>
      <c r="H1488" s="2" t="s">
        <v>1759</v>
      </c>
      <c r="I1488" s="2" t="s">
        <v>2653</v>
      </c>
      <c r="J1488" s="2" t="s">
        <v>2654</v>
      </c>
      <c r="K1488" s="2" t="s">
        <v>2655</v>
      </c>
      <c r="L1488" s="2" t="s">
        <v>45</v>
      </c>
    </row>
    <row r="1489" spans="1:12" ht="34" customHeight="1">
      <c r="A1489" s="2" t="s">
        <v>1404</v>
      </c>
      <c r="B1489" s="2" t="s">
        <v>1272</v>
      </c>
      <c r="C1489" s="2" t="s">
        <v>1397</v>
      </c>
      <c r="D1489" s="2" t="s">
        <v>254</v>
      </c>
      <c r="E1489" s="4">
        <v>0.6</v>
      </c>
      <c r="F1489" s="7" t="s">
        <v>1758</v>
      </c>
      <c r="G1489" s="2" t="s">
        <v>71</v>
      </c>
      <c r="H1489" s="2" t="s">
        <v>1759</v>
      </c>
      <c r="I1489" s="2" t="s">
        <v>2653</v>
      </c>
      <c r="J1489" s="2" t="s">
        <v>2654</v>
      </c>
      <c r="K1489" s="2" t="s">
        <v>2655</v>
      </c>
      <c r="L1489" s="2" t="s">
        <v>45</v>
      </c>
    </row>
    <row r="1490" spans="1:12" ht="34" customHeight="1">
      <c r="A1490" s="2" t="s">
        <v>1404</v>
      </c>
      <c r="B1490" s="2" t="s">
        <v>1272</v>
      </c>
      <c r="C1490" s="2" t="s">
        <v>1397</v>
      </c>
      <c r="D1490" s="2" t="s">
        <v>124</v>
      </c>
      <c r="E1490" s="7" t="s">
        <v>1398</v>
      </c>
      <c r="F1490" s="7" t="s">
        <v>1763</v>
      </c>
      <c r="G1490" s="2" t="s">
        <v>71</v>
      </c>
      <c r="H1490" s="2" t="s">
        <v>1759</v>
      </c>
      <c r="I1490" s="2" t="s">
        <v>2653</v>
      </c>
      <c r="J1490" s="2" t="s">
        <v>2654</v>
      </c>
      <c r="K1490" s="2" t="s">
        <v>2655</v>
      </c>
      <c r="L1490" s="2" t="s">
        <v>45</v>
      </c>
    </row>
    <row r="1491" spans="1:12" ht="37" customHeight="1">
      <c r="A1491" s="2" t="s">
        <v>1404</v>
      </c>
      <c r="B1491" s="2" t="s">
        <v>1272</v>
      </c>
      <c r="C1491" s="2" t="s">
        <v>1397</v>
      </c>
      <c r="D1491" s="2" t="s">
        <v>65</v>
      </c>
      <c r="E1491" s="7" t="s">
        <v>1399</v>
      </c>
      <c r="F1491" s="7" t="s">
        <v>1763</v>
      </c>
      <c r="G1491" s="2" t="s">
        <v>71</v>
      </c>
      <c r="H1491" s="2" t="s">
        <v>1759</v>
      </c>
      <c r="I1491" s="2" t="s">
        <v>2653</v>
      </c>
      <c r="J1491" s="2" t="s">
        <v>2654</v>
      </c>
      <c r="K1491" s="2" t="s">
        <v>2655</v>
      </c>
      <c r="L1491" s="2" t="s">
        <v>45</v>
      </c>
    </row>
    <row r="1492" spans="1:12" ht="37" customHeight="1">
      <c r="A1492" s="2" t="s">
        <v>1404</v>
      </c>
      <c r="B1492" s="2" t="s">
        <v>1272</v>
      </c>
      <c r="C1492" s="2" t="s">
        <v>1397</v>
      </c>
      <c r="D1492" s="2" t="s">
        <v>222</v>
      </c>
      <c r="E1492" s="7" t="s">
        <v>1400</v>
      </c>
      <c r="F1492" s="7" t="s">
        <v>1764</v>
      </c>
      <c r="G1492" s="2" t="s">
        <v>71</v>
      </c>
      <c r="H1492" s="2" t="s">
        <v>1759</v>
      </c>
      <c r="I1492" s="2" t="s">
        <v>2653</v>
      </c>
      <c r="J1492" s="2" t="s">
        <v>2654</v>
      </c>
      <c r="K1492" s="2" t="s">
        <v>2655</v>
      </c>
      <c r="L1492" s="2" t="s">
        <v>45</v>
      </c>
    </row>
    <row r="1493" spans="1:12" ht="37" customHeight="1">
      <c r="A1493" s="2" t="s">
        <v>1404</v>
      </c>
      <c r="B1493" s="2" t="s">
        <v>1272</v>
      </c>
      <c r="C1493" s="2" t="s">
        <v>1397</v>
      </c>
      <c r="D1493" s="2" t="s">
        <v>1765</v>
      </c>
      <c r="E1493" s="7" t="s">
        <v>1401</v>
      </c>
      <c r="F1493" s="7" t="s">
        <v>1766</v>
      </c>
      <c r="G1493" s="2" t="s">
        <v>71</v>
      </c>
      <c r="H1493" s="2" t="s">
        <v>1759</v>
      </c>
      <c r="I1493" s="2" t="s">
        <v>1767</v>
      </c>
      <c r="J1493" s="2"/>
      <c r="K1493" t="s">
        <v>2656</v>
      </c>
    </row>
    <row r="1494" spans="1:12" ht="37" customHeight="1">
      <c r="A1494" s="2" t="s">
        <v>1409</v>
      </c>
      <c r="B1494" s="2" t="s">
        <v>1272</v>
      </c>
      <c r="C1494" s="2" t="s">
        <v>1407</v>
      </c>
      <c r="D1494" s="2" t="s">
        <v>1757</v>
      </c>
      <c r="E1494" s="5">
        <v>0.59</v>
      </c>
      <c r="F1494" s="7" t="s">
        <v>1758</v>
      </c>
      <c r="G1494" s="2" t="s">
        <v>29</v>
      </c>
      <c r="H1494" s="2" t="s">
        <v>1759</v>
      </c>
      <c r="I1494" s="2" t="s">
        <v>2637</v>
      </c>
      <c r="J1494" s="2" t="s">
        <v>2280</v>
      </c>
      <c r="K1494" s="2" t="s">
        <v>2657</v>
      </c>
      <c r="L1494" s="2" t="s">
        <v>45</v>
      </c>
    </row>
    <row r="1495" spans="1:12" ht="37" customHeight="1">
      <c r="A1495" s="2" t="s">
        <v>1409</v>
      </c>
      <c r="B1495" s="2" t="s">
        <v>1272</v>
      </c>
      <c r="C1495" s="2" t="s">
        <v>1407</v>
      </c>
      <c r="D1495" s="2" t="s">
        <v>254</v>
      </c>
      <c r="E1495" s="7"/>
      <c r="F1495" s="7" t="s">
        <v>1758</v>
      </c>
      <c r="G1495" s="2" t="s">
        <v>29</v>
      </c>
      <c r="H1495" s="2" t="s">
        <v>1773</v>
      </c>
      <c r="I1495" s="2"/>
      <c r="J1495" s="2"/>
      <c r="K1495" s="2" t="s">
        <v>2657</v>
      </c>
      <c r="L1495" s="2" t="s">
        <v>45</v>
      </c>
    </row>
    <row r="1496" spans="1:12" ht="37" customHeight="1">
      <c r="A1496" s="2" t="s">
        <v>1409</v>
      </c>
      <c r="B1496" s="2" t="s">
        <v>1272</v>
      </c>
      <c r="C1496" s="2" t="s">
        <v>1407</v>
      </c>
      <c r="D1496" s="2" t="s">
        <v>124</v>
      </c>
      <c r="E1496" s="7"/>
      <c r="F1496" s="7" t="s">
        <v>1763</v>
      </c>
      <c r="G1496" s="2" t="s">
        <v>29</v>
      </c>
      <c r="H1496" s="2" t="s">
        <v>1773</v>
      </c>
      <c r="I1496" s="2"/>
      <c r="J1496" s="2"/>
      <c r="K1496" s="2" t="s">
        <v>2657</v>
      </c>
      <c r="L1496" s="2" t="s">
        <v>45</v>
      </c>
    </row>
    <row r="1497" spans="1:12" ht="50.5" customHeight="1">
      <c r="A1497" s="2" t="s">
        <v>1409</v>
      </c>
      <c r="B1497" s="2" t="s">
        <v>1272</v>
      </c>
      <c r="C1497" s="2" t="s">
        <v>1407</v>
      </c>
      <c r="D1497" s="2" t="s">
        <v>65</v>
      </c>
      <c r="E1497" s="7"/>
      <c r="F1497" s="7" t="s">
        <v>1763</v>
      </c>
      <c r="G1497" s="2" t="s">
        <v>29</v>
      </c>
      <c r="H1497" s="2" t="s">
        <v>1773</v>
      </c>
      <c r="I1497" s="2"/>
      <c r="J1497" s="2"/>
      <c r="K1497" s="2" t="s">
        <v>2657</v>
      </c>
      <c r="L1497" s="2" t="s">
        <v>45</v>
      </c>
    </row>
    <row r="1498" spans="1:12" ht="37" customHeight="1">
      <c r="A1498" s="2" t="s">
        <v>1409</v>
      </c>
      <c r="B1498" s="2" t="s">
        <v>1272</v>
      </c>
      <c r="C1498" s="2" t="s">
        <v>1407</v>
      </c>
      <c r="D1498" s="2" t="s">
        <v>222</v>
      </c>
      <c r="E1498" s="5">
        <v>0.32</v>
      </c>
      <c r="F1498" s="7" t="s">
        <v>1764</v>
      </c>
      <c r="G1498" s="2" t="s">
        <v>29</v>
      </c>
      <c r="H1498" s="2" t="s">
        <v>1759</v>
      </c>
      <c r="I1498" s="2" t="s">
        <v>2637</v>
      </c>
      <c r="J1498" s="2" t="s">
        <v>2280</v>
      </c>
      <c r="K1498" s="2" t="s">
        <v>2657</v>
      </c>
      <c r="L1498" s="2" t="s">
        <v>45</v>
      </c>
    </row>
    <row r="1499" spans="1:12" ht="37" customHeight="1">
      <c r="A1499" s="2" t="s">
        <v>1409</v>
      </c>
      <c r="B1499" s="2" t="s">
        <v>1272</v>
      </c>
      <c r="C1499" s="2" t="s">
        <v>1407</v>
      </c>
      <c r="D1499" s="2" t="s">
        <v>1765</v>
      </c>
      <c r="E1499" s="5" t="s">
        <v>1408</v>
      </c>
      <c r="F1499" s="7" t="s">
        <v>1766</v>
      </c>
      <c r="G1499" s="2" t="s">
        <v>29</v>
      </c>
      <c r="H1499" s="2" t="s">
        <v>1759</v>
      </c>
      <c r="I1499" s="2" t="s">
        <v>1767</v>
      </c>
      <c r="J1499" s="2"/>
      <c r="K1499" t="s">
        <v>1817</v>
      </c>
    </row>
    <row r="1500" spans="1:12" ht="37" customHeight="1">
      <c r="A1500" s="2" t="s">
        <v>1414</v>
      </c>
      <c r="B1500" s="2" t="s">
        <v>1272</v>
      </c>
      <c r="C1500" s="2" t="s">
        <v>1412</v>
      </c>
      <c r="D1500" s="2" t="s">
        <v>1757</v>
      </c>
      <c r="E1500" s="5">
        <v>0.66</v>
      </c>
      <c r="F1500" s="7" t="s">
        <v>1758</v>
      </c>
      <c r="G1500" s="2" t="s">
        <v>180</v>
      </c>
      <c r="H1500" s="2" t="s">
        <v>1759</v>
      </c>
      <c r="I1500" s="2" t="s">
        <v>2658</v>
      </c>
      <c r="J1500" s="2" t="s">
        <v>2659</v>
      </c>
      <c r="K1500" s="2" t="s">
        <v>2660</v>
      </c>
      <c r="L1500" s="2" t="s">
        <v>35</v>
      </c>
    </row>
    <row r="1501" spans="1:12" ht="37" customHeight="1">
      <c r="A1501" s="2" t="s">
        <v>1414</v>
      </c>
      <c r="B1501" s="2" t="s">
        <v>1272</v>
      </c>
      <c r="C1501" s="2" t="s">
        <v>1412</v>
      </c>
      <c r="D1501" s="2" t="s">
        <v>254</v>
      </c>
      <c r="E1501" s="7"/>
      <c r="F1501" s="7" t="s">
        <v>1758</v>
      </c>
      <c r="G1501" s="2" t="s">
        <v>180</v>
      </c>
      <c r="H1501" s="2" t="s">
        <v>1773</v>
      </c>
      <c r="I1501" s="2"/>
      <c r="J1501" s="2"/>
      <c r="K1501" s="2" t="s">
        <v>2660</v>
      </c>
      <c r="L1501" s="2" t="s">
        <v>35</v>
      </c>
    </row>
    <row r="1502" spans="1:12" ht="37" customHeight="1">
      <c r="A1502" s="2" t="s">
        <v>1414</v>
      </c>
      <c r="B1502" s="2" t="s">
        <v>1272</v>
      </c>
      <c r="C1502" s="2" t="s">
        <v>1412</v>
      </c>
      <c r="D1502" s="2" t="s">
        <v>124</v>
      </c>
      <c r="E1502" s="7"/>
      <c r="F1502" s="7" t="s">
        <v>1763</v>
      </c>
      <c r="G1502" s="2" t="s">
        <v>180</v>
      </c>
      <c r="H1502" s="2" t="s">
        <v>1773</v>
      </c>
      <c r="I1502" s="2"/>
      <c r="J1502" s="2"/>
      <c r="K1502" s="2" t="s">
        <v>2660</v>
      </c>
      <c r="L1502" s="2" t="s">
        <v>35</v>
      </c>
    </row>
    <row r="1503" spans="1:12" ht="37" customHeight="1">
      <c r="A1503" s="2" t="s">
        <v>1414</v>
      </c>
      <c r="B1503" s="2" t="s">
        <v>1272</v>
      </c>
      <c r="C1503" s="2" t="s">
        <v>1412</v>
      </c>
      <c r="D1503" s="2" t="s">
        <v>65</v>
      </c>
      <c r="E1503" s="7"/>
      <c r="F1503" s="7" t="s">
        <v>1763</v>
      </c>
      <c r="G1503" s="2" t="s">
        <v>180</v>
      </c>
      <c r="H1503" s="2" t="s">
        <v>1773</v>
      </c>
      <c r="I1503" s="2"/>
      <c r="J1503" s="2"/>
      <c r="K1503" s="2" t="s">
        <v>2660</v>
      </c>
      <c r="L1503" s="2" t="s">
        <v>35</v>
      </c>
    </row>
    <row r="1504" spans="1:12" ht="50.5" customHeight="1">
      <c r="A1504" s="2" t="s">
        <v>1414</v>
      </c>
      <c r="B1504" s="2" t="s">
        <v>1272</v>
      </c>
      <c r="C1504" s="2" t="s">
        <v>1412</v>
      </c>
      <c r="D1504" s="2" t="s">
        <v>222</v>
      </c>
      <c r="E1504" s="5">
        <v>0.15</v>
      </c>
      <c r="F1504" s="7" t="s">
        <v>1764</v>
      </c>
      <c r="G1504" s="2" t="s">
        <v>180</v>
      </c>
      <c r="H1504" s="2" t="s">
        <v>1759</v>
      </c>
      <c r="I1504" s="2" t="s">
        <v>2658</v>
      </c>
      <c r="J1504" s="2" t="s">
        <v>2659</v>
      </c>
      <c r="K1504" s="2" t="s">
        <v>2660</v>
      </c>
      <c r="L1504" s="2" t="s">
        <v>35</v>
      </c>
    </row>
    <row r="1505" spans="1:12" ht="37" customHeight="1">
      <c r="A1505" s="2" t="s">
        <v>1414</v>
      </c>
      <c r="B1505" s="2" t="s">
        <v>1272</v>
      </c>
      <c r="C1505" s="2" t="s">
        <v>1412</v>
      </c>
      <c r="D1505" s="2" t="s">
        <v>1765</v>
      </c>
      <c r="E1505" s="5" t="s">
        <v>1408</v>
      </c>
      <c r="F1505" s="7" t="s">
        <v>1766</v>
      </c>
      <c r="G1505" s="2" t="s">
        <v>180</v>
      </c>
      <c r="H1505" s="2" t="s">
        <v>1759</v>
      </c>
      <c r="I1505" s="2" t="s">
        <v>1767</v>
      </c>
      <c r="J1505" s="2"/>
      <c r="K1505" t="s">
        <v>1817</v>
      </c>
    </row>
    <row r="1506" spans="1:12" ht="34" customHeight="1">
      <c r="A1506" s="2" t="s">
        <v>1419</v>
      </c>
      <c r="B1506" s="2" t="s">
        <v>1272</v>
      </c>
      <c r="C1506" s="2" t="s">
        <v>1417</v>
      </c>
      <c r="D1506" s="2" t="s">
        <v>1757</v>
      </c>
      <c r="E1506" s="5">
        <v>1.43</v>
      </c>
      <c r="F1506" s="7" t="s">
        <v>1758</v>
      </c>
      <c r="G1506" s="2" t="s">
        <v>316</v>
      </c>
      <c r="H1506" s="2" t="s">
        <v>1759</v>
      </c>
      <c r="I1506" s="2" t="s">
        <v>2661</v>
      </c>
      <c r="J1506" s="2" t="s">
        <v>2662</v>
      </c>
      <c r="K1506" s="2" t="s">
        <v>2663</v>
      </c>
      <c r="L1506" s="2" t="s">
        <v>35</v>
      </c>
    </row>
    <row r="1507" spans="1:12" ht="34" customHeight="1">
      <c r="A1507" s="2" t="s">
        <v>1419</v>
      </c>
      <c r="B1507" s="2" t="s">
        <v>1272</v>
      </c>
      <c r="C1507" s="2" t="s">
        <v>1417</v>
      </c>
      <c r="D1507" s="2" t="s">
        <v>254</v>
      </c>
      <c r="E1507" s="5">
        <v>0.45</v>
      </c>
      <c r="F1507" s="7" t="s">
        <v>1758</v>
      </c>
      <c r="G1507" s="2" t="s">
        <v>316</v>
      </c>
      <c r="H1507" s="2" t="s">
        <v>1759</v>
      </c>
      <c r="I1507" s="2" t="s">
        <v>2661</v>
      </c>
      <c r="J1507" s="2" t="s">
        <v>2662</v>
      </c>
      <c r="K1507" s="2" t="s">
        <v>2663</v>
      </c>
      <c r="L1507" s="2" t="s">
        <v>35</v>
      </c>
    </row>
    <row r="1508" spans="1:12" ht="34" customHeight="1">
      <c r="A1508" s="2" t="s">
        <v>1419</v>
      </c>
      <c r="B1508" s="2" t="s">
        <v>1272</v>
      </c>
      <c r="C1508" s="2" t="s">
        <v>1417</v>
      </c>
      <c r="D1508" s="2" t="s">
        <v>124</v>
      </c>
      <c r="E1508" s="4">
        <v>2.8</v>
      </c>
      <c r="F1508" s="7" t="s">
        <v>1763</v>
      </c>
      <c r="G1508" s="2" t="s">
        <v>316</v>
      </c>
      <c r="H1508" s="2" t="s">
        <v>1759</v>
      </c>
      <c r="I1508" s="2" t="s">
        <v>2661</v>
      </c>
      <c r="J1508" s="2" t="s">
        <v>2662</v>
      </c>
      <c r="K1508" s="2" t="s">
        <v>2663</v>
      </c>
      <c r="L1508" s="2" t="s">
        <v>35</v>
      </c>
    </row>
    <row r="1509" spans="1:12" ht="34" customHeight="1">
      <c r="A1509" s="2" t="s">
        <v>1419</v>
      </c>
      <c r="B1509" s="2" t="s">
        <v>1272</v>
      </c>
      <c r="C1509" s="2" t="s">
        <v>1417</v>
      </c>
      <c r="D1509" s="2" t="s">
        <v>65</v>
      </c>
      <c r="E1509" s="7"/>
      <c r="F1509" s="7" t="s">
        <v>1763</v>
      </c>
      <c r="G1509" s="2" t="s">
        <v>316</v>
      </c>
      <c r="H1509" s="2" t="s">
        <v>1773</v>
      </c>
      <c r="I1509" s="2"/>
      <c r="J1509" s="2"/>
      <c r="K1509" s="2" t="s">
        <v>2663</v>
      </c>
      <c r="L1509" s="2" t="s">
        <v>35</v>
      </c>
    </row>
    <row r="1510" spans="1:12" ht="34" customHeight="1">
      <c r="A1510" s="2" t="s">
        <v>1419</v>
      </c>
      <c r="B1510" s="2" t="s">
        <v>1272</v>
      </c>
      <c r="C1510" s="2" t="s">
        <v>1417</v>
      </c>
      <c r="D1510" s="2" t="s">
        <v>222</v>
      </c>
      <c r="E1510" s="4">
        <v>1.2</v>
      </c>
      <c r="F1510" s="7" t="s">
        <v>1764</v>
      </c>
      <c r="G1510" s="2" t="s">
        <v>316</v>
      </c>
      <c r="H1510" s="2" t="s">
        <v>1759</v>
      </c>
      <c r="I1510" s="2" t="s">
        <v>2661</v>
      </c>
      <c r="J1510" s="2" t="s">
        <v>2662</v>
      </c>
      <c r="K1510" s="2" t="s">
        <v>2663</v>
      </c>
      <c r="L1510" s="2" t="s">
        <v>35</v>
      </c>
    </row>
    <row r="1511" spans="1:12" ht="37" customHeight="1">
      <c r="A1511" s="2" t="s">
        <v>1419</v>
      </c>
      <c r="B1511" s="2" t="s">
        <v>1272</v>
      </c>
      <c r="C1511" s="2" t="s">
        <v>1417</v>
      </c>
      <c r="D1511" s="2" t="s">
        <v>1765</v>
      </c>
      <c r="E1511" s="4" t="s">
        <v>323</v>
      </c>
      <c r="F1511" s="7" t="s">
        <v>1766</v>
      </c>
      <c r="G1511" s="2" t="s">
        <v>316</v>
      </c>
      <c r="H1511" s="2" t="s">
        <v>1759</v>
      </c>
      <c r="I1511" s="2" t="s">
        <v>1767</v>
      </c>
      <c r="J1511" s="2"/>
      <c r="K1511" t="s">
        <v>1847</v>
      </c>
    </row>
    <row r="1512" spans="1:12" ht="37" customHeight="1">
      <c r="A1512" s="2" t="s">
        <v>1424</v>
      </c>
      <c r="B1512" s="2" t="s">
        <v>1272</v>
      </c>
      <c r="C1512" s="2" t="s">
        <v>1421</v>
      </c>
      <c r="D1512" s="2" t="s">
        <v>1757</v>
      </c>
      <c r="E1512" s="6">
        <v>5</v>
      </c>
      <c r="F1512" s="7" t="s">
        <v>1758</v>
      </c>
      <c r="G1512" s="2" t="s">
        <v>180</v>
      </c>
      <c r="H1512" s="2" t="s">
        <v>1759</v>
      </c>
      <c r="I1512" s="2" t="s">
        <v>2150</v>
      </c>
      <c r="J1512" s="2" t="s">
        <v>1777</v>
      </c>
      <c r="K1512" s="2" t="s">
        <v>2664</v>
      </c>
      <c r="L1512" s="2" t="s">
        <v>45</v>
      </c>
    </row>
    <row r="1513" spans="1:12" ht="37" customHeight="1">
      <c r="A1513" s="2" t="s">
        <v>1424</v>
      </c>
      <c r="B1513" s="2" t="s">
        <v>1272</v>
      </c>
      <c r="C1513" s="2" t="s">
        <v>1421</v>
      </c>
      <c r="D1513" s="2" t="s">
        <v>254</v>
      </c>
      <c r="E1513" s="6">
        <v>1</v>
      </c>
      <c r="F1513" s="7" t="s">
        <v>1758</v>
      </c>
      <c r="G1513" s="2" t="s">
        <v>180</v>
      </c>
      <c r="H1513" s="2" t="s">
        <v>1759</v>
      </c>
      <c r="I1513" s="2" t="s">
        <v>2150</v>
      </c>
      <c r="J1513" s="2" t="s">
        <v>1777</v>
      </c>
      <c r="K1513" s="2" t="s">
        <v>2664</v>
      </c>
      <c r="L1513" s="2" t="s">
        <v>45</v>
      </c>
    </row>
    <row r="1514" spans="1:12" ht="50.5" customHeight="1">
      <c r="A1514" s="2" t="s">
        <v>1424</v>
      </c>
      <c r="B1514" s="2" t="s">
        <v>1272</v>
      </c>
      <c r="C1514" s="2" t="s">
        <v>1421</v>
      </c>
      <c r="D1514" s="2" t="s">
        <v>124</v>
      </c>
      <c r="E1514" s="6">
        <v>2</v>
      </c>
      <c r="F1514" s="7" t="s">
        <v>1763</v>
      </c>
      <c r="G1514" s="2" t="s">
        <v>180</v>
      </c>
      <c r="H1514" s="2" t="s">
        <v>1759</v>
      </c>
      <c r="I1514" s="2" t="s">
        <v>2150</v>
      </c>
      <c r="J1514" s="2" t="s">
        <v>1777</v>
      </c>
      <c r="K1514" s="2" t="s">
        <v>2664</v>
      </c>
      <c r="L1514" s="2" t="s">
        <v>45</v>
      </c>
    </row>
    <row r="1515" spans="1:12" ht="37" customHeight="1">
      <c r="A1515" s="2" t="s">
        <v>1424</v>
      </c>
      <c r="B1515" s="2" t="s">
        <v>1272</v>
      </c>
      <c r="C1515" s="2" t="s">
        <v>1421</v>
      </c>
      <c r="D1515" s="2" t="s">
        <v>65</v>
      </c>
      <c r="E1515" s="7"/>
      <c r="F1515" s="7" t="s">
        <v>1763</v>
      </c>
      <c r="G1515" s="2" t="s">
        <v>180</v>
      </c>
      <c r="H1515" s="2" t="s">
        <v>1773</v>
      </c>
      <c r="I1515" s="2"/>
      <c r="J1515" s="2"/>
      <c r="K1515" s="2" t="s">
        <v>2664</v>
      </c>
      <c r="L1515" s="2" t="s">
        <v>45</v>
      </c>
    </row>
    <row r="1516" spans="1:12" ht="37" customHeight="1">
      <c r="A1516" s="2" t="s">
        <v>1424</v>
      </c>
      <c r="B1516" s="2" t="s">
        <v>1272</v>
      </c>
      <c r="C1516" s="2" t="s">
        <v>1421</v>
      </c>
      <c r="D1516" s="2" t="s">
        <v>222</v>
      </c>
      <c r="E1516" s="5">
        <v>0.04</v>
      </c>
      <c r="F1516" s="7" t="s">
        <v>1764</v>
      </c>
      <c r="G1516" s="2" t="s">
        <v>180</v>
      </c>
      <c r="H1516" s="2" t="s">
        <v>1759</v>
      </c>
      <c r="I1516" s="2" t="s">
        <v>2150</v>
      </c>
      <c r="J1516" s="2" t="s">
        <v>1777</v>
      </c>
      <c r="K1516" s="2" t="s">
        <v>2664</v>
      </c>
      <c r="L1516" s="2" t="s">
        <v>45</v>
      </c>
    </row>
    <row r="1517" spans="1:12" ht="37" customHeight="1">
      <c r="A1517" s="2" t="s">
        <v>1424</v>
      </c>
      <c r="B1517" s="2" t="s">
        <v>1272</v>
      </c>
      <c r="C1517" s="2" t="s">
        <v>1421</v>
      </c>
      <c r="D1517" s="2" t="s">
        <v>1765</v>
      </c>
      <c r="E1517" s="5" t="s">
        <v>375</v>
      </c>
      <c r="F1517" s="7" t="s">
        <v>1766</v>
      </c>
      <c r="G1517" s="2" t="s">
        <v>180</v>
      </c>
      <c r="H1517" s="2" t="s">
        <v>1759</v>
      </c>
      <c r="I1517" s="2" t="s">
        <v>1767</v>
      </c>
      <c r="J1517" s="2"/>
      <c r="K1517" t="s">
        <v>2665</v>
      </c>
    </row>
    <row r="1518" spans="1:12" ht="34" customHeight="1">
      <c r="A1518" s="2" t="s">
        <v>1428</v>
      </c>
      <c r="B1518" s="2" t="s">
        <v>1272</v>
      </c>
      <c r="C1518" s="2" t="s">
        <v>1425</v>
      </c>
      <c r="D1518" s="2" t="s">
        <v>1757</v>
      </c>
      <c r="E1518" s="8">
        <v>0.38100000000000001</v>
      </c>
      <c r="F1518" s="7" t="s">
        <v>1758</v>
      </c>
      <c r="G1518" s="2" t="s">
        <v>71</v>
      </c>
      <c r="H1518" s="2" t="s">
        <v>1759</v>
      </c>
      <c r="I1518" s="2" t="s">
        <v>2666</v>
      </c>
      <c r="J1518" s="2" t="s">
        <v>2667</v>
      </c>
      <c r="K1518" s="2" t="s">
        <v>2668</v>
      </c>
      <c r="L1518" s="2" t="s">
        <v>35</v>
      </c>
    </row>
    <row r="1519" spans="1:12" ht="34" customHeight="1">
      <c r="A1519" s="2" t="s">
        <v>1428</v>
      </c>
      <c r="B1519" s="2" t="s">
        <v>1272</v>
      </c>
      <c r="C1519" s="2" t="s">
        <v>1425</v>
      </c>
      <c r="D1519" s="2" t="s">
        <v>254</v>
      </c>
      <c r="E1519" s="8">
        <v>0.126</v>
      </c>
      <c r="F1519" s="7" t="s">
        <v>1758</v>
      </c>
      <c r="G1519" s="2" t="s">
        <v>71</v>
      </c>
      <c r="H1519" s="2" t="s">
        <v>1759</v>
      </c>
      <c r="I1519" s="2" t="s">
        <v>2666</v>
      </c>
      <c r="J1519" s="2" t="s">
        <v>2667</v>
      </c>
      <c r="K1519" s="2" t="s">
        <v>2668</v>
      </c>
      <c r="L1519" s="2" t="s">
        <v>35</v>
      </c>
    </row>
    <row r="1520" spans="1:12" ht="37" customHeight="1">
      <c r="A1520" s="2" t="s">
        <v>1428</v>
      </c>
      <c r="B1520" s="2" t="s">
        <v>1272</v>
      </c>
      <c r="C1520" s="2" t="s">
        <v>1425</v>
      </c>
      <c r="D1520" s="2" t="s">
        <v>124</v>
      </c>
      <c r="E1520" s="7"/>
      <c r="F1520" s="7" t="s">
        <v>1763</v>
      </c>
      <c r="G1520" s="2" t="s">
        <v>71</v>
      </c>
      <c r="H1520" s="2" t="s">
        <v>1773</v>
      </c>
      <c r="I1520" s="2"/>
      <c r="J1520" s="2"/>
      <c r="K1520" s="2" t="s">
        <v>2668</v>
      </c>
      <c r="L1520" s="2" t="s">
        <v>35</v>
      </c>
    </row>
    <row r="1521" spans="1:12" ht="37" customHeight="1">
      <c r="A1521" s="2" t="s">
        <v>1428</v>
      </c>
      <c r="B1521" s="2" t="s">
        <v>1272</v>
      </c>
      <c r="C1521" s="2" t="s">
        <v>1425</v>
      </c>
      <c r="D1521" s="2" t="s">
        <v>65</v>
      </c>
      <c r="E1521" s="7"/>
      <c r="F1521" s="7" t="s">
        <v>1763</v>
      </c>
      <c r="G1521" s="2" t="s">
        <v>71</v>
      </c>
      <c r="H1521" s="2" t="s">
        <v>1773</v>
      </c>
      <c r="I1521" s="2"/>
      <c r="J1521" s="2"/>
      <c r="K1521" s="2" t="s">
        <v>2668</v>
      </c>
      <c r="L1521" s="2" t="s">
        <v>35</v>
      </c>
    </row>
    <row r="1522" spans="1:12" ht="37" customHeight="1">
      <c r="A1522" s="2" t="s">
        <v>1428</v>
      </c>
      <c r="B1522" s="2" t="s">
        <v>1272</v>
      </c>
      <c r="C1522" s="2" t="s">
        <v>1425</v>
      </c>
      <c r="D1522" s="2" t="s">
        <v>222</v>
      </c>
      <c r="E1522" s="5">
        <v>0.01</v>
      </c>
      <c r="F1522" s="7" t="s">
        <v>1764</v>
      </c>
      <c r="G1522" s="2" t="s">
        <v>71</v>
      </c>
      <c r="H1522" s="2" t="s">
        <v>1759</v>
      </c>
      <c r="I1522" s="2" t="s">
        <v>2666</v>
      </c>
      <c r="J1522" s="2" t="s">
        <v>2667</v>
      </c>
      <c r="K1522" s="2" t="s">
        <v>2668</v>
      </c>
      <c r="L1522" s="2" t="s">
        <v>35</v>
      </c>
    </row>
    <row r="1523" spans="1:12" ht="37" customHeight="1">
      <c r="A1523" s="2" t="s">
        <v>1428</v>
      </c>
      <c r="B1523" s="2" t="s">
        <v>1272</v>
      </c>
      <c r="C1523" s="2" t="s">
        <v>1425</v>
      </c>
      <c r="D1523" s="2" t="s">
        <v>1765</v>
      </c>
      <c r="E1523" s="5" t="s">
        <v>1426</v>
      </c>
      <c r="F1523" s="7" t="s">
        <v>1766</v>
      </c>
      <c r="G1523" s="2" t="s">
        <v>71</v>
      </c>
      <c r="H1523" s="2" t="s">
        <v>1759</v>
      </c>
      <c r="I1523" s="2" t="s">
        <v>1767</v>
      </c>
      <c r="J1523" s="2"/>
      <c r="K1523" t="s">
        <v>1817</v>
      </c>
    </row>
    <row r="1524" spans="1:12" ht="37" customHeight="1">
      <c r="A1524" s="2" t="s">
        <v>1432</v>
      </c>
      <c r="B1524" s="2" t="s">
        <v>1272</v>
      </c>
      <c r="C1524" s="2" t="s">
        <v>1430</v>
      </c>
      <c r="D1524" s="2" t="s">
        <v>1757</v>
      </c>
      <c r="E1524" s="5">
        <v>2.14</v>
      </c>
      <c r="F1524" s="7" t="s">
        <v>1758</v>
      </c>
      <c r="G1524" s="2" t="s">
        <v>29</v>
      </c>
      <c r="H1524" s="2" t="s">
        <v>1759</v>
      </c>
      <c r="I1524" s="2" t="s">
        <v>2669</v>
      </c>
      <c r="J1524" s="2" t="s">
        <v>2670</v>
      </c>
      <c r="K1524" s="2" t="s">
        <v>2671</v>
      </c>
      <c r="L1524" s="2" t="s">
        <v>45</v>
      </c>
    </row>
    <row r="1525" spans="1:12" ht="37" customHeight="1">
      <c r="A1525" s="2" t="s">
        <v>1432</v>
      </c>
      <c r="B1525" s="2" t="s">
        <v>1272</v>
      </c>
      <c r="C1525" s="2" t="s">
        <v>1430</v>
      </c>
      <c r="D1525" s="2" t="s">
        <v>254</v>
      </c>
      <c r="E1525" s="8">
        <v>0.59499999999999997</v>
      </c>
      <c r="F1525" s="7" t="s">
        <v>1758</v>
      </c>
      <c r="G1525" s="2" t="s">
        <v>29</v>
      </c>
      <c r="H1525" s="2" t="s">
        <v>1759</v>
      </c>
      <c r="I1525" s="2" t="s">
        <v>2669</v>
      </c>
      <c r="J1525" s="2" t="s">
        <v>2670</v>
      </c>
      <c r="K1525" s="2" t="s">
        <v>2671</v>
      </c>
      <c r="L1525" s="2" t="s">
        <v>45</v>
      </c>
    </row>
    <row r="1526" spans="1:12" ht="37" customHeight="1">
      <c r="A1526" s="2" t="s">
        <v>1432</v>
      </c>
      <c r="B1526" s="2" t="s">
        <v>1272</v>
      </c>
      <c r="C1526" s="2" t="s">
        <v>1430</v>
      </c>
      <c r="D1526" s="2" t="s">
        <v>124</v>
      </c>
      <c r="E1526" s="6">
        <v>2</v>
      </c>
      <c r="F1526" s="7" t="s">
        <v>1763</v>
      </c>
      <c r="G1526" s="2" t="s">
        <v>29</v>
      </c>
      <c r="H1526" s="2" t="s">
        <v>1759</v>
      </c>
      <c r="I1526" s="2" t="s">
        <v>2669</v>
      </c>
      <c r="J1526" s="2" t="s">
        <v>2670</v>
      </c>
      <c r="K1526" s="2" t="s">
        <v>2671</v>
      </c>
      <c r="L1526" s="2" t="s">
        <v>45</v>
      </c>
    </row>
    <row r="1527" spans="1:12" ht="37" customHeight="1">
      <c r="A1527" s="2" t="s">
        <v>1432</v>
      </c>
      <c r="B1527" s="2" t="s">
        <v>1272</v>
      </c>
      <c r="C1527" s="2" t="s">
        <v>1430</v>
      </c>
      <c r="D1527" s="2" t="s">
        <v>65</v>
      </c>
      <c r="E1527" s="4">
        <v>0.7</v>
      </c>
      <c r="F1527" s="7" t="s">
        <v>1763</v>
      </c>
      <c r="G1527" s="2" t="s">
        <v>29</v>
      </c>
      <c r="H1527" s="2" t="s">
        <v>1759</v>
      </c>
      <c r="I1527" s="2" t="s">
        <v>2669</v>
      </c>
      <c r="J1527" s="2" t="s">
        <v>2670</v>
      </c>
      <c r="K1527" s="2" t="s">
        <v>2671</v>
      </c>
      <c r="L1527" s="2" t="s">
        <v>45</v>
      </c>
    </row>
    <row r="1528" spans="1:12" ht="37" customHeight="1">
      <c r="A1528" s="2" t="s">
        <v>1432</v>
      </c>
      <c r="B1528" s="2" t="s">
        <v>1272</v>
      </c>
      <c r="C1528" s="2" t="s">
        <v>1430</v>
      </c>
      <c r="D1528" s="2" t="s">
        <v>222</v>
      </c>
      <c r="E1528" s="4">
        <v>7.7</v>
      </c>
      <c r="F1528" s="7" t="s">
        <v>1764</v>
      </c>
      <c r="G1528" s="2" t="s">
        <v>29</v>
      </c>
      <c r="H1528" s="2" t="s">
        <v>1759</v>
      </c>
      <c r="I1528" s="2" t="s">
        <v>2669</v>
      </c>
      <c r="J1528" s="2" t="s">
        <v>2670</v>
      </c>
      <c r="K1528" s="2" t="s">
        <v>2671</v>
      </c>
      <c r="L1528" s="2" t="s">
        <v>45</v>
      </c>
    </row>
    <row r="1529" spans="1:12" ht="64" customHeight="1">
      <c r="A1529" s="2" t="s">
        <v>1432</v>
      </c>
      <c r="B1529" s="2" t="s">
        <v>1272</v>
      </c>
      <c r="C1529" s="2" t="s">
        <v>1430</v>
      </c>
      <c r="D1529" s="2" t="s">
        <v>1765</v>
      </c>
      <c r="E1529" s="4" t="s">
        <v>1274</v>
      </c>
      <c r="F1529" s="7" t="s">
        <v>1766</v>
      </c>
      <c r="G1529" s="2" t="s">
        <v>29</v>
      </c>
      <c r="H1529" s="2" t="s">
        <v>1759</v>
      </c>
      <c r="I1529" s="2" t="s">
        <v>1767</v>
      </c>
      <c r="J1529" s="2"/>
      <c r="K1529" t="s">
        <v>2672</v>
      </c>
    </row>
    <row r="1530" spans="1:12" ht="37" customHeight="1">
      <c r="A1530" s="2" t="s">
        <v>1437</v>
      </c>
      <c r="B1530" s="2" t="s">
        <v>1272</v>
      </c>
      <c r="C1530" s="2" t="s">
        <v>1434</v>
      </c>
      <c r="D1530" s="2" t="s">
        <v>1757</v>
      </c>
      <c r="E1530" s="5">
        <v>1.47</v>
      </c>
      <c r="F1530" s="7" t="s">
        <v>1758</v>
      </c>
      <c r="G1530" s="2" t="s">
        <v>29</v>
      </c>
      <c r="H1530" s="2" t="s">
        <v>1759</v>
      </c>
      <c r="I1530" s="2" t="s">
        <v>2673</v>
      </c>
      <c r="J1530" s="2" t="s">
        <v>2674</v>
      </c>
      <c r="K1530" s="2" t="s">
        <v>2675</v>
      </c>
      <c r="L1530" s="2" t="s">
        <v>45</v>
      </c>
    </row>
    <row r="1531" spans="1:12" ht="37" customHeight="1">
      <c r="A1531" s="2" t="s">
        <v>1437</v>
      </c>
      <c r="B1531" s="2" t="s">
        <v>1272</v>
      </c>
      <c r="C1531" s="2" t="s">
        <v>1434</v>
      </c>
      <c r="D1531" s="2" t="s">
        <v>254</v>
      </c>
      <c r="E1531" s="5">
        <v>0.45</v>
      </c>
      <c r="F1531" s="7" t="s">
        <v>1758</v>
      </c>
      <c r="G1531" s="2" t="s">
        <v>29</v>
      </c>
      <c r="H1531" s="2" t="s">
        <v>1759</v>
      </c>
      <c r="I1531" s="2" t="s">
        <v>2673</v>
      </c>
      <c r="J1531" s="2" t="s">
        <v>2674</v>
      </c>
      <c r="K1531" s="2" t="s">
        <v>2675</v>
      </c>
      <c r="L1531" s="2" t="s">
        <v>45</v>
      </c>
    </row>
    <row r="1532" spans="1:12" ht="37" customHeight="1">
      <c r="A1532" s="2" t="s">
        <v>1437</v>
      </c>
      <c r="B1532" s="2" t="s">
        <v>1272</v>
      </c>
      <c r="C1532" s="2" t="s">
        <v>1434</v>
      </c>
      <c r="D1532" s="2" t="s">
        <v>124</v>
      </c>
      <c r="E1532" s="5">
        <v>1.54</v>
      </c>
      <c r="F1532" s="7" t="s">
        <v>1763</v>
      </c>
      <c r="G1532" s="2" t="s">
        <v>29</v>
      </c>
      <c r="H1532" s="2" t="s">
        <v>1759</v>
      </c>
      <c r="I1532" s="2" t="s">
        <v>2673</v>
      </c>
      <c r="J1532" s="2" t="s">
        <v>2674</v>
      </c>
      <c r="K1532" s="2" t="s">
        <v>2675</v>
      </c>
      <c r="L1532" s="2" t="s">
        <v>45</v>
      </c>
    </row>
    <row r="1533" spans="1:12" ht="64" customHeight="1">
      <c r="A1533" s="2" t="s">
        <v>1437</v>
      </c>
      <c r="B1533" s="2" t="s">
        <v>1272</v>
      </c>
      <c r="C1533" s="2" t="s">
        <v>1434</v>
      </c>
      <c r="D1533" s="2" t="s">
        <v>65</v>
      </c>
      <c r="E1533" s="5">
        <v>0.54</v>
      </c>
      <c r="F1533" s="7" t="s">
        <v>1763</v>
      </c>
      <c r="G1533" s="2" t="s">
        <v>29</v>
      </c>
      <c r="H1533" s="2" t="s">
        <v>1759</v>
      </c>
      <c r="I1533" s="2" t="s">
        <v>2673</v>
      </c>
      <c r="J1533" s="2" t="s">
        <v>2674</v>
      </c>
      <c r="K1533" s="2" t="s">
        <v>2675</v>
      </c>
      <c r="L1533" s="2" t="s">
        <v>45</v>
      </c>
    </row>
    <row r="1534" spans="1:12" ht="64" customHeight="1">
      <c r="A1534" s="2" t="s">
        <v>1437</v>
      </c>
      <c r="B1534" s="2" t="s">
        <v>1272</v>
      </c>
      <c r="C1534" s="2" t="s">
        <v>1434</v>
      </c>
      <c r="D1534" s="2" t="s">
        <v>222</v>
      </c>
      <c r="E1534" s="5">
        <v>0.66</v>
      </c>
      <c r="F1534" s="7" t="s">
        <v>1764</v>
      </c>
      <c r="G1534" s="2" t="s">
        <v>29</v>
      </c>
      <c r="H1534" s="2" t="s">
        <v>1759</v>
      </c>
      <c r="I1534" s="2" t="s">
        <v>2673</v>
      </c>
      <c r="J1534" s="2" t="s">
        <v>2674</v>
      </c>
      <c r="K1534" s="2" t="s">
        <v>2675</v>
      </c>
      <c r="L1534" s="2" t="s">
        <v>45</v>
      </c>
    </row>
    <row r="1535" spans="1:12" ht="37" customHeight="1">
      <c r="A1535" s="2" t="s">
        <v>1437</v>
      </c>
      <c r="B1535" s="2" t="s">
        <v>1272</v>
      </c>
      <c r="C1535" s="2" t="s">
        <v>1434</v>
      </c>
      <c r="D1535" s="2" t="s">
        <v>1765</v>
      </c>
      <c r="E1535" s="5" t="s">
        <v>114</v>
      </c>
      <c r="F1535" s="7" t="s">
        <v>1766</v>
      </c>
      <c r="G1535" s="2" t="s">
        <v>29</v>
      </c>
      <c r="H1535" s="2" t="s">
        <v>1759</v>
      </c>
      <c r="I1535" s="2" t="s">
        <v>1767</v>
      </c>
      <c r="J1535" s="2"/>
      <c r="K1535" t="s">
        <v>2676</v>
      </c>
    </row>
    <row r="1536" spans="1:12" ht="34" customHeight="1">
      <c r="A1536" s="2" t="s">
        <v>1443</v>
      </c>
      <c r="B1536" s="2" t="s">
        <v>1272</v>
      </c>
      <c r="C1536" s="2" t="s">
        <v>1439</v>
      </c>
      <c r="D1536" s="2" t="s">
        <v>1757</v>
      </c>
      <c r="E1536" s="5">
        <v>0.92</v>
      </c>
      <c r="F1536" s="7" t="s">
        <v>1758</v>
      </c>
      <c r="G1536" s="2" t="s">
        <v>1154</v>
      </c>
      <c r="H1536" s="2" t="s">
        <v>1759</v>
      </c>
      <c r="I1536" s="2" t="s">
        <v>2677</v>
      </c>
      <c r="J1536" s="2" t="s">
        <v>2678</v>
      </c>
      <c r="K1536" s="2" t="s">
        <v>2679</v>
      </c>
      <c r="L1536" s="2" t="s">
        <v>130</v>
      </c>
    </row>
    <row r="1537" spans="1:12" ht="34" customHeight="1">
      <c r="A1537" s="2" t="s">
        <v>1443</v>
      </c>
      <c r="B1537" s="2" t="s">
        <v>1272</v>
      </c>
      <c r="C1537" s="2" t="s">
        <v>1439</v>
      </c>
      <c r="D1537" s="2" t="s">
        <v>254</v>
      </c>
      <c r="E1537" s="5">
        <v>0.15</v>
      </c>
      <c r="F1537" s="7" t="s">
        <v>1758</v>
      </c>
      <c r="G1537" s="2" t="s">
        <v>1154</v>
      </c>
      <c r="H1537" s="2" t="s">
        <v>1759</v>
      </c>
      <c r="I1537" s="2" t="s">
        <v>2677</v>
      </c>
      <c r="J1537" s="2" t="s">
        <v>2678</v>
      </c>
      <c r="K1537" s="2" t="s">
        <v>2679</v>
      </c>
      <c r="L1537" s="2" t="s">
        <v>130</v>
      </c>
    </row>
    <row r="1538" spans="1:12" ht="34" customHeight="1">
      <c r="A1538" s="2" t="s">
        <v>1443</v>
      </c>
      <c r="B1538" s="2" t="s">
        <v>1272</v>
      </c>
      <c r="C1538" s="2" t="s">
        <v>1439</v>
      </c>
      <c r="D1538" s="2" t="s">
        <v>124</v>
      </c>
      <c r="E1538" s="6">
        <v>1</v>
      </c>
      <c r="F1538" s="7" t="s">
        <v>1763</v>
      </c>
      <c r="G1538" s="2" t="s">
        <v>1154</v>
      </c>
      <c r="H1538" s="2" t="s">
        <v>1759</v>
      </c>
      <c r="I1538" s="2" t="s">
        <v>2150</v>
      </c>
      <c r="J1538" s="2" t="s">
        <v>1777</v>
      </c>
      <c r="K1538" s="2" t="s">
        <v>2679</v>
      </c>
      <c r="L1538" s="2" t="s">
        <v>130</v>
      </c>
    </row>
    <row r="1539" spans="1:12" ht="34" customHeight="1">
      <c r="A1539" s="2" t="s">
        <v>1443</v>
      </c>
      <c r="B1539" s="2" t="s">
        <v>1272</v>
      </c>
      <c r="C1539" s="2" t="s">
        <v>1439</v>
      </c>
      <c r="D1539" s="2" t="s">
        <v>65</v>
      </c>
      <c r="E1539" s="11">
        <v>0</v>
      </c>
      <c r="F1539" s="20" t="s">
        <v>1763</v>
      </c>
      <c r="G1539" s="21" t="s">
        <v>1154</v>
      </c>
      <c r="H1539" s="21" t="s">
        <v>1779</v>
      </c>
      <c r="I1539" s="2" t="s">
        <v>2680</v>
      </c>
      <c r="J1539" s="2" t="s">
        <v>2681</v>
      </c>
      <c r="K1539" s="2" t="s">
        <v>2682</v>
      </c>
      <c r="L1539" s="2" t="s">
        <v>130</v>
      </c>
    </row>
    <row r="1540" spans="1:12" ht="34" customHeight="1">
      <c r="A1540" s="2" t="s">
        <v>1443</v>
      </c>
      <c r="B1540" s="2" t="s">
        <v>1272</v>
      </c>
      <c r="C1540" s="2" t="s">
        <v>1439</v>
      </c>
      <c r="D1540" s="2" t="s">
        <v>222</v>
      </c>
      <c r="E1540" s="7" t="s">
        <v>1440</v>
      </c>
      <c r="F1540" s="7" t="s">
        <v>1764</v>
      </c>
      <c r="G1540" s="2" t="s">
        <v>1154</v>
      </c>
      <c r="H1540" s="2" t="s">
        <v>1759</v>
      </c>
      <c r="I1540" s="2" t="s">
        <v>2677</v>
      </c>
      <c r="J1540" s="2" t="s">
        <v>2678</v>
      </c>
      <c r="K1540" s="2" t="s">
        <v>2679</v>
      </c>
      <c r="L1540" s="2" t="s">
        <v>130</v>
      </c>
    </row>
    <row r="1541" spans="1:12" ht="50.5" customHeight="1">
      <c r="A1541" s="2" t="s">
        <v>1443</v>
      </c>
      <c r="B1541" s="2" t="s">
        <v>1272</v>
      </c>
      <c r="C1541" s="2" t="s">
        <v>1439</v>
      </c>
      <c r="D1541" s="2" t="s">
        <v>1765</v>
      </c>
      <c r="E1541" s="7" t="s">
        <v>243</v>
      </c>
      <c r="F1541" s="7" t="s">
        <v>1766</v>
      </c>
      <c r="G1541" s="2" t="s">
        <v>1154</v>
      </c>
      <c r="H1541" s="2" t="s">
        <v>1759</v>
      </c>
      <c r="I1541" s="2" t="s">
        <v>1767</v>
      </c>
      <c r="J1541" s="2"/>
      <c r="K1541" t="s">
        <v>2160</v>
      </c>
    </row>
    <row r="1542" spans="1:12" ht="50.5" customHeight="1">
      <c r="A1542" s="2" t="s">
        <v>1448</v>
      </c>
      <c r="B1542" s="2" t="s">
        <v>1272</v>
      </c>
      <c r="C1542" s="2" t="s">
        <v>1446</v>
      </c>
      <c r="D1542" s="2" t="s">
        <v>1757</v>
      </c>
      <c r="E1542" s="4">
        <v>0.3</v>
      </c>
      <c r="F1542" s="7" t="s">
        <v>1758</v>
      </c>
      <c r="G1542" s="2" t="s">
        <v>71</v>
      </c>
      <c r="H1542" s="2" t="s">
        <v>1759</v>
      </c>
      <c r="I1542" s="2" t="s">
        <v>2683</v>
      </c>
      <c r="J1542" s="2" t="s">
        <v>2684</v>
      </c>
      <c r="K1542" s="2" t="s">
        <v>2685</v>
      </c>
      <c r="L1542" s="2" t="s">
        <v>45</v>
      </c>
    </row>
    <row r="1543" spans="1:12" ht="77.5" customHeight="1">
      <c r="A1543" s="2" t="s">
        <v>1448</v>
      </c>
      <c r="B1543" s="2" t="s">
        <v>1272</v>
      </c>
      <c r="C1543" s="2" t="s">
        <v>1446</v>
      </c>
      <c r="D1543" s="2" t="s">
        <v>254</v>
      </c>
      <c r="E1543" s="4">
        <v>0.2</v>
      </c>
      <c r="F1543" s="7" t="s">
        <v>1758</v>
      </c>
      <c r="G1543" s="2" t="s">
        <v>71</v>
      </c>
      <c r="H1543" s="2" t="s">
        <v>1759</v>
      </c>
      <c r="I1543" s="2" t="s">
        <v>2683</v>
      </c>
      <c r="J1543" s="2" t="s">
        <v>2684</v>
      </c>
      <c r="K1543" s="2" t="s">
        <v>2685</v>
      </c>
      <c r="L1543" s="2" t="s">
        <v>45</v>
      </c>
    </row>
    <row r="1544" spans="1:12" ht="77.5" customHeight="1">
      <c r="A1544" s="2" t="s">
        <v>1448</v>
      </c>
      <c r="B1544" s="2" t="s">
        <v>1272</v>
      </c>
      <c r="C1544" s="2" t="s">
        <v>1446</v>
      </c>
      <c r="D1544" s="2" t="s">
        <v>124</v>
      </c>
      <c r="E1544" s="5">
        <v>1.75</v>
      </c>
      <c r="F1544" s="7" t="s">
        <v>1763</v>
      </c>
      <c r="G1544" s="2" t="s">
        <v>71</v>
      </c>
      <c r="H1544" s="2" t="s">
        <v>1759</v>
      </c>
      <c r="I1544" s="2" t="s">
        <v>2683</v>
      </c>
      <c r="J1544" s="2" t="s">
        <v>2684</v>
      </c>
      <c r="K1544" s="2" t="s">
        <v>2685</v>
      </c>
      <c r="L1544" s="2" t="s">
        <v>45</v>
      </c>
    </row>
    <row r="1545" spans="1:12" ht="50.5" customHeight="1">
      <c r="A1545" s="2" t="s">
        <v>1448</v>
      </c>
      <c r="B1545" s="2" t="s">
        <v>1272</v>
      </c>
      <c r="C1545" s="2" t="s">
        <v>1446</v>
      </c>
      <c r="D1545" s="2" t="s">
        <v>65</v>
      </c>
      <c r="E1545" s="7"/>
      <c r="F1545" s="7" t="s">
        <v>1763</v>
      </c>
      <c r="G1545" s="2" t="s">
        <v>71</v>
      </c>
      <c r="H1545" s="2" t="s">
        <v>1773</v>
      </c>
      <c r="I1545" s="2"/>
      <c r="J1545" s="2"/>
      <c r="K1545" s="2" t="s">
        <v>2685</v>
      </c>
      <c r="L1545" s="2" t="s">
        <v>45</v>
      </c>
    </row>
    <row r="1546" spans="1:12" ht="37" customHeight="1">
      <c r="A1546" s="2" t="s">
        <v>1448</v>
      </c>
      <c r="B1546" s="2" t="s">
        <v>1272</v>
      </c>
      <c r="C1546" s="2" t="s">
        <v>1446</v>
      </c>
      <c r="D1546" s="2" t="s">
        <v>222</v>
      </c>
      <c r="E1546" s="5">
        <v>0.25</v>
      </c>
      <c r="F1546" s="7" t="s">
        <v>1764</v>
      </c>
      <c r="G1546" s="2" t="s">
        <v>71</v>
      </c>
      <c r="H1546" s="2" t="s">
        <v>1759</v>
      </c>
      <c r="I1546" s="2" t="s">
        <v>2683</v>
      </c>
      <c r="J1546" s="2" t="s">
        <v>2684</v>
      </c>
      <c r="K1546" s="2" t="s">
        <v>2685</v>
      </c>
      <c r="L1546" s="2" t="s">
        <v>45</v>
      </c>
    </row>
    <row r="1547" spans="1:12" ht="37" customHeight="1">
      <c r="A1547" s="2" t="s">
        <v>1448</v>
      </c>
      <c r="B1547" s="2" t="s">
        <v>1272</v>
      </c>
      <c r="C1547" s="2" t="s">
        <v>1446</v>
      </c>
      <c r="D1547" s="2" t="s">
        <v>1765</v>
      </c>
      <c r="E1547" s="5" t="s">
        <v>293</v>
      </c>
      <c r="F1547" s="7" t="s">
        <v>1766</v>
      </c>
      <c r="G1547" s="2" t="s">
        <v>71</v>
      </c>
      <c r="H1547" s="2" t="s">
        <v>1759</v>
      </c>
      <c r="I1547" s="2" t="s">
        <v>1767</v>
      </c>
      <c r="J1547" s="2"/>
      <c r="K1547" t="s">
        <v>2686</v>
      </c>
    </row>
    <row r="1548" spans="1:12" ht="64" customHeight="1">
      <c r="A1548" s="2" t="s">
        <v>1453</v>
      </c>
      <c r="B1548" s="2" t="s">
        <v>1272</v>
      </c>
      <c r="C1548" s="2" t="s">
        <v>1451</v>
      </c>
      <c r="D1548" s="2" t="s">
        <v>1757</v>
      </c>
      <c r="E1548" s="4">
        <v>0.3</v>
      </c>
      <c r="F1548" s="7" t="s">
        <v>1758</v>
      </c>
      <c r="G1548" s="2" t="s">
        <v>71</v>
      </c>
      <c r="H1548" s="2" t="s">
        <v>1759</v>
      </c>
      <c r="I1548" s="2" t="s">
        <v>2687</v>
      </c>
      <c r="J1548" s="2" t="s">
        <v>2688</v>
      </c>
      <c r="K1548" s="2" t="s">
        <v>2689</v>
      </c>
      <c r="L1548" s="2" t="s">
        <v>190</v>
      </c>
    </row>
    <row r="1549" spans="1:12" ht="64" customHeight="1">
      <c r="A1549" s="2" t="s">
        <v>1453</v>
      </c>
      <c r="B1549" s="2" t="s">
        <v>1272</v>
      </c>
      <c r="C1549" s="2" t="s">
        <v>1451</v>
      </c>
      <c r="D1549" s="2" t="s">
        <v>254</v>
      </c>
      <c r="E1549" s="4">
        <v>0.2</v>
      </c>
      <c r="F1549" s="7" t="s">
        <v>1758</v>
      </c>
      <c r="G1549" s="2" t="s">
        <v>71</v>
      </c>
      <c r="H1549" s="2" t="s">
        <v>1759</v>
      </c>
      <c r="I1549" s="2" t="s">
        <v>2687</v>
      </c>
      <c r="J1549" s="2" t="s">
        <v>2688</v>
      </c>
      <c r="K1549" s="2" t="s">
        <v>2689</v>
      </c>
      <c r="L1549" s="2" t="s">
        <v>190</v>
      </c>
    </row>
    <row r="1550" spans="1:12" ht="37" customHeight="1">
      <c r="A1550" s="2" t="s">
        <v>1453</v>
      </c>
      <c r="B1550" s="2" t="s">
        <v>1272</v>
      </c>
      <c r="C1550" s="2" t="s">
        <v>1451</v>
      </c>
      <c r="D1550" s="2" t="s">
        <v>124</v>
      </c>
      <c r="E1550" s="5">
        <v>1.75</v>
      </c>
      <c r="F1550" s="7" t="s">
        <v>1763</v>
      </c>
      <c r="G1550" s="2" t="s">
        <v>71</v>
      </c>
      <c r="H1550" s="2" t="s">
        <v>1759</v>
      </c>
      <c r="I1550" s="2" t="s">
        <v>2687</v>
      </c>
      <c r="J1550" s="2" t="s">
        <v>2688</v>
      </c>
      <c r="K1550" s="2" t="s">
        <v>2689</v>
      </c>
      <c r="L1550" s="2" t="s">
        <v>190</v>
      </c>
    </row>
    <row r="1551" spans="1:12" ht="50.5" customHeight="1">
      <c r="A1551" s="2" t="s">
        <v>1453</v>
      </c>
      <c r="B1551" s="2" t="s">
        <v>1272</v>
      </c>
      <c r="C1551" s="2" t="s">
        <v>1451</v>
      </c>
      <c r="D1551" s="2" t="s">
        <v>65</v>
      </c>
      <c r="E1551" s="7"/>
      <c r="F1551" s="7" t="s">
        <v>1763</v>
      </c>
      <c r="G1551" s="2" t="s">
        <v>71</v>
      </c>
      <c r="H1551" s="2" t="s">
        <v>1773</v>
      </c>
      <c r="I1551" s="2"/>
      <c r="J1551" s="2"/>
      <c r="K1551" s="2" t="s">
        <v>2689</v>
      </c>
      <c r="L1551" s="2" t="s">
        <v>190</v>
      </c>
    </row>
    <row r="1552" spans="1:12" ht="50.5" customHeight="1">
      <c r="A1552" s="2" t="s">
        <v>1453</v>
      </c>
      <c r="B1552" s="2" t="s">
        <v>1272</v>
      </c>
      <c r="C1552" s="2" t="s">
        <v>1451</v>
      </c>
      <c r="D1552" s="2" t="s">
        <v>222</v>
      </c>
      <c r="E1552" s="5">
        <v>0.25</v>
      </c>
      <c r="F1552" s="7" t="s">
        <v>1764</v>
      </c>
      <c r="G1552" s="2" t="s">
        <v>71</v>
      </c>
      <c r="H1552" s="2" t="s">
        <v>1759</v>
      </c>
      <c r="I1552" s="2" t="s">
        <v>2687</v>
      </c>
      <c r="J1552" s="2" t="s">
        <v>2688</v>
      </c>
      <c r="K1552" s="2" t="s">
        <v>2689</v>
      </c>
      <c r="L1552" s="2" t="s">
        <v>190</v>
      </c>
    </row>
    <row r="1553" spans="1:12" ht="77.5" customHeight="1">
      <c r="A1553" s="2" t="s">
        <v>1453</v>
      </c>
      <c r="B1553" s="2" t="s">
        <v>1272</v>
      </c>
      <c r="C1553" s="2" t="s">
        <v>1451</v>
      </c>
      <c r="D1553" s="2" t="s">
        <v>1765</v>
      </c>
      <c r="E1553" s="5" t="s">
        <v>293</v>
      </c>
      <c r="F1553" s="7" t="s">
        <v>1766</v>
      </c>
      <c r="G1553" s="2" t="s">
        <v>71</v>
      </c>
      <c r="H1553" s="2" t="s">
        <v>1759</v>
      </c>
      <c r="I1553" s="2" t="s">
        <v>1767</v>
      </c>
      <c r="J1553" s="2"/>
      <c r="K1553" t="s">
        <v>2690</v>
      </c>
    </row>
    <row r="1554" spans="1:12" ht="77.5" customHeight="1">
      <c r="A1554" s="2" t="s">
        <v>1459</v>
      </c>
      <c r="B1554" s="2" t="s">
        <v>1272</v>
      </c>
      <c r="C1554" s="2" t="s">
        <v>1455</v>
      </c>
      <c r="D1554" s="2" t="s">
        <v>1757</v>
      </c>
      <c r="E1554" s="5">
        <v>0.92</v>
      </c>
      <c r="F1554" s="7" t="s">
        <v>1758</v>
      </c>
      <c r="G1554" s="2" t="s">
        <v>1456</v>
      </c>
      <c r="H1554" s="2" t="s">
        <v>1759</v>
      </c>
      <c r="I1554" s="2" t="s">
        <v>2691</v>
      </c>
      <c r="J1554" s="2" t="s">
        <v>2692</v>
      </c>
      <c r="K1554" s="2" t="s">
        <v>2693</v>
      </c>
      <c r="L1554" s="2" t="s">
        <v>45</v>
      </c>
    </row>
    <row r="1555" spans="1:12" ht="50.5" customHeight="1">
      <c r="A1555" s="2" t="s">
        <v>1459</v>
      </c>
      <c r="B1555" s="2" t="s">
        <v>1272</v>
      </c>
      <c r="C1555" s="2" t="s">
        <v>1455</v>
      </c>
      <c r="D1555" s="2" t="s">
        <v>254</v>
      </c>
      <c r="E1555" s="5">
        <v>0.26</v>
      </c>
      <c r="F1555" s="7" t="s">
        <v>1758</v>
      </c>
      <c r="G1555" s="2" t="s">
        <v>1456</v>
      </c>
      <c r="H1555" s="2" t="s">
        <v>1759</v>
      </c>
      <c r="I1555" s="2" t="s">
        <v>2691</v>
      </c>
      <c r="J1555" s="2" t="s">
        <v>2692</v>
      </c>
      <c r="K1555" s="2" t="s">
        <v>2693</v>
      </c>
      <c r="L1555" s="2" t="s">
        <v>45</v>
      </c>
    </row>
    <row r="1556" spans="1:12" ht="43.5">
      <c r="A1556" s="2" t="s">
        <v>1459</v>
      </c>
      <c r="B1556" s="2" t="s">
        <v>1272</v>
      </c>
      <c r="C1556" s="2" t="s">
        <v>1455</v>
      </c>
      <c r="D1556" s="2" t="s">
        <v>124</v>
      </c>
      <c r="E1556" s="11">
        <v>1</v>
      </c>
      <c r="F1556" s="20" t="s">
        <v>1763</v>
      </c>
      <c r="G1556" s="21" t="s">
        <v>1456</v>
      </c>
      <c r="H1556" s="21" t="s">
        <v>1779</v>
      </c>
      <c r="I1556" s="2" t="s">
        <v>2691</v>
      </c>
      <c r="J1556" s="2" t="s">
        <v>2692</v>
      </c>
      <c r="K1556" s="2" t="s">
        <v>2694</v>
      </c>
      <c r="L1556" s="2" t="s">
        <v>45</v>
      </c>
    </row>
    <row r="1557" spans="1:12" ht="43.5">
      <c r="A1557" s="2" t="s">
        <v>1459</v>
      </c>
      <c r="B1557" s="2" t="s">
        <v>1272</v>
      </c>
      <c r="C1557" s="2" t="s">
        <v>1455</v>
      </c>
      <c r="D1557" s="2" t="s">
        <v>65</v>
      </c>
      <c r="E1557" s="11">
        <v>0</v>
      </c>
      <c r="F1557" s="20" t="s">
        <v>1763</v>
      </c>
      <c r="G1557" s="21" t="s">
        <v>1456</v>
      </c>
      <c r="H1557" s="21" t="s">
        <v>1779</v>
      </c>
      <c r="I1557" s="2" t="s">
        <v>2691</v>
      </c>
      <c r="J1557" s="2" t="s">
        <v>2692</v>
      </c>
      <c r="K1557" s="2" t="s">
        <v>2695</v>
      </c>
      <c r="L1557" s="2" t="s">
        <v>45</v>
      </c>
    </row>
    <row r="1558" spans="1:12" ht="29">
      <c r="A1558" s="2" t="s">
        <v>1459</v>
      </c>
      <c r="B1558" s="2" t="s">
        <v>1272</v>
      </c>
      <c r="C1558" s="2" t="s">
        <v>1455</v>
      </c>
      <c r="D1558" s="2" t="s">
        <v>222</v>
      </c>
      <c r="E1558" s="4">
        <v>0.2</v>
      </c>
      <c r="F1558" s="7" t="s">
        <v>1764</v>
      </c>
      <c r="G1558" s="2" t="s">
        <v>1456</v>
      </c>
      <c r="H1558" s="2" t="s">
        <v>1759</v>
      </c>
      <c r="I1558" s="2" t="s">
        <v>2691</v>
      </c>
      <c r="J1558" s="2" t="s">
        <v>2692</v>
      </c>
      <c r="K1558" s="2" t="s">
        <v>2693</v>
      </c>
      <c r="L1558" s="2" t="s">
        <v>45</v>
      </c>
    </row>
    <row r="1559" spans="1:12" ht="14.5">
      <c r="A1559" s="2" t="s">
        <v>1459</v>
      </c>
      <c r="B1559" s="2" t="s">
        <v>1272</v>
      </c>
      <c r="C1559" s="2" t="s">
        <v>1455</v>
      </c>
      <c r="D1559" s="2" t="s">
        <v>1765</v>
      </c>
      <c r="E1559" s="4" t="s">
        <v>304</v>
      </c>
      <c r="F1559" s="7" t="s">
        <v>1766</v>
      </c>
      <c r="G1559" s="2" t="s">
        <v>1456</v>
      </c>
      <c r="H1559" s="2" t="s">
        <v>1759</v>
      </c>
      <c r="I1559" s="2" t="s">
        <v>1767</v>
      </c>
      <c r="J1559" s="2"/>
      <c r="K1559" t="s">
        <v>1954</v>
      </c>
    </row>
    <row r="1560" spans="1:12" ht="29">
      <c r="A1560" s="2" t="s">
        <v>1466</v>
      </c>
      <c r="B1560" s="2" t="s">
        <v>1272</v>
      </c>
      <c r="C1560" s="2" t="s">
        <v>1463</v>
      </c>
      <c r="D1560" s="2" t="s">
        <v>1757</v>
      </c>
      <c r="E1560" s="5">
        <v>0.92</v>
      </c>
      <c r="F1560" s="7" t="s">
        <v>1758</v>
      </c>
      <c r="G1560" s="2" t="s">
        <v>1456</v>
      </c>
      <c r="H1560" s="2" t="s">
        <v>1759</v>
      </c>
      <c r="I1560" s="2" t="s">
        <v>2691</v>
      </c>
      <c r="J1560" s="2" t="s">
        <v>2692</v>
      </c>
      <c r="K1560" s="2" t="s">
        <v>2696</v>
      </c>
      <c r="L1560" s="2" t="s">
        <v>45</v>
      </c>
    </row>
    <row r="1561" spans="1:12" ht="29">
      <c r="A1561" s="2" t="s">
        <v>1466</v>
      </c>
      <c r="B1561" s="2" t="s">
        <v>1272</v>
      </c>
      <c r="C1561" s="2" t="s">
        <v>1463</v>
      </c>
      <c r="D1561" s="2" t="s">
        <v>254</v>
      </c>
      <c r="E1561" s="5">
        <v>0.27</v>
      </c>
      <c r="F1561" s="7" t="s">
        <v>1758</v>
      </c>
      <c r="G1561" s="2" t="s">
        <v>1456</v>
      </c>
      <c r="H1561" s="2" t="s">
        <v>1759</v>
      </c>
      <c r="I1561" s="2" t="s">
        <v>2691</v>
      </c>
      <c r="J1561" s="2" t="s">
        <v>2692</v>
      </c>
      <c r="K1561" s="2" t="s">
        <v>2696</v>
      </c>
      <c r="L1561" s="2" t="s">
        <v>45</v>
      </c>
    </row>
    <row r="1562" spans="1:12" ht="58">
      <c r="A1562" s="2" t="s">
        <v>1466</v>
      </c>
      <c r="B1562" s="2" t="s">
        <v>1272</v>
      </c>
      <c r="C1562" s="2" t="s">
        <v>1463</v>
      </c>
      <c r="D1562" s="2" t="s">
        <v>124</v>
      </c>
      <c r="E1562" s="15">
        <v>1.833333333333333</v>
      </c>
      <c r="F1562" s="20" t="s">
        <v>1763</v>
      </c>
      <c r="G1562" s="21" t="s">
        <v>1456</v>
      </c>
      <c r="H1562" s="21" t="s">
        <v>1779</v>
      </c>
      <c r="I1562" s="2" t="s">
        <v>2691</v>
      </c>
      <c r="J1562" s="2" t="s">
        <v>2692</v>
      </c>
      <c r="K1562" s="2" t="s">
        <v>2697</v>
      </c>
      <c r="L1562" s="2" t="s">
        <v>45</v>
      </c>
    </row>
    <row r="1563" spans="1:12" ht="43.5">
      <c r="A1563" s="2" t="s">
        <v>1466</v>
      </c>
      <c r="B1563" s="2" t="s">
        <v>1272</v>
      </c>
      <c r="C1563" s="2" t="s">
        <v>1463</v>
      </c>
      <c r="D1563" s="2" t="s">
        <v>65</v>
      </c>
      <c r="E1563" s="11">
        <v>0</v>
      </c>
      <c r="F1563" s="20" t="s">
        <v>1763</v>
      </c>
      <c r="G1563" s="21" t="s">
        <v>1456</v>
      </c>
      <c r="H1563" s="21" t="s">
        <v>1779</v>
      </c>
      <c r="I1563" s="2" t="s">
        <v>2691</v>
      </c>
      <c r="J1563" s="2" t="s">
        <v>2692</v>
      </c>
      <c r="K1563" s="2" t="s">
        <v>2698</v>
      </c>
      <c r="L1563" s="2" t="s">
        <v>45</v>
      </c>
    </row>
    <row r="1564" spans="1:12" ht="29">
      <c r="A1564" s="2" t="s">
        <v>1466</v>
      </c>
      <c r="B1564" s="2" t="s">
        <v>1272</v>
      </c>
      <c r="C1564" s="2" t="s">
        <v>1463</v>
      </c>
      <c r="D1564" s="2" t="s">
        <v>222</v>
      </c>
      <c r="E1564" s="4">
        <v>0.2</v>
      </c>
      <c r="F1564" s="7" t="s">
        <v>1764</v>
      </c>
      <c r="G1564" s="2" t="s">
        <v>1456</v>
      </c>
      <c r="H1564" s="2" t="s">
        <v>1759</v>
      </c>
      <c r="I1564" s="2" t="s">
        <v>2691</v>
      </c>
      <c r="J1564" s="2" t="s">
        <v>2692</v>
      </c>
      <c r="K1564" s="2" t="s">
        <v>2696</v>
      </c>
      <c r="L1564" s="2" t="s">
        <v>45</v>
      </c>
    </row>
    <row r="1565" spans="1:12" ht="14.5">
      <c r="A1565" s="2" t="s">
        <v>1466</v>
      </c>
      <c r="B1565" s="2" t="s">
        <v>1272</v>
      </c>
      <c r="C1565" s="2" t="s">
        <v>1463</v>
      </c>
      <c r="D1565" s="2" t="s">
        <v>1765</v>
      </c>
      <c r="E1565" s="4" t="s">
        <v>304</v>
      </c>
      <c r="F1565" s="7" t="s">
        <v>1766</v>
      </c>
      <c r="G1565" s="2" t="s">
        <v>1456</v>
      </c>
      <c r="H1565" s="2" t="s">
        <v>1759</v>
      </c>
      <c r="I1565" s="2" t="s">
        <v>1767</v>
      </c>
      <c r="J1565" s="2"/>
      <c r="K1565" t="s">
        <v>1954</v>
      </c>
    </row>
    <row r="1566" spans="1:12" ht="43.5">
      <c r="A1566" s="2" t="s">
        <v>1476</v>
      </c>
      <c r="B1566" s="2" t="s">
        <v>1272</v>
      </c>
      <c r="C1566" s="2" t="s">
        <v>1470</v>
      </c>
      <c r="D1566" s="2" t="s">
        <v>1757</v>
      </c>
      <c r="E1566" s="4">
        <v>0.4</v>
      </c>
      <c r="F1566" s="7" t="s">
        <v>1758</v>
      </c>
      <c r="G1566" s="2" t="s">
        <v>1473</v>
      </c>
      <c r="H1566" s="2" t="s">
        <v>1759</v>
      </c>
      <c r="I1566" s="2" t="s">
        <v>2699</v>
      </c>
      <c r="J1566" s="2" t="s">
        <v>2700</v>
      </c>
      <c r="K1566" s="2" t="s">
        <v>2701</v>
      </c>
      <c r="L1566" s="2" t="s">
        <v>45</v>
      </c>
    </row>
    <row r="1567" spans="1:12" ht="43.5">
      <c r="A1567" s="2" t="s">
        <v>1476</v>
      </c>
      <c r="B1567" s="2" t="s">
        <v>1272</v>
      </c>
      <c r="C1567" s="2" t="s">
        <v>1470</v>
      </c>
      <c r="D1567" s="2" t="s">
        <v>254</v>
      </c>
      <c r="E1567" s="5">
        <v>0.26</v>
      </c>
      <c r="F1567" s="7" t="s">
        <v>1758</v>
      </c>
      <c r="G1567" s="2" t="s">
        <v>1473</v>
      </c>
      <c r="H1567" s="2" t="s">
        <v>1759</v>
      </c>
      <c r="I1567" s="2" t="s">
        <v>2699</v>
      </c>
      <c r="J1567" s="2" t="s">
        <v>2700</v>
      </c>
      <c r="K1567" s="2" t="s">
        <v>2701</v>
      </c>
      <c r="L1567" s="2" t="s">
        <v>45</v>
      </c>
    </row>
    <row r="1568" spans="1:12" ht="43.5">
      <c r="A1568" s="2" t="s">
        <v>1476</v>
      </c>
      <c r="B1568" s="2" t="s">
        <v>1272</v>
      </c>
      <c r="C1568" s="2" t="s">
        <v>1470</v>
      </c>
      <c r="D1568" s="2" t="s">
        <v>124</v>
      </c>
      <c r="E1568" s="4">
        <v>1.5</v>
      </c>
      <c r="F1568" s="7" t="s">
        <v>1763</v>
      </c>
      <c r="G1568" s="2" t="s">
        <v>1473</v>
      </c>
      <c r="H1568" s="2" t="s">
        <v>1759</v>
      </c>
      <c r="I1568" s="2" t="s">
        <v>2699</v>
      </c>
      <c r="J1568" s="2" t="s">
        <v>2700</v>
      </c>
      <c r="K1568" s="2" t="s">
        <v>2701</v>
      </c>
      <c r="L1568" s="2" t="s">
        <v>45</v>
      </c>
    </row>
    <row r="1569" spans="1:12" ht="43.5">
      <c r="A1569" s="2" t="s">
        <v>1476</v>
      </c>
      <c r="B1569" s="2" t="s">
        <v>1272</v>
      </c>
      <c r="C1569" s="2" t="s">
        <v>1470</v>
      </c>
      <c r="D1569" s="2" t="s">
        <v>65</v>
      </c>
      <c r="E1569" s="7" t="s">
        <v>1471</v>
      </c>
      <c r="F1569" s="7" t="s">
        <v>1763</v>
      </c>
      <c r="G1569" s="2" t="s">
        <v>1473</v>
      </c>
      <c r="H1569" s="2" t="s">
        <v>1759</v>
      </c>
      <c r="I1569" s="2" t="s">
        <v>2699</v>
      </c>
      <c r="J1569" s="2" t="s">
        <v>2700</v>
      </c>
      <c r="K1569" s="2" t="s">
        <v>2701</v>
      </c>
      <c r="L1569" s="2" t="s">
        <v>45</v>
      </c>
    </row>
    <row r="1570" spans="1:12" ht="43.5">
      <c r="A1570" s="2" t="s">
        <v>1476</v>
      </c>
      <c r="B1570" s="2" t="s">
        <v>1272</v>
      </c>
      <c r="C1570" s="2" t="s">
        <v>1470</v>
      </c>
      <c r="D1570" s="2" t="s">
        <v>222</v>
      </c>
      <c r="E1570" s="7" t="s">
        <v>1472</v>
      </c>
      <c r="F1570" s="7" t="s">
        <v>1764</v>
      </c>
      <c r="G1570" s="2" t="s">
        <v>1473</v>
      </c>
      <c r="H1570" s="2" t="s">
        <v>1759</v>
      </c>
      <c r="I1570" s="2" t="s">
        <v>2699</v>
      </c>
      <c r="J1570" s="2" t="s">
        <v>2700</v>
      </c>
      <c r="K1570" s="2" t="s">
        <v>2701</v>
      </c>
      <c r="L1570" s="2" t="s">
        <v>45</v>
      </c>
    </row>
    <row r="1571" spans="1:12" ht="14.5">
      <c r="A1571" s="2" t="s">
        <v>1476</v>
      </c>
      <c r="B1571" s="2" t="s">
        <v>1272</v>
      </c>
      <c r="C1571" s="2" t="s">
        <v>1470</v>
      </c>
      <c r="D1571" s="2" t="s">
        <v>1765</v>
      </c>
      <c r="E1571" s="7" t="s">
        <v>1017</v>
      </c>
      <c r="F1571" s="7" t="s">
        <v>1766</v>
      </c>
      <c r="G1571" s="2" t="s">
        <v>1473</v>
      </c>
      <c r="H1571" s="2" t="s">
        <v>1759</v>
      </c>
      <c r="I1571" s="2" t="s">
        <v>1767</v>
      </c>
      <c r="J1571" s="2"/>
      <c r="K1571" t="s">
        <v>1795</v>
      </c>
    </row>
    <row r="1572" spans="1:12" ht="14.5">
      <c r="A1572" s="2" t="s">
        <v>1482</v>
      </c>
      <c r="B1572" s="2" t="s">
        <v>1272</v>
      </c>
      <c r="C1572" s="2" t="s">
        <v>1478</v>
      </c>
      <c r="D1572" s="2" t="s">
        <v>1757</v>
      </c>
      <c r="E1572" s="4">
        <v>0.4</v>
      </c>
      <c r="F1572" s="7" t="s">
        <v>1758</v>
      </c>
      <c r="G1572" s="2" t="s">
        <v>71</v>
      </c>
      <c r="H1572" s="2" t="s">
        <v>1759</v>
      </c>
      <c r="I1572" s="2" t="s">
        <v>2702</v>
      </c>
      <c r="J1572" s="2" t="s">
        <v>2703</v>
      </c>
      <c r="K1572" s="2" t="s">
        <v>2704</v>
      </c>
      <c r="L1572" s="2" t="s">
        <v>45</v>
      </c>
    </row>
    <row r="1573" spans="1:12" ht="14.5">
      <c r="A1573" s="2" t="s">
        <v>1482</v>
      </c>
      <c r="B1573" s="2" t="s">
        <v>1272</v>
      </c>
      <c r="C1573" s="2" t="s">
        <v>1478</v>
      </c>
      <c r="D1573" s="2" t="s">
        <v>254</v>
      </c>
      <c r="E1573" s="5">
        <v>0.26</v>
      </c>
      <c r="F1573" s="7" t="s">
        <v>1758</v>
      </c>
      <c r="G1573" s="2" t="s">
        <v>71</v>
      </c>
      <c r="H1573" s="2" t="s">
        <v>1759</v>
      </c>
      <c r="I1573" s="2" t="s">
        <v>2702</v>
      </c>
      <c r="J1573" s="2" t="s">
        <v>2703</v>
      </c>
      <c r="K1573" s="2" t="s">
        <v>2704</v>
      </c>
      <c r="L1573" s="2" t="s">
        <v>45</v>
      </c>
    </row>
    <row r="1574" spans="1:12" ht="14.5">
      <c r="A1574" s="2" t="s">
        <v>1482</v>
      </c>
      <c r="B1574" s="2" t="s">
        <v>1272</v>
      </c>
      <c r="C1574" s="2" t="s">
        <v>1478</v>
      </c>
      <c r="D1574" s="2" t="s">
        <v>124</v>
      </c>
      <c r="E1574" s="4">
        <v>1.6</v>
      </c>
      <c r="F1574" s="7" t="s">
        <v>1763</v>
      </c>
      <c r="G1574" s="2" t="s">
        <v>71</v>
      </c>
      <c r="H1574" s="2" t="s">
        <v>1759</v>
      </c>
      <c r="I1574" s="2" t="s">
        <v>2702</v>
      </c>
      <c r="J1574" s="2" t="s">
        <v>2703</v>
      </c>
      <c r="K1574" s="2" t="s">
        <v>2704</v>
      </c>
      <c r="L1574" s="2" t="s">
        <v>45</v>
      </c>
    </row>
    <row r="1575" spans="1:12" ht="14.5">
      <c r="A1575" s="2" t="s">
        <v>1482</v>
      </c>
      <c r="B1575" s="2" t="s">
        <v>1272</v>
      </c>
      <c r="C1575" s="2" t="s">
        <v>1478</v>
      </c>
      <c r="D1575" s="2" t="s">
        <v>65</v>
      </c>
      <c r="E1575" s="7" t="s">
        <v>1479</v>
      </c>
      <c r="F1575" s="7" t="s">
        <v>1763</v>
      </c>
      <c r="G1575" s="2" t="s">
        <v>71</v>
      </c>
      <c r="H1575" s="2" t="s">
        <v>1759</v>
      </c>
      <c r="I1575" s="2" t="s">
        <v>2702</v>
      </c>
      <c r="J1575" s="2" t="s">
        <v>2703</v>
      </c>
      <c r="K1575" s="2" t="s">
        <v>2704</v>
      </c>
      <c r="L1575" s="2" t="s">
        <v>45</v>
      </c>
    </row>
    <row r="1576" spans="1:12" ht="14.5">
      <c r="A1576" s="2" t="s">
        <v>1482</v>
      </c>
      <c r="B1576" s="2" t="s">
        <v>1272</v>
      </c>
      <c r="C1576" s="2" t="s">
        <v>1478</v>
      </c>
      <c r="D1576" s="2" t="s">
        <v>222</v>
      </c>
      <c r="E1576" s="8">
        <v>0.13500000000000001</v>
      </c>
      <c r="F1576" s="7" t="s">
        <v>1764</v>
      </c>
      <c r="G1576" s="2" t="s">
        <v>71</v>
      </c>
      <c r="H1576" s="2" t="s">
        <v>1759</v>
      </c>
      <c r="I1576" s="2" t="s">
        <v>2702</v>
      </c>
      <c r="J1576" s="2" t="s">
        <v>2703</v>
      </c>
      <c r="K1576" s="2" t="s">
        <v>2704</v>
      </c>
      <c r="L1576" s="2" t="s">
        <v>45</v>
      </c>
    </row>
    <row r="1577" spans="1:12" ht="14.5">
      <c r="A1577" s="2" t="s">
        <v>1482</v>
      </c>
      <c r="B1577" s="2" t="s">
        <v>1272</v>
      </c>
      <c r="C1577" s="2" t="s">
        <v>1478</v>
      </c>
      <c r="D1577" s="2" t="s">
        <v>1765</v>
      </c>
      <c r="E1577" s="8" t="s">
        <v>1480</v>
      </c>
      <c r="F1577" s="7" t="s">
        <v>1766</v>
      </c>
      <c r="G1577" s="2" t="s">
        <v>71</v>
      </c>
      <c r="H1577" s="2" t="s">
        <v>1759</v>
      </c>
      <c r="I1577" s="2" t="s">
        <v>1767</v>
      </c>
      <c r="J1577" s="2"/>
      <c r="K1577" t="s">
        <v>2705</v>
      </c>
    </row>
    <row r="1578" spans="1:12" ht="29">
      <c r="A1578" s="2" t="s">
        <v>1488</v>
      </c>
      <c r="B1578" s="2" t="s">
        <v>1272</v>
      </c>
      <c r="C1578" s="2" t="s">
        <v>1484</v>
      </c>
      <c r="D1578" s="2" t="s">
        <v>1757</v>
      </c>
      <c r="E1578" s="4">
        <v>0.9</v>
      </c>
      <c r="F1578" s="7" t="s">
        <v>1758</v>
      </c>
      <c r="G1578" s="2" t="s">
        <v>1486</v>
      </c>
      <c r="H1578" s="2" t="s">
        <v>1759</v>
      </c>
      <c r="I1578" s="2" t="s">
        <v>2706</v>
      </c>
      <c r="J1578" s="2" t="s">
        <v>2707</v>
      </c>
      <c r="K1578" s="2" t="s">
        <v>2708</v>
      </c>
      <c r="L1578" s="2" t="s">
        <v>35</v>
      </c>
    </row>
    <row r="1579" spans="1:12" ht="29">
      <c r="A1579" s="2" t="s">
        <v>1488</v>
      </c>
      <c r="B1579" s="2" t="s">
        <v>1272</v>
      </c>
      <c r="C1579" s="2" t="s">
        <v>1484</v>
      </c>
      <c r="D1579" s="2" t="s">
        <v>254</v>
      </c>
      <c r="E1579" s="4">
        <v>0.4</v>
      </c>
      <c r="F1579" s="7" t="s">
        <v>1758</v>
      </c>
      <c r="G1579" s="2" t="s">
        <v>1486</v>
      </c>
      <c r="H1579" s="2" t="s">
        <v>1759</v>
      </c>
      <c r="I1579" s="2" t="s">
        <v>2706</v>
      </c>
      <c r="J1579" s="2" t="s">
        <v>2707</v>
      </c>
      <c r="K1579" s="2" t="s">
        <v>2708</v>
      </c>
      <c r="L1579" s="2" t="s">
        <v>35</v>
      </c>
    </row>
    <row r="1580" spans="1:12" ht="29">
      <c r="A1580" s="2" t="s">
        <v>1488</v>
      </c>
      <c r="B1580" s="2" t="s">
        <v>1272</v>
      </c>
      <c r="C1580" s="2" t="s">
        <v>1484</v>
      </c>
      <c r="D1580" s="2" t="s">
        <v>124</v>
      </c>
      <c r="E1580" s="7"/>
      <c r="F1580" s="7" t="s">
        <v>1763</v>
      </c>
      <c r="G1580" s="2" t="s">
        <v>1486</v>
      </c>
      <c r="H1580" s="2" t="s">
        <v>1773</v>
      </c>
      <c r="I1580" s="2"/>
      <c r="J1580" s="2"/>
      <c r="K1580" s="2" t="s">
        <v>2708</v>
      </c>
      <c r="L1580" s="2" t="s">
        <v>35</v>
      </c>
    </row>
    <row r="1581" spans="1:12" ht="29">
      <c r="A1581" s="2" t="s">
        <v>1488</v>
      </c>
      <c r="B1581" s="2" t="s">
        <v>1272</v>
      </c>
      <c r="C1581" s="2" t="s">
        <v>1484</v>
      </c>
      <c r="D1581" s="2" t="s">
        <v>65</v>
      </c>
      <c r="E1581" s="7"/>
      <c r="F1581" s="7" t="s">
        <v>1763</v>
      </c>
      <c r="G1581" s="2" t="s">
        <v>1486</v>
      </c>
      <c r="H1581" s="2" t="s">
        <v>1773</v>
      </c>
      <c r="I1581" s="2"/>
      <c r="J1581" s="2"/>
      <c r="K1581" s="2" t="s">
        <v>2708</v>
      </c>
      <c r="L1581" s="2" t="s">
        <v>35</v>
      </c>
    </row>
    <row r="1582" spans="1:12" ht="29">
      <c r="A1582" s="2" t="s">
        <v>1488</v>
      </c>
      <c r="B1582" s="2" t="s">
        <v>1272</v>
      </c>
      <c r="C1582" s="2" t="s">
        <v>1484</v>
      </c>
      <c r="D1582" s="2" t="s">
        <v>222</v>
      </c>
      <c r="E1582" s="7" t="s">
        <v>1485</v>
      </c>
      <c r="F1582" s="7" t="s">
        <v>1764</v>
      </c>
      <c r="G1582" s="2" t="s">
        <v>1486</v>
      </c>
      <c r="H1582" s="2" t="s">
        <v>1759</v>
      </c>
      <c r="I1582" s="2" t="s">
        <v>2706</v>
      </c>
      <c r="J1582" s="2" t="s">
        <v>2707</v>
      </c>
      <c r="K1582" s="2" t="s">
        <v>2708</v>
      </c>
      <c r="L1582" s="2" t="s">
        <v>35</v>
      </c>
    </row>
    <row r="1583" spans="1:12" ht="14.5">
      <c r="A1583" s="2" t="s">
        <v>1488</v>
      </c>
      <c r="B1583" s="2" t="s">
        <v>1272</v>
      </c>
      <c r="C1583" s="2" t="s">
        <v>1484</v>
      </c>
      <c r="D1583" s="2" t="s">
        <v>1765</v>
      </c>
      <c r="E1583" s="7" t="s">
        <v>243</v>
      </c>
      <c r="F1583" s="7" t="s">
        <v>1766</v>
      </c>
      <c r="G1583" s="2" t="s">
        <v>1486</v>
      </c>
      <c r="H1583" s="2" t="s">
        <v>1759</v>
      </c>
      <c r="I1583" s="2" t="s">
        <v>1767</v>
      </c>
      <c r="J1583" s="2"/>
      <c r="K1583" t="s">
        <v>2709</v>
      </c>
    </row>
    <row r="1584" spans="1:12" ht="14.5">
      <c r="A1584" s="2" t="s">
        <v>1491</v>
      </c>
      <c r="B1584" s="2" t="s">
        <v>1272</v>
      </c>
      <c r="C1584" s="2" t="s">
        <v>1489</v>
      </c>
      <c r="D1584" s="2" t="s">
        <v>1757</v>
      </c>
      <c r="E1584" s="5">
        <v>4.55</v>
      </c>
      <c r="F1584" s="7" t="s">
        <v>1758</v>
      </c>
      <c r="G1584" s="2" t="s">
        <v>29</v>
      </c>
      <c r="H1584" s="2" t="s">
        <v>1759</v>
      </c>
      <c r="I1584" s="2" t="s">
        <v>2710</v>
      </c>
      <c r="J1584" s="2" t="s">
        <v>2711</v>
      </c>
      <c r="K1584" s="2" t="s">
        <v>2712</v>
      </c>
      <c r="L1584" s="2" t="s">
        <v>45</v>
      </c>
    </row>
    <row r="1585" spans="1:12" ht="14.5">
      <c r="A1585" s="2" t="s">
        <v>1491</v>
      </c>
      <c r="B1585" s="2" t="s">
        <v>1272</v>
      </c>
      <c r="C1585" s="2" t="s">
        <v>1489</v>
      </c>
      <c r="D1585" s="2" t="s">
        <v>254</v>
      </c>
      <c r="E1585" s="4">
        <v>1.2</v>
      </c>
      <c r="F1585" s="7" t="s">
        <v>1758</v>
      </c>
      <c r="G1585" s="2" t="s">
        <v>29</v>
      </c>
      <c r="H1585" s="2" t="s">
        <v>1759</v>
      </c>
      <c r="I1585" s="2" t="s">
        <v>2710</v>
      </c>
      <c r="J1585" s="2" t="s">
        <v>2711</v>
      </c>
      <c r="K1585" s="2" t="s">
        <v>2712</v>
      </c>
      <c r="L1585" s="2" t="s">
        <v>45</v>
      </c>
    </row>
    <row r="1586" spans="1:12" ht="14.5">
      <c r="A1586" s="2" t="s">
        <v>1491</v>
      </c>
      <c r="B1586" s="2" t="s">
        <v>1272</v>
      </c>
      <c r="C1586" s="2" t="s">
        <v>1489</v>
      </c>
      <c r="D1586" s="2" t="s">
        <v>124</v>
      </c>
      <c r="E1586" s="4">
        <v>1.4</v>
      </c>
      <c r="F1586" s="7" t="s">
        <v>1763</v>
      </c>
      <c r="G1586" s="2" t="s">
        <v>29</v>
      </c>
      <c r="H1586" s="2" t="s">
        <v>1759</v>
      </c>
      <c r="I1586" s="2" t="s">
        <v>2710</v>
      </c>
      <c r="J1586" s="2" t="s">
        <v>2711</v>
      </c>
      <c r="K1586" s="2" t="s">
        <v>2712</v>
      </c>
      <c r="L1586" s="2" t="s">
        <v>45</v>
      </c>
    </row>
    <row r="1587" spans="1:12" ht="14.5">
      <c r="A1587" s="2" t="s">
        <v>1491</v>
      </c>
      <c r="B1587" s="2" t="s">
        <v>1272</v>
      </c>
      <c r="C1587" s="2" t="s">
        <v>1489</v>
      </c>
      <c r="D1587" s="2" t="s">
        <v>65</v>
      </c>
      <c r="E1587" s="4">
        <v>-0.5</v>
      </c>
      <c r="F1587" s="7" t="s">
        <v>1763</v>
      </c>
      <c r="G1587" s="2" t="s">
        <v>29</v>
      </c>
      <c r="H1587" s="2" t="s">
        <v>1759</v>
      </c>
      <c r="I1587" s="2" t="s">
        <v>2710</v>
      </c>
      <c r="J1587" s="2" t="s">
        <v>2711</v>
      </c>
      <c r="K1587" s="2" t="s">
        <v>2712</v>
      </c>
      <c r="L1587" s="2" t="s">
        <v>45</v>
      </c>
    </row>
    <row r="1588" spans="1:12" ht="14.5">
      <c r="A1588" s="2" t="s">
        <v>1491</v>
      </c>
      <c r="B1588" s="2" t="s">
        <v>1272</v>
      </c>
      <c r="C1588" s="2" t="s">
        <v>1489</v>
      </c>
      <c r="D1588" s="2" t="s">
        <v>222</v>
      </c>
      <c r="E1588" s="6">
        <v>10</v>
      </c>
      <c r="F1588" s="7" t="s">
        <v>1764</v>
      </c>
      <c r="G1588" s="2" t="s">
        <v>29</v>
      </c>
      <c r="H1588" s="2" t="s">
        <v>1759</v>
      </c>
      <c r="I1588" s="2" t="s">
        <v>2710</v>
      </c>
      <c r="J1588" s="2" t="s">
        <v>2711</v>
      </c>
      <c r="K1588" s="2" t="s">
        <v>2712</v>
      </c>
      <c r="L1588" s="2" t="s">
        <v>45</v>
      </c>
    </row>
    <row r="1589" spans="1:12" ht="14.5">
      <c r="A1589" s="2" t="s">
        <v>1491</v>
      </c>
      <c r="B1589" s="2" t="s">
        <v>1272</v>
      </c>
      <c r="C1589" s="2" t="s">
        <v>1489</v>
      </c>
      <c r="D1589" s="2" t="s">
        <v>1765</v>
      </c>
      <c r="E1589" s="6" t="s">
        <v>226</v>
      </c>
      <c r="F1589" s="7" t="s">
        <v>1766</v>
      </c>
      <c r="G1589" s="2" t="s">
        <v>29</v>
      </c>
      <c r="H1589" s="2" t="s">
        <v>1759</v>
      </c>
      <c r="I1589" s="2" t="s">
        <v>1767</v>
      </c>
      <c r="J1589" s="2"/>
      <c r="K1589" t="s">
        <v>2713</v>
      </c>
    </row>
    <row r="1590" spans="1:12" ht="29">
      <c r="A1590" s="2" t="s">
        <v>1500</v>
      </c>
      <c r="B1590" s="2" t="s">
        <v>1272</v>
      </c>
      <c r="C1590" s="2" t="s">
        <v>1493</v>
      </c>
      <c r="D1590" s="2" t="s">
        <v>1757</v>
      </c>
      <c r="E1590" s="7" t="s">
        <v>1494</v>
      </c>
      <c r="F1590" s="7" t="s">
        <v>1758</v>
      </c>
      <c r="G1590" s="2" t="s">
        <v>71</v>
      </c>
      <c r="H1590" s="2" t="s">
        <v>1759</v>
      </c>
      <c r="I1590" s="2" t="s">
        <v>2714</v>
      </c>
      <c r="J1590" s="2" t="s">
        <v>2715</v>
      </c>
      <c r="K1590" s="2" t="s">
        <v>2716</v>
      </c>
      <c r="L1590" s="2" t="s">
        <v>130</v>
      </c>
    </row>
    <row r="1591" spans="1:12" ht="29">
      <c r="A1591" s="2" t="s">
        <v>1500</v>
      </c>
      <c r="B1591" s="2" t="s">
        <v>1272</v>
      </c>
      <c r="C1591" s="2" t="s">
        <v>1493</v>
      </c>
      <c r="D1591" s="2" t="s">
        <v>254</v>
      </c>
      <c r="E1591" s="7" t="s">
        <v>1495</v>
      </c>
      <c r="F1591" s="7" t="s">
        <v>1758</v>
      </c>
      <c r="G1591" s="2" t="s">
        <v>71</v>
      </c>
      <c r="H1591" s="2" t="s">
        <v>1759</v>
      </c>
      <c r="I1591" s="2" t="s">
        <v>2714</v>
      </c>
      <c r="J1591" s="2" t="s">
        <v>2715</v>
      </c>
      <c r="K1591" s="2" t="s">
        <v>2716</v>
      </c>
      <c r="L1591" s="2" t="s">
        <v>130</v>
      </c>
    </row>
    <row r="1592" spans="1:12" ht="14.5">
      <c r="A1592" s="2" t="s">
        <v>1500</v>
      </c>
      <c r="B1592" s="2" t="s">
        <v>1272</v>
      </c>
      <c r="C1592" s="2" t="s">
        <v>1493</v>
      </c>
      <c r="D1592" s="2" t="s">
        <v>124</v>
      </c>
      <c r="E1592" s="7"/>
      <c r="F1592" s="7" t="s">
        <v>1763</v>
      </c>
      <c r="G1592" s="2" t="s">
        <v>71</v>
      </c>
      <c r="H1592" s="2" t="s">
        <v>1773</v>
      </c>
      <c r="I1592" s="2"/>
      <c r="J1592" s="2"/>
      <c r="K1592" s="2" t="s">
        <v>2716</v>
      </c>
      <c r="L1592" s="2" t="s">
        <v>130</v>
      </c>
    </row>
    <row r="1593" spans="1:12" ht="14.5">
      <c r="A1593" s="2" t="s">
        <v>1500</v>
      </c>
      <c r="B1593" s="2" t="s">
        <v>1272</v>
      </c>
      <c r="C1593" s="2" t="s">
        <v>1493</v>
      </c>
      <c r="D1593" s="2" t="s">
        <v>65</v>
      </c>
      <c r="E1593" s="7"/>
      <c r="F1593" s="7" t="s">
        <v>1763</v>
      </c>
      <c r="G1593" s="2" t="s">
        <v>71</v>
      </c>
      <c r="H1593" s="2" t="s">
        <v>1773</v>
      </c>
      <c r="I1593" s="2"/>
      <c r="J1593" s="2"/>
      <c r="K1593" s="2" t="s">
        <v>2716</v>
      </c>
      <c r="L1593" s="2" t="s">
        <v>130</v>
      </c>
    </row>
    <row r="1594" spans="1:12" ht="29">
      <c r="A1594" s="2" t="s">
        <v>1500</v>
      </c>
      <c r="B1594" s="2" t="s">
        <v>1272</v>
      </c>
      <c r="C1594" s="2" t="s">
        <v>1493</v>
      </c>
      <c r="D1594" s="2" t="s">
        <v>222</v>
      </c>
      <c r="E1594" s="7" t="s">
        <v>1496</v>
      </c>
      <c r="F1594" s="7" t="s">
        <v>1764</v>
      </c>
      <c r="G1594" s="2" t="s">
        <v>71</v>
      </c>
      <c r="H1594" s="2" t="s">
        <v>1759</v>
      </c>
      <c r="I1594" s="2" t="s">
        <v>2714</v>
      </c>
      <c r="J1594" s="2" t="s">
        <v>2715</v>
      </c>
      <c r="K1594" s="2" t="s">
        <v>2716</v>
      </c>
      <c r="L1594" s="2" t="s">
        <v>130</v>
      </c>
    </row>
    <row r="1595" spans="1:12" ht="14.5">
      <c r="A1595" s="2" t="s">
        <v>1500</v>
      </c>
      <c r="B1595" s="2" t="s">
        <v>1272</v>
      </c>
      <c r="C1595" s="2" t="s">
        <v>1493</v>
      </c>
      <c r="D1595" s="2" t="s">
        <v>1765</v>
      </c>
      <c r="E1595" s="7" t="s">
        <v>1497</v>
      </c>
      <c r="F1595" s="7" t="s">
        <v>1766</v>
      </c>
      <c r="G1595" s="2" t="s">
        <v>71</v>
      </c>
      <c r="H1595" s="2" t="s">
        <v>1759</v>
      </c>
      <c r="I1595" s="2" t="s">
        <v>1767</v>
      </c>
      <c r="J1595" s="2"/>
      <c r="K1595" t="s">
        <v>2717</v>
      </c>
    </row>
    <row r="1596" spans="1:12" ht="29">
      <c r="A1596" s="2" t="s">
        <v>1506</v>
      </c>
      <c r="B1596" s="2" t="s">
        <v>1272</v>
      </c>
      <c r="C1596" s="2" t="s">
        <v>1503</v>
      </c>
      <c r="D1596" s="2" t="s">
        <v>1757</v>
      </c>
      <c r="E1596" s="4">
        <v>0.3</v>
      </c>
      <c r="F1596" s="7" t="s">
        <v>1758</v>
      </c>
      <c r="G1596" s="2" t="s">
        <v>1486</v>
      </c>
      <c r="H1596" s="2" t="s">
        <v>1759</v>
      </c>
      <c r="I1596" s="2" t="s">
        <v>2706</v>
      </c>
      <c r="J1596" s="2" t="s">
        <v>2707</v>
      </c>
      <c r="K1596" s="2" t="s">
        <v>2718</v>
      </c>
      <c r="L1596" s="2" t="s">
        <v>35</v>
      </c>
    </row>
    <row r="1597" spans="1:12" ht="29">
      <c r="A1597" s="2" t="s">
        <v>1506</v>
      </c>
      <c r="B1597" s="2" t="s">
        <v>1272</v>
      </c>
      <c r="C1597" s="2" t="s">
        <v>1503</v>
      </c>
      <c r="D1597" s="2" t="s">
        <v>254</v>
      </c>
      <c r="E1597" s="4">
        <v>0.1</v>
      </c>
      <c r="F1597" s="7" t="s">
        <v>1758</v>
      </c>
      <c r="G1597" s="2" t="s">
        <v>1486</v>
      </c>
      <c r="H1597" s="2" t="s">
        <v>1759</v>
      </c>
      <c r="I1597" s="2" t="s">
        <v>2706</v>
      </c>
      <c r="J1597" s="2" t="s">
        <v>2707</v>
      </c>
      <c r="K1597" s="2" t="s">
        <v>2718</v>
      </c>
      <c r="L1597" s="2" t="s">
        <v>35</v>
      </c>
    </row>
    <row r="1598" spans="1:12" ht="29">
      <c r="A1598" s="2" t="s">
        <v>1506</v>
      </c>
      <c r="B1598" s="2" t="s">
        <v>1272</v>
      </c>
      <c r="C1598" s="2" t="s">
        <v>1503</v>
      </c>
      <c r="D1598" s="2" t="s">
        <v>124</v>
      </c>
      <c r="E1598" s="7"/>
      <c r="F1598" s="7" t="s">
        <v>1763</v>
      </c>
      <c r="G1598" s="2" t="s">
        <v>1486</v>
      </c>
      <c r="H1598" s="2" t="s">
        <v>1773</v>
      </c>
      <c r="I1598" s="2"/>
      <c r="J1598" s="2"/>
      <c r="K1598" s="2" t="s">
        <v>2718</v>
      </c>
      <c r="L1598" s="2" t="s">
        <v>35</v>
      </c>
    </row>
    <row r="1599" spans="1:12" ht="29">
      <c r="A1599" s="2" t="s">
        <v>1506</v>
      </c>
      <c r="B1599" s="2" t="s">
        <v>1272</v>
      </c>
      <c r="C1599" s="2" t="s">
        <v>1503</v>
      </c>
      <c r="D1599" s="2" t="s">
        <v>65</v>
      </c>
      <c r="E1599" s="7"/>
      <c r="F1599" s="7" t="s">
        <v>1763</v>
      </c>
      <c r="G1599" s="2" t="s">
        <v>1486</v>
      </c>
      <c r="H1599" s="2" t="s">
        <v>1773</v>
      </c>
      <c r="I1599" s="2"/>
      <c r="J1599" s="2"/>
      <c r="K1599" s="2" t="s">
        <v>2718</v>
      </c>
      <c r="L1599" s="2" t="s">
        <v>35</v>
      </c>
    </row>
    <row r="1600" spans="1:12" ht="29">
      <c r="A1600" s="2" t="s">
        <v>1506</v>
      </c>
      <c r="B1600" s="2" t="s">
        <v>1272</v>
      </c>
      <c r="C1600" s="2" t="s">
        <v>1503</v>
      </c>
      <c r="D1600" s="2" t="s">
        <v>222</v>
      </c>
      <c r="E1600" s="7" t="s">
        <v>1504</v>
      </c>
      <c r="F1600" s="7" t="s">
        <v>1764</v>
      </c>
      <c r="G1600" s="2" t="s">
        <v>1486</v>
      </c>
      <c r="H1600" s="2" t="s">
        <v>1759</v>
      </c>
      <c r="I1600" s="2" t="s">
        <v>2706</v>
      </c>
      <c r="J1600" s="2" t="s">
        <v>2707</v>
      </c>
      <c r="K1600" s="2" t="s">
        <v>2718</v>
      </c>
      <c r="L1600" s="2" t="s">
        <v>35</v>
      </c>
    </row>
    <row r="1601" spans="1:12" ht="14.5">
      <c r="A1601" s="2" t="s">
        <v>1506</v>
      </c>
      <c r="B1601" s="2" t="s">
        <v>1272</v>
      </c>
      <c r="C1601" s="2" t="s">
        <v>1503</v>
      </c>
      <c r="D1601" s="2" t="s">
        <v>1765</v>
      </c>
      <c r="E1601" s="7" t="s">
        <v>48</v>
      </c>
      <c r="F1601" s="7" t="s">
        <v>1766</v>
      </c>
      <c r="G1601" s="2" t="s">
        <v>1486</v>
      </c>
      <c r="H1601" s="2" t="s">
        <v>1759</v>
      </c>
      <c r="I1601" s="2" t="s">
        <v>1767</v>
      </c>
      <c r="J1601" s="2"/>
      <c r="K1601" t="s">
        <v>2719</v>
      </c>
    </row>
    <row r="1602" spans="1:12" ht="14.5">
      <c r="A1602" s="2" t="s">
        <v>1511</v>
      </c>
      <c r="B1602" s="2" t="s">
        <v>1272</v>
      </c>
      <c r="C1602" s="2" t="s">
        <v>1507</v>
      </c>
      <c r="D1602" s="2" t="s">
        <v>1757</v>
      </c>
      <c r="E1602" s="5">
        <v>0.64</v>
      </c>
      <c r="F1602" s="7" t="s">
        <v>1758</v>
      </c>
      <c r="G1602" s="2" t="s">
        <v>29</v>
      </c>
      <c r="H1602" s="2" t="s">
        <v>1759</v>
      </c>
      <c r="I1602" s="2" t="s">
        <v>2720</v>
      </c>
      <c r="J1602" s="2" t="s">
        <v>2721</v>
      </c>
      <c r="K1602" s="2"/>
      <c r="L1602" s="2" t="s">
        <v>45</v>
      </c>
    </row>
    <row r="1603" spans="1:12" ht="14.5">
      <c r="A1603" s="2" t="s">
        <v>1511</v>
      </c>
      <c r="B1603" s="2" t="s">
        <v>1272</v>
      </c>
      <c r="C1603" s="2" t="s">
        <v>1507</v>
      </c>
      <c r="D1603" s="2" t="s">
        <v>254</v>
      </c>
      <c r="E1603" s="8">
        <v>0.16500000000000001</v>
      </c>
      <c r="F1603" s="7" t="s">
        <v>1758</v>
      </c>
      <c r="G1603" s="2" t="s">
        <v>29</v>
      </c>
      <c r="H1603" s="2" t="s">
        <v>1759</v>
      </c>
      <c r="I1603" s="2" t="s">
        <v>2720</v>
      </c>
      <c r="J1603" s="2" t="s">
        <v>2721</v>
      </c>
      <c r="K1603" s="2"/>
      <c r="L1603" s="2" t="s">
        <v>45</v>
      </c>
    </row>
    <row r="1604" spans="1:12" ht="14.5">
      <c r="A1604" s="2" t="s">
        <v>1511</v>
      </c>
      <c r="B1604" s="2" t="s">
        <v>1272</v>
      </c>
      <c r="C1604" s="2" t="s">
        <v>1507</v>
      </c>
      <c r="D1604" s="2" t="s">
        <v>124</v>
      </c>
      <c r="E1604" s="7"/>
      <c r="F1604" s="7" t="s">
        <v>1763</v>
      </c>
      <c r="G1604" s="2" t="s">
        <v>29</v>
      </c>
      <c r="H1604" s="2" t="s">
        <v>1773</v>
      </c>
      <c r="I1604" s="2"/>
      <c r="J1604" s="2"/>
      <c r="K1604" s="2"/>
      <c r="L1604" s="2" t="s">
        <v>45</v>
      </c>
    </row>
    <row r="1605" spans="1:12" ht="14.5">
      <c r="A1605" s="2" t="s">
        <v>1511</v>
      </c>
      <c r="B1605" s="2" t="s">
        <v>1272</v>
      </c>
      <c r="C1605" s="2" t="s">
        <v>1507</v>
      </c>
      <c r="D1605" s="2" t="s">
        <v>65</v>
      </c>
      <c r="E1605" s="7"/>
      <c r="F1605" s="7" t="s">
        <v>1763</v>
      </c>
      <c r="G1605" s="2" t="s">
        <v>29</v>
      </c>
      <c r="H1605" s="2" t="s">
        <v>1773</v>
      </c>
      <c r="I1605" s="2"/>
      <c r="J1605" s="2"/>
      <c r="K1605" s="2"/>
      <c r="L1605" s="2" t="s">
        <v>45</v>
      </c>
    </row>
    <row r="1606" spans="1:12" ht="14.5">
      <c r="A1606" s="2" t="s">
        <v>1511</v>
      </c>
      <c r="B1606" s="2" t="s">
        <v>1272</v>
      </c>
      <c r="C1606" s="2" t="s">
        <v>1507</v>
      </c>
      <c r="D1606" s="2" t="s">
        <v>222</v>
      </c>
      <c r="E1606" s="7" t="s">
        <v>1508</v>
      </c>
      <c r="F1606" s="7" t="s">
        <v>1764</v>
      </c>
      <c r="G1606" s="2" t="s">
        <v>29</v>
      </c>
      <c r="H1606" s="2" t="s">
        <v>1759</v>
      </c>
      <c r="I1606" s="2" t="s">
        <v>2720</v>
      </c>
      <c r="J1606" s="2" t="s">
        <v>2721</v>
      </c>
      <c r="K1606" s="2"/>
      <c r="L1606" s="2" t="s">
        <v>45</v>
      </c>
    </row>
    <row r="1607" spans="1:12" ht="14.5">
      <c r="A1607" s="2" t="s">
        <v>1511</v>
      </c>
      <c r="B1607" s="2" t="s">
        <v>1272</v>
      </c>
      <c r="C1607" s="2" t="s">
        <v>1507</v>
      </c>
      <c r="D1607" s="2" t="s">
        <v>1765</v>
      </c>
      <c r="E1607" s="7" t="s">
        <v>705</v>
      </c>
      <c r="F1607" s="7" t="s">
        <v>1766</v>
      </c>
      <c r="G1607" s="2" t="s">
        <v>29</v>
      </c>
      <c r="H1607" s="2" t="s">
        <v>1759</v>
      </c>
      <c r="I1607" s="2" t="s">
        <v>1767</v>
      </c>
      <c r="J1607" s="2"/>
      <c r="K1607" t="s">
        <v>2722</v>
      </c>
    </row>
    <row r="1608" spans="1:12" ht="29">
      <c r="A1608" s="2" t="s">
        <v>1520</v>
      </c>
      <c r="B1608" s="2" t="s">
        <v>1272</v>
      </c>
      <c r="C1608" s="2" t="s">
        <v>1514</v>
      </c>
      <c r="D1608" s="2" t="s">
        <v>1757</v>
      </c>
      <c r="E1608" s="5">
        <v>0.85</v>
      </c>
      <c r="F1608" s="7" t="s">
        <v>1758</v>
      </c>
      <c r="G1608" s="2" t="s">
        <v>71</v>
      </c>
      <c r="H1608" s="2" t="s">
        <v>1759</v>
      </c>
      <c r="I1608" s="2" t="s">
        <v>2723</v>
      </c>
      <c r="J1608" s="2" t="s">
        <v>2724</v>
      </c>
      <c r="K1608" s="2" t="s">
        <v>2725</v>
      </c>
      <c r="L1608" s="2" t="s">
        <v>35</v>
      </c>
    </row>
    <row r="1609" spans="1:12" ht="29">
      <c r="A1609" s="2" t="s">
        <v>1520</v>
      </c>
      <c r="B1609" s="2" t="s">
        <v>1272</v>
      </c>
      <c r="C1609" s="2" t="s">
        <v>1514</v>
      </c>
      <c r="D1609" s="2" t="s">
        <v>254</v>
      </c>
      <c r="E1609" s="5">
        <v>0.67</v>
      </c>
      <c r="F1609" s="7" t="s">
        <v>1758</v>
      </c>
      <c r="G1609" s="2" t="s">
        <v>71</v>
      </c>
      <c r="H1609" s="2" t="s">
        <v>1759</v>
      </c>
      <c r="I1609" s="2" t="s">
        <v>2723</v>
      </c>
      <c r="J1609" s="2" t="s">
        <v>2724</v>
      </c>
      <c r="K1609" s="2" t="s">
        <v>2725</v>
      </c>
      <c r="L1609" s="2" t="s">
        <v>35</v>
      </c>
    </row>
    <row r="1610" spans="1:12" ht="29">
      <c r="A1610" s="2" t="s">
        <v>1520</v>
      </c>
      <c r="B1610" s="2" t="s">
        <v>1272</v>
      </c>
      <c r="C1610" s="2" t="s">
        <v>1514</v>
      </c>
      <c r="D1610" s="2" t="s">
        <v>124</v>
      </c>
      <c r="E1610" s="7" t="s">
        <v>1515</v>
      </c>
      <c r="F1610" s="7" t="s">
        <v>1763</v>
      </c>
      <c r="G1610" s="2" t="s">
        <v>71</v>
      </c>
      <c r="H1610" s="2" t="s">
        <v>1759</v>
      </c>
      <c r="I1610" s="2" t="s">
        <v>2723</v>
      </c>
      <c r="J1610" s="2" t="s">
        <v>2724</v>
      </c>
      <c r="K1610" s="2" t="s">
        <v>2725</v>
      </c>
      <c r="L1610" s="2" t="s">
        <v>35</v>
      </c>
    </row>
    <row r="1611" spans="1:12" ht="29">
      <c r="A1611" s="2" t="s">
        <v>1520</v>
      </c>
      <c r="B1611" s="2" t="s">
        <v>1272</v>
      </c>
      <c r="C1611" s="2" t="s">
        <v>1514</v>
      </c>
      <c r="D1611" s="2" t="s">
        <v>65</v>
      </c>
      <c r="E1611" s="7" t="s">
        <v>1516</v>
      </c>
      <c r="F1611" s="7" t="s">
        <v>1763</v>
      </c>
      <c r="G1611" s="2" t="s">
        <v>71</v>
      </c>
      <c r="H1611" s="2" t="s">
        <v>1759</v>
      </c>
      <c r="I1611" s="2" t="s">
        <v>2723</v>
      </c>
      <c r="J1611" s="2" t="s">
        <v>2724</v>
      </c>
      <c r="K1611" s="2" t="s">
        <v>2725</v>
      </c>
      <c r="L1611" s="2" t="s">
        <v>35</v>
      </c>
    </row>
    <row r="1612" spans="1:12" ht="29">
      <c r="A1612" s="2" t="s">
        <v>1520</v>
      </c>
      <c r="B1612" s="2" t="s">
        <v>1272</v>
      </c>
      <c r="C1612" s="2" t="s">
        <v>1514</v>
      </c>
      <c r="D1612" s="2" t="s">
        <v>222</v>
      </c>
      <c r="E1612" s="7" t="s">
        <v>1517</v>
      </c>
      <c r="F1612" s="7" t="s">
        <v>1764</v>
      </c>
      <c r="G1612" s="2" t="s">
        <v>71</v>
      </c>
      <c r="H1612" s="2" t="s">
        <v>1759</v>
      </c>
      <c r="I1612" s="2" t="s">
        <v>2723</v>
      </c>
      <c r="J1612" s="2" t="s">
        <v>2724</v>
      </c>
      <c r="K1612" s="2" t="s">
        <v>2725</v>
      </c>
      <c r="L1612" s="2" t="s">
        <v>35</v>
      </c>
    </row>
    <row r="1613" spans="1:12" ht="14.5">
      <c r="A1613" s="2" t="s">
        <v>1520</v>
      </c>
      <c r="B1613" s="2" t="s">
        <v>1272</v>
      </c>
      <c r="C1613" s="2" t="s">
        <v>1514</v>
      </c>
      <c r="D1613" s="2" t="s">
        <v>1765</v>
      </c>
      <c r="E1613" s="7" t="s">
        <v>243</v>
      </c>
      <c r="F1613" s="7" t="s">
        <v>1766</v>
      </c>
      <c r="G1613" s="2" t="s">
        <v>71</v>
      </c>
      <c r="H1613" s="2" t="s">
        <v>1759</v>
      </c>
      <c r="I1613" s="2" t="s">
        <v>1767</v>
      </c>
      <c r="J1613" s="2"/>
      <c r="K1613" t="s">
        <v>2726</v>
      </c>
    </row>
    <row r="1614" spans="1:12" ht="29">
      <c r="A1614" s="2" t="s">
        <v>1526</v>
      </c>
      <c r="B1614" s="2" t="s">
        <v>1272</v>
      </c>
      <c r="C1614" s="2" t="s">
        <v>1522</v>
      </c>
      <c r="D1614" s="2" t="s">
        <v>1757</v>
      </c>
      <c r="E1614" s="5">
        <v>0.94</v>
      </c>
      <c r="F1614" s="7" t="s">
        <v>1758</v>
      </c>
      <c r="G1614" s="2" t="s">
        <v>1523</v>
      </c>
      <c r="H1614" s="2" t="s">
        <v>1759</v>
      </c>
      <c r="I1614" s="2" t="s">
        <v>2727</v>
      </c>
      <c r="J1614" s="2" t="s">
        <v>2364</v>
      </c>
      <c r="K1614" s="2" t="s">
        <v>2728</v>
      </c>
      <c r="L1614" s="2" t="s">
        <v>45</v>
      </c>
    </row>
    <row r="1615" spans="1:12" ht="29">
      <c r="A1615" s="2" t="s">
        <v>1526</v>
      </c>
      <c r="B1615" s="2" t="s">
        <v>1272</v>
      </c>
      <c r="C1615" s="2" t="s">
        <v>1522</v>
      </c>
      <c r="D1615" s="2" t="s">
        <v>254</v>
      </c>
      <c r="E1615" s="5">
        <v>0.55000000000000004</v>
      </c>
      <c r="F1615" s="7" t="s">
        <v>1758</v>
      </c>
      <c r="G1615" s="2" t="s">
        <v>1523</v>
      </c>
      <c r="H1615" s="2" t="s">
        <v>1759</v>
      </c>
      <c r="I1615" s="2" t="s">
        <v>2727</v>
      </c>
      <c r="J1615" s="2" t="s">
        <v>2364</v>
      </c>
      <c r="K1615" s="2" t="s">
        <v>2728</v>
      </c>
      <c r="L1615" s="2" t="s">
        <v>45</v>
      </c>
    </row>
    <row r="1616" spans="1:12" ht="29">
      <c r="A1616" s="2" t="s">
        <v>1526</v>
      </c>
      <c r="B1616" s="2" t="s">
        <v>1272</v>
      </c>
      <c r="C1616" s="2" t="s">
        <v>1522</v>
      </c>
      <c r="D1616" s="2" t="s">
        <v>124</v>
      </c>
      <c r="E1616" s="5">
        <v>2.75</v>
      </c>
      <c r="F1616" s="7" t="s">
        <v>1763</v>
      </c>
      <c r="G1616" s="2" t="s">
        <v>1523</v>
      </c>
      <c r="H1616" s="2" t="s">
        <v>1759</v>
      </c>
      <c r="I1616" s="2" t="s">
        <v>2727</v>
      </c>
      <c r="J1616" s="2" t="s">
        <v>2364</v>
      </c>
      <c r="K1616" s="2" t="s">
        <v>2728</v>
      </c>
      <c r="L1616" s="2" t="s">
        <v>45</v>
      </c>
    </row>
    <row r="1617" spans="1:12" ht="29">
      <c r="A1617" s="2" t="s">
        <v>1526</v>
      </c>
      <c r="B1617" s="2" t="s">
        <v>1272</v>
      </c>
      <c r="C1617" s="2" t="s">
        <v>1522</v>
      </c>
      <c r="D1617" s="2" t="s">
        <v>65</v>
      </c>
      <c r="E1617" s="4">
        <v>0.5</v>
      </c>
      <c r="F1617" s="7" t="s">
        <v>1763</v>
      </c>
      <c r="G1617" s="2" t="s">
        <v>1523</v>
      </c>
      <c r="H1617" s="2" t="s">
        <v>1759</v>
      </c>
      <c r="I1617" s="2" t="s">
        <v>2727</v>
      </c>
      <c r="J1617" s="2" t="s">
        <v>2364</v>
      </c>
      <c r="K1617" s="2" t="s">
        <v>2728</v>
      </c>
      <c r="L1617" s="2" t="s">
        <v>45</v>
      </c>
    </row>
    <row r="1618" spans="1:12" ht="29">
      <c r="A1618" s="2" t="s">
        <v>1526</v>
      </c>
      <c r="B1618" s="2" t="s">
        <v>1272</v>
      </c>
      <c r="C1618" s="2" t="s">
        <v>1522</v>
      </c>
      <c r="D1618" s="2" t="s">
        <v>222</v>
      </c>
      <c r="E1618" s="6">
        <v>2</v>
      </c>
      <c r="F1618" s="7" t="s">
        <v>1764</v>
      </c>
      <c r="G1618" s="2" t="s">
        <v>1523</v>
      </c>
      <c r="H1618" s="2" t="s">
        <v>1759</v>
      </c>
      <c r="I1618" s="2" t="s">
        <v>2727</v>
      </c>
      <c r="J1618" s="2" t="s">
        <v>2364</v>
      </c>
      <c r="K1618" s="2" t="s">
        <v>2728</v>
      </c>
      <c r="L1618" s="2" t="s">
        <v>45</v>
      </c>
    </row>
    <row r="1619" spans="1:12" ht="14.5">
      <c r="A1619" s="2" t="s">
        <v>1526</v>
      </c>
      <c r="B1619" s="2" t="s">
        <v>1272</v>
      </c>
      <c r="C1619" s="2" t="s">
        <v>1522</v>
      </c>
      <c r="D1619" s="2" t="s">
        <v>1765</v>
      </c>
      <c r="E1619" s="6" t="s">
        <v>117</v>
      </c>
      <c r="F1619" s="7" t="s">
        <v>1766</v>
      </c>
      <c r="G1619" s="2" t="s">
        <v>1523</v>
      </c>
      <c r="H1619" s="2" t="s">
        <v>1759</v>
      </c>
      <c r="I1619" s="2" t="s">
        <v>1767</v>
      </c>
      <c r="J1619" s="2"/>
      <c r="K1619" t="s">
        <v>1795</v>
      </c>
    </row>
    <row r="1620" spans="1:12" ht="14.5">
      <c r="A1620" s="2" t="s">
        <v>1529</v>
      </c>
      <c r="B1620" s="2" t="s">
        <v>1272</v>
      </c>
      <c r="C1620" s="2" t="s">
        <v>1528</v>
      </c>
      <c r="D1620" s="2" t="s">
        <v>1757</v>
      </c>
      <c r="E1620" s="4">
        <v>0.8</v>
      </c>
      <c r="F1620" s="7" t="s">
        <v>1758</v>
      </c>
      <c r="G1620" s="2" t="s">
        <v>29</v>
      </c>
      <c r="H1620" s="2" t="s">
        <v>1759</v>
      </c>
      <c r="I1620" s="2" t="s">
        <v>2637</v>
      </c>
      <c r="J1620" s="2" t="s">
        <v>2280</v>
      </c>
      <c r="K1620" s="2" t="s">
        <v>2729</v>
      </c>
      <c r="L1620" s="2" t="s">
        <v>45</v>
      </c>
    </row>
    <row r="1621" spans="1:12" ht="14.5">
      <c r="A1621" s="2" t="s">
        <v>1529</v>
      </c>
      <c r="B1621" s="2" t="s">
        <v>1272</v>
      </c>
      <c r="C1621" s="2" t="s">
        <v>1528</v>
      </c>
      <c r="D1621" s="2" t="s">
        <v>254</v>
      </c>
      <c r="E1621" s="5">
        <v>0.23</v>
      </c>
      <c r="F1621" s="7" t="s">
        <v>1758</v>
      </c>
      <c r="G1621" s="2" t="s">
        <v>29</v>
      </c>
      <c r="H1621" s="2" t="s">
        <v>1759</v>
      </c>
      <c r="I1621" s="2" t="s">
        <v>2637</v>
      </c>
      <c r="J1621" s="2" t="s">
        <v>2280</v>
      </c>
      <c r="K1621" s="2" t="s">
        <v>2729</v>
      </c>
      <c r="L1621" s="2" t="s">
        <v>45</v>
      </c>
    </row>
    <row r="1622" spans="1:12" ht="14.5">
      <c r="A1622" s="2" t="s">
        <v>1529</v>
      </c>
      <c r="B1622" s="2" t="s">
        <v>1272</v>
      </c>
      <c r="C1622" s="2" t="s">
        <v>1528</v>
      </c>
      <c r="D1622" s="2" t="s">
        <v>124</v>
      </c>
      <c r="E1622" s="7"/>
      <c r="F1622" s="7" t="s">
        <v>1763</v>
      </c>
      <c r="G1622" s="2" t="s">
        <v>29</v>
      </c>
      <c r="H1622" s="2" t="s">
        <v>1773</v>
      </c>
      <c r="I1622" s="2"/>
      <c r="J1622" s="2"/>
      <c r="K1622" s="2" t="s">
        <v>2729</v>
      </c>
      <c r="L1622" s="2" t="s">
        <v>45</v>
      </c>
    </row>
    <row r="1623" spans="1:12" ht="14.5">
      <c r="A1623" s="2" t="s">
        <v>1529</v>
      </c>
      <c r="B1623" s="2" t="s">
        <v>1272</v>
      </c>
      <c r="C1623" s="2" t="s">
        <v>1528</v>
      </c>
      <c r="D1623" s="2" t="s">
        <v>65</v>
      </c>
      <c r="E1623" s="7"/>
      <c r="F1623" s="7" t="s">
        <v>1763</v>
      </c>
      <c r="G1623" s="2" t="s">
        <v>29</v>
      </c>
      <c r="H1623" s="2" t="s">
        <v>1773</v>
      </c>
      <c r="I1623" s="2"/>
      <c r="J1623" s="2"/>
      <c r="K1623" s="2" t="s">
        <v>2729</v>
      </c>
      <c r="L1623" s="2" t="s">
        <v>45</v>
      </c>
    </row>
    <row r="1624" spans="1:12" ht="14.5">
      <c r="A1624" s="2" t="s">
        <v>1529</v>
      </c>
      <c r="B1624" s="2" t="s">
        <v>1272</v>
      </c>
      <c r="C1624" s="2" t="s">
        <v>1528</v>
      </c>
      <c r="D1624" s="2" t="s">
        <v>222</v>
      </c>
      <c r="E1624" s="5">
        <v>0.34</v>
      </c>
      <c r="F1624" s="7" t="s">
        <v>1764</v>
      </c>
      <c r="G1624" s="2" t="s">
        <v>29</v>
      </c>
      <c r="H1624" s="2" t="s">
        <v>1759</v>
      </c>
      <c r="I1624" s="2" t="s">
        <v>2637</v>
      </c>
      <c r="J1624" s="2" t="s">
        <v>2280</v>
      </c>
      <c r="K1624" s="2" t="s">
        <v>2729</v>
      </c>
      <c r="L1624" s="2" t="s">
        <v>45</v>
      </c>
    </row>
    <row r="1625" spans="1:12" ht="14.5">
      <c r="A1625" s="2" t="s">
        <v>1529</v>
      </c>
      <c r="B1625" s="2" t="s">
        <v>1272</v>
      </c>
      <c r="C1625" s="2" t="s">
        <v>1528</v>
      </c>
      <c r="D1625" s="2" t="s">
        <v>1765</v>
      </c>
      <c r="E1625" s="5" t="s">
        <v>114</v>
      </c>
      <c r="F1625" s="7" t="s">
        <v>1766</v>
      </c>
      <c r="G1625" s="2" t="s">
        <v>29</v>
      </c>
      <c r="H1625" s="2" t="s">
        <v>1759</v>
      </c>
      <c r="I1625" s="2" t="s">
        <v>1767</v>
      </c>
      <c r="J1625" s="2"/>
      <c r="K1625" t="s">
        <v>2730</v>
      </c>
    </row>
    <row r="1626" spans="1:12" ht="29">
      <c r="A1626" s="2" t="s">
        <v>1533</v>
      </c>
      <c r="B1626" s="2" t="s">
        <v>1272</v>
      </c>
      <c r="C1626" s="2" t="s">
        <v>1530</v>
      </c>
      <c r="D1626" s="2" t="s">
        <v>1757</v>
      </c>
      <c r="E1626" s="5">
        <v>1.45</v>
      </c>
      <c r="F1626" s="7" t="s">
        <v>1758</v>
      </c>
      <c r="G1626" s="2" t="s">
        <v>71</v>
      </c>
      <c r="H1626" s="2" t="s">
        <v>1759</v>
      </c>
      <c r="I1626" s="2" t="s">
        <v>2731</v>
      </c>
      <c r="J1626" s="2" t="s">
        <v>2732</v>
      </c>
      <c r="K1626" s="2"/>
      <c r="L1626" s="2" t="s">
        <v>35</v>
      </c>
    </row>
    <row r="1627" spans="1:12" ht="29">
      <c r="A1627" s="2" t="s">
        <v>1533</v>
      </c>
      <c r="B1627" s="2" t="s">
        <v>1272</v>
      </c>
      <c r="C1627" s="2" t="s">
        <v>1530</v>
      </c>
      <c r="D1627" s="2" t="s">
        <v>254</v>
      </c>
      <c r="E1627" s="4">
        <v>0.3</v>
      </c>
      <c r="F1627" s="7" t="s">
        <v>1758</v>
      </c>
      <c r="G1627" s="2" t="s">
        <v>71</v>
      </c>
      <c r="H1627" s="2" t="s">
        <v>1759</v>
      </c>
      <c r="I1627" s="2" t="s">
        <v>2731</v>
      </c>
      <c r="J1627" s="2" t="s">
        <v>2732</v>
      </c>
      <c r="K1627" s="2"/>
      <c r="L1627" s="2" t="s">
        <v>35</v>
      </c>
    </row>
    <row r="1628" spans="1:12" ht="14.5">
      <c r="A1628" s="2" t="s">
        <v>1533</v>
      </c>
      <c r="B1628" s="2" t="s">
        <v>1272</v>
      </c>
      <c r="C1628" s="2" t="s">
        <v>1530</v>
      </c>
      <c r="D1628" s="2" t="s">
        <v>124</v>
      </c>
      <c r="E1628" s="7"/>
      <c r="F1628" s="7" t="s">
        <v>1763</v>
      </c>
      <c r="G1628" s="2" t="s">
        <v>71</v>
      </c>
      <c r="H1628" s="2" t="s">
        <v>1773</v>
      </c>
      <c r="I1628" s="2"/>
      <c r="J1628" s="2"/>
      <c r="K1628" s="2"/>
      <c r="L1628" s="2" t="s">
        <v>35</v>
      </c>
    </row>
    <row r="1629" spans="1:12" ht="14.5">
      <c r="A1629" s="2" t="s">
        <v>1533</v>
      </c>
      <c r="B1629" s="2" t="s">
        <v>1272</v>
      </c>
      <c r="C1629" s="2" t="s">
        <v>1530</v>
      </c>
      <c r="D1629" s="2" t="s">
        <v>65</v>
      </c>
      <c r="E1629" s="7"/>
      <c r="F1629" s="7" t="s">
        <v>1763</v>
      </c>
      <c r="G1629" s="2" t="s">
        <v>71</v>
      </c>
      <c r="H1629" s="2" t="s">
        <v>1773</v>
      </c>
      <c r="I1629" s="2"/>
      <c r="J1629" s="2"/>
      <c r="K1629" s="2"/>
      <c r="L1629" s="2" t="s">
        <v>35</v>
      </c>
    </row>
    <row r="1630" spans="1:12" ht="14.5">
      <c r="A1630" s="2" t="s">
        <v>1533</v>
      </c>
      <c r="B1630" s="2" t="s">
        <v>1272</v>
      </c>
      <c r="C1630" s="2" t="s">
        <v>1530</v>
      </c>
      <c r="D1630" s="2" t="s">
        <v>222</v>
      </c>
      <c r="E1630" s="7"/>
      <c r="F1630" s="7" t="s">
        <v>1764</v>
      </c>
      <c r="G1630" s="2" t="s">
        <v>71</v>
      </c>
      <c r="H1630" s="2" t="s">
        <v>1773</v>
      </c>
      <c r="I1630" s="2"/>
      <c r="J1630" s="2"/>
      <c r="K1630" s="2"/>
      <c r="L1630" s="2" t="s">
        <v>35</v>
      </c>
    </row>
    <row r="1631" spans="1:12" ht="14.5">
      <c r="A1631" s="2" t="s">
        <v>1533</v>
      </c>
      <c r="B1631" s="2" t="s">
        <v>1272</v>
      </c>
      <c r="C1631" s="2" t="s">
        <v>1530</v>
      </c>
      <c r="D1631" s="2" t="s">
        <v>1765</v>
      </c>
      <c r="E1631" s="7" t="s">
        <v>1531</v>
      </c>
      <c r="F1631" s="7" t="s">
        <v>1766</v>
      </c>
      <c r="G1631" s="2" t="s">
        <v>71</v>
      </c>
      <c r="H1631" s="2" t="s">
        <v>1759</v>
      </c>
      <c r="I1631" s="2" t="s">
        <v>1767</v>
      </c>
      <c r="J1631" s="2"/>
      <c r="K1631" t="s">
        <v>2733</v>
      </c>
    </row>
    <row r="1632" spans="1:12" ht="29">
      <c r="A1632" s="2" t="s">
        <v>1538</v>
      </c>
      <c r="B1632" s="2" t="s">
        <v>1272</v>
      </c>
      <c r="C1632" s="2" t="s">
        <v>1535</v>
      </c>
      <c r="D1632" s="2" t="s">
        <v>1757</v>
      </c>
      <c r="E1632" s="5">
        <v>1.65</v>
      </c>
      <c r="F1632" s="7" t="s">
        <v>1758</v>
      </c>
      <c r="G1632" s="2" t="s">
        <v>1536</v>
      </c>
      <c r="H1632" s="2" t="s">
        <v>1759</v>
      </c>
      <c r="I1632" s="2" t="s">
        <v>2734</v>
      </c>
      <c r="J1632" s="2" t="s">
        <v>2674</v>
      </c>
      <c r="K1632" s="2" t="s">
        <v>2735</v>
      </c>
      <c r="L1632" s="2" t="s">
        <v>45</v>
      </c>
    </row>
    <row r="1633" spans="1:12" ht="29">
      <c r="A1633" s="2" t="s">
        <v>1538</v>
      </c>
      <c r="B1633" s="2" t="s">
        <v>1272</v>
      </c>
      <c r="C1633" s="2" t="s">
        <v>1535</v>
      </c>
      <c r="D1633" s="2" t="s">
        <v>254</v>
      </c>
      <c r="E1633" s="5">
        <v>0.28000000000000003</v>
      </c>
      <c r="F1633" s="7" t="s">
        <v>1758</v>
      </c>
      <c r="G1633" s="2" t="s">
        <v>1536</v>
      </c>
      <c r="H1633" s="2" t="s">
        <v>1759</v>
      </c>
      <c r="I1633" s="2" t="s">
        <v>2734</v>
      </c>
      <c r="J1633" s="2" t="s">
        <v>2674</v>
      </c>
      <c r="K1633" s="2" t="s">
        <v>2735</v>
      </c>
      <c r="L1633" s="2" t="s">
        <v>45</v>
      </c>
    </row>
    <row r="1634" spans="1:12" ht="29">
      <c r="A1634" s="2" t="s">
        <v>1538</v>
      </c>
      <c r="B1634" s="2" t="s">
        <v>1272</v>
      </c>
      <c r="C1634" s="2" t="s">
        <v>1535</v>
      </c>
      <c r="D1634" s="2" t="s">
        <v>124</v>
      </c>
      <c r="E1634" s="4">
        <v>1.7</v>
      </c>
      <c r="F1634" s="7" t="s">
        <v>1763</v>
      </c>
      <c r="G1634" s="2" t="s">
        <v>1536</v>
      </c>
      <c r="H1634" s="2" t="s">
        <v>1759</v>
      </c>
      <c r="I1634" s="2" t="s">
        <v>2734</v>
      </c>
      <c r="J1634" s="2" t="s">
        <v>2674</v>
      </c>
      <c r="K1634" s="2" t="s">
        <v>2735</v>
      </c>
      <c r="L1634" s="2" t="s">
        <v>45</v>
      </c>
    </row>
    <row r="1635" spans="1:12" ht="29">
      <c r="A1635" s="2" t="s">
        <v>1538</v>
      </c>
      <c r="B1635" s="2" t="s">
        <v>1272</v>
      </c>
      <c r="C1635" s="2" t="s">
        <v>1535</v>
      </c>
      <c r="D1635" s="2" t="s">
        <v>65</v>
      </c>
      <c r="E1635" s="4">
        <v>0.7</v>
      </c>
      <c r="F1635" s="7" t="s">
        <v>1763</v>
      </c>
      <c r="G1635" s="2" t="s">
        <v>1536</v>
      </c>
      <c r="H1635" s="2" t="s">
        <v>1759</v>
      </c>
      <c r="I1635" s="2" t="s">
        <v>2734</v>
      </c>
      <c r="J1635" s="2" t="s">
        <v>2674</v>
      </c>
      <c r="K1635" s="2" t="s">
        <v>2735</v>
      </c>
      <c r="L1635" s="2" t="s">
        <v>45</v>
      </c>
    </row>
    <row r="1636" spans="1:12" ht="29">
      <c r="A1636" s="2" t="s">
        <v>1538</v>
      </c>
      <c r="B1636" s="2" t="s">
        <v>1272</v>
      </c>
      <c r="C1636" s="2" t="s">
        <v>1535</v>
      </c>
      <c r="D1636" s="2" t="s">
        <v>222</v>
      </c>
      <c r="E1636" s="5">
        <v>0.34</v>
      </c>
      <c r="F1636" s="7" t="s">
        <v>1764</v>
      </c>
      <c r="G1636" s="2" t="s">
        <v>1536</v>
      </c>
      <c r="H1636" s="2" t="s">
        <v>1759</v>
      </c>
      <c r="I1636" s="2" t="s">
        <v>2734</v>
      </c>
      <c r="J1636" s="2" t="s">
        <v>2674</v>
      </c>
      <c r="K1636" s="2" t="s">
        <v>2735</v>
      </c>
      <c r="L1636" s="2" t="s">
        <v>45</v>
      </c>
    </row>
    <row r="1637" spans="1:12" ht="14.5">
      <c r="A1637" s="2" t="s">
        <v>1538</v>
      </c>
      <c r="B1637" s="2" t="s">
        <v>1272</v>
      </c>
      <c r="C1637" s="2" t="s">
        <v>1535</v>
      </c>
      <c r="D1637" s="2" t="s">
        <v>1765</v>
      </c>
      <c r="E1637" s="5" t="s">
        <v>48</v>
      </c>
      <c r="F1637" s="7" t="s">
        <v>1766</v>
      </c>
      <c r="G1637" s="2" t="s">
        <v>1536</v>
      </c>
      <c r="H1637" s="2" t="s">
        <v>1759</v>
      </c>
      <c r="I1637" s="2" t="s">
        <v>1767</v>
      </c>
      <c r="J1637" s="2"/>
      <c r="K1637" t="s">
        <v>2736</v>
      </c>
    </row>
    <row r="1638" spans="1:12" ht="29">
      <c r="A1638" s="2" t="s">
        <v>1543</v>
      </c>
      <c r="B1638" s="2" t="s">
        <v>1272</v>
      </c>
      <c r="C1638" s="2" t="s">
        <v>1540</v>
      </c>
      <c r="D1638" s="2" t="s">
        <v>1757</v>
      </c>
      <c r="E1638" s="5">
        <v>1.45</v>
      </c>
      <c r="F1638" s="7" t="s">
        <v>1758</v>
      </c>
      <c r="G1638" s="2" t="s">
        <v>1541</v>
      </c>
      <c r="H1638" s="2" t="s">
        <v>1759</v>
      </c>
      <c r="I1638" s="2" t="s">
        <v>2658</v>
      </c>
      <c r="J1638" s="2" t="s">
        <v>2659</v>
      </c>
      <c r="K1638" s="2" t="s">
        <v>2737</v>
      </c>
      <c r="L1638" s="2" t="s">
        <v>190</v>
      </c>
    </row>
    <row r="1639" spans="1:12" ht="29">
      <c r="A1639" s="2" t="s">
        <v>1543</v>
      </c>
      <c r="B1639" s="2" t="s">
        <v>1272</v>
      </c>
      <c r="C1639" s="2" t="s">
        <v>1540</v>
      </c>
      <c r="D1639" s="2" t="s">
        <v>254</v>
      </c>
      <c r="E1639" s="5">
        <v>0.45</v>
      </c>
      <c r="F1639" s="7" t="s">
        <v>1758</v>
      </c>
      <c r="G1639" s="2" t="s">
        <v>1541</v>
      </c>
      <c r="H1639" s="2" t="s">
        <v>1759</v>
      </c>
      <c r="I1639" s="2" t="s">
        <v>2658</v>
      </c>
      <c r="J1639" s="2" t="s">
        <v>2659</v>
      </c>
      <c r="K1639" s="2" t="s">
        <v>2737</v>
      </c>
      <c r="L1639" s="2" t="s">
        <v>190</v>
      </c>
    </row>
    <row r="1640" spans="1:12" ht="43.5">
      <c r="A1640" s="2" t="s">
        <v>1543</v>
      </c>
      <c r="B1640" s="2" t="s">
        <v>1272</v>
      </c>
      <c r="C1640" s="2" t="s">
        <v>1540</v>
      </c>
      <c r="D1640" s="2" t="s">
        <v>124</v>
      </c>
      <c r="E1640" s="11">
        <v>1</v>
      </c>
      <c r="F1640" s="20" t="s">
        <v>1763</v>
      </c>
      <c r="G1640" s="21" t="s">
        <v>1541</v>
      </c>
      <c r="H1640" s="21" t="s">
        <v>1779</v>
      </c>
      <c r="I1640" s="2" t="s">
        <v>2738</v>
      </c>
      <c r="J1640" s="2" t="s">
        <v>2739</v>
      </c>
      <c r="K1640" s="2" t="s">
        <v>2740</v>
      </c>
      <c r="L1640" s="2" t="s">
        <v>190</v>
      </c>
    </row>
    <row r="1641" spans="1:12" ht="43.5">
      <c r="A1641" s="2" t="s">
        <v>1543</v>
      </c>
      <c r="B1641" s="2" t="s">
        <v>1272</v>
      </c>
      <c r="C1641" s="2" t="s">
        <v>1540</v>
      </c>
      <c r="D1641" s="2" t="s">
        <v>65</v>
      </c>
      <c r="E1641" s="11">
        <v>0</v>
      </c>
      <c r="F1641" s="20" t="s">
        <v>1763</v>
      </c>
      <c r="G1641" s="21" t="s">
        <v>1541</v>
      </c>
      <c r="H1641" s="21" t="s">
        <v>1779</v>
      </c>
      <c r="I1641" s="2" t="s">
        <v>2738</v>
      </c>
      <c r="J1641" s="2" t="s">
        <v>2739</v>
      </c>
      <c r="K1641" s="2" t="s">
        <v>2741</v>
      </c>
      <c r="L1641" s="2" t="s">
        <v>190</v>
      </c>
    </row>
    <row r="1642" spans="1:12" ht="29">
      <c r="A1642" s="2" t="s">
        <v>1543</v>
      </c>
      <c r="B1642" s="2" t="s">
        <v>1272</v>
      </c>
      <c r="C1642" s="2" t="s">
        <v>1540</v>
      </c>
      <c r="D1642" s="2" t="s">
        <v>222</v>
      </c>
      <c r="E1642" s="4">
        <v>0.5</v>
      </c>
      <c r="F1642" s="7" t="s">
        <v>1764</v>
      </c>
      <c r="G1642" s="2" t="s">
        <v>1541</v>
      </c>
      <c r="H1642" s="2" t="s">
        <v>1759</v>
      </c>
      <c r="I1642" s="2" t="s">
        <v>2658</v>
      </c>
      <c r="J1642" s="2" t="s">
        <v>2659</v>
      </c>
      <c r="K1642" s="2" t="s">
        <v>2737</v>
      </c>
      <c r="L1642" s="2" t="s">
        <v>190</v>
      </c>
    </row>
    <row r="1643" spans="1:12" ht="14.5">
      <c r="A1643" s="2" t="s">
        <v>1543</v>
      </c>
      <c r="B1643" s="2" t="s">
        <v>1272</v>
      </c>
      <c r="C1643" s="2" t="s">
        <v>1540</v>
      </c>
      <c r="D1643" s="2" t="s">
        <v>1765</v>
      </c>
      <c r="E1643" s="4" t="s">
        <v>114</v>
      </c>
      <c r="F1643" s="7" t="s">
        <v>1766</v>
      </c>
      <c r="G1643" s="2" t="s">
        <v>1541</v>
      </c>
      <c r="H1643" s="2" t="s">
        <v>1759</v>
      </c>
      <c r="I1643" s="2" t="s">
        <v>1767</v>
      </c>
      <c r="J1643" s="2"/>
      <c r="K1643" t="s">
        <v>1847</v>
      </c>
    </row>
    <row r="1644" spans="1:12" ht="29">
      <c r="A1644" s="2" t="s">
        <v>1550</v>
      </c>
      <c r="B1644" s="2" t="s">
        <v>1272</v>
      </c>
      <c r="C1644" s="2" t="s">
        <v>1546</v>
      </c>
      <c r="D1644" s="2" t="s">
        <v>1757</v>
      </c>
      <c r="E1644" s="5">
        <v>0.35</v>
      </c>
      <c r="F1644" s="7" t="s">
        <v>1758</v>
      </c>
      <c r="G1644" s="2" t="s">
        <v>180</v>
      </c>
      <c r="H1644" s="2" t="s">
        <v>1759</v>
      </c>
      <c r="I1644" s="2" t="s">
        <v>2727</v>
      </c>
      <c r="J1644" s="2" t="s">
        <v>2364</v>
      </c>
      <c r="K1644" s="2" t="s">
        <v>2742</v>
      </c>
      <c r="L1644" s="2" t="s">
        <v>45</v>
      </c>
    </row>
    <row r="1645" spans="1:12" ht="29">
      <c r="A1645" s="2" t="s">
        <v>1550</v>
      </c>
      <c r="B1645" s="2" t="s">
        <v>1272</v>
      </c>
      <c r="C1645" s="2" t="s">
        <v>1546</v>
      </c>
      <c r="D1645" s="2" t="s">
        <v>254</v>
      </c>
      <c r="E1645" s="5">
        <v>0.28999999999999998</v>
      </c>
      <c r="F1645" s="7" t="s">
        <v>1758</v>
      </c>
      <c r="G1645" s="2" t="s">
        <v>180</v>
      </c>
      <c r="H1645" s="2" t="s">
        <v>1759</v>
      </c>
      <c r="I1645" s="2" t="s">
        <v>2727</v>
      </c>
      <c r="J1645" s="2" t="s">
        <v>2364</v>
      </c>
      <c r="K1645" s="2" t="s">
        <v>2742</v>
      </c>
      <c r="L1645" s="2" t="s">
        <v>45</v>
      </c>
    </row>
    <row r="1646" spans="1:12" ht="29">
      <c r="A1646" s="2" t="s">
        <v>1550</v>
      </c>
      <c r="B1646" s="2" t="s">
        <v>1272</v>
      </c>
      <c r="C1646" s="2" t="s">
        <v>1546</v>
      </c>
      <c r="D1646" s="2" t="s">
        <v>124</v>
      </c>
      <c r="E1646" s="4">
        <v>1.8</v>
      </c>
      <c r="F1646" s="7" t="s">
        <v>1763</v>
      </c>
      <c r="G1646" s="2" t="s">
        <v>180</v>
      </c>
      <c r="H1646" s="2" t="s">
        <v>1759</v>
      </c>
      <c r="I1646" s="2" t="s">
        <v>2727</v>
      </c>
      <c r="J1646" s="2" t="s">
        <v>2364</v>
      </c>
      <c r="K1646" s="2" t="s">
        <v>2742</v>
      </c>
      <c r="L1646" s="2" t="s">
        <v>45</v>
      </c>
    </row>
    <row r="1647" spans="1:12" ht="29">
      <c r="A1647" s="2" t="s">
        <v>1550</v>
      </c>
      <c r="B1647" s="2" t="s">
        <v>1272</v>
      </c>
      <c r="C1647" s="2" t="s">
        <v>1546</v>
      </c>
      <c r="D1647" s="2" t="s">
        <v>65</v>
      </c>
      <c r="E1647" s="7"/>
      <c r="F1647" s="7" t="s">
        <v>1763</v>
      </c>
      <c r="G1647" s="2" t="s">
        <v>180</v>
      </c>
      <c r="H1647" s="2" t="s">
        <v>1773</v>
      </c>
      <c r="I1647" s="2"/>
      <c r="J1647" s="2"/>
      <c r="K1647" s="2" t="s">
        <v>2742</v>
      </c>
      <c r="L1647" s="2" t="s">
        <v>45</v>
      </c>
    </row>
    <row r="1648" spans="1:12" ht="29">
      <c r="A1648" s="2" t="s">
        <v>1550</v>
      </c>
      <c r="B1648" s="2" t="s">
        <v>1272</v>
      </c>
      <c r="C1648" s="2" t="s">
        <v>1546</v>
      </c>
      <c r="D1648" s="2" t="s">
        <v>222</v>
      </c>
      <c r="E1648" s="5">
        <v>0.15</v>
      </c>
      <c r="F1648" s="7" t="s">
        <v>1764</v>
      </c>
      <c r="G1648" s="2" t="s">
        <v>180</v>
      </c>
      <c r="H1648" s="2" t="s">
        <v>1759</v>
      </c>
      <c r="I1648" s="2" t="s">
        <v>2727</v>
      </c>
      <c r="J1648" s="2" t="s">
        <v>2364</v>
      </c>
      <c r="K1648" s="2" t="s">
        <v>2742</v>
      </c>
      <c r="L1648" s="2" t="s">
        <v>45</v>
      </c>
    </row>
    <row r="1649" spans="1:12" ht="14.5">
      <c r="A1649" s="2" t="s">
        <v>1550</v>
      </c>
      <c r="B1649" s="2" t="s">
        <v>1272</v>
      </c>
      <c r="C1649" s="2" t="s">
        <v>1546</v>
      </c>
      <c r="D1649" s="2" t="s">
        <v>1765</v>
      </c>
      <c r="E1649" s="5" t="s">
        <v>1547</v>
      </c>
      <c r="F1649" s="7" t="s">
        <v>1766</v>
      </c>
      <c r="G1649" s="2" t="s">
        <v>180</v>
      </c>
      <c r="H1649" s="2" t="s">
        <v>1759</v>
      </c>
      <c r="I1649" s="2" t="s">
        <v>1767</v>
      </c>
      <c r="J1649" s="2"/>
      <c r="K1649" t="s">
        <v>2743</v>
      </c>
    </row>
    <row r="1650" spans="1:12" ht="14.5">
      <c r="A1650" s="2" t="s">
        <v>1556</v>
      </c>
      <c r="B1650" s="2" t="s">
        <v>1272</v>
      </c>
      <c r="C1650" s="2" t="s">
        <v>1552</v>
      </c>
      <c r="D1650" s="2" t="s">
        <v>1757</v>
      </c>
      <c r="E1650" s="5">
        <v>0.45</v>
      </c>
      <c r="F1650" s="7" t="s">
        <v>1758</v>
      </c>
      <c r="G1650" s="2" t="s">
        <v>71</v>
      </c>
      <c r="H1650" s="2" t="s">
        <v>1759</v>
      </c>
      <c r="I1650" s="2" t="s">
        <v>2744</v>
      </c>
      <c r="J1650" s="2" t="s">
        <v>2745</v>
      </c>
      <c r="K1650" s="2" t="s">
        <v>2746</v>
      </c>
      <c r="L1650" s="2" t="s">
        <v>35</v>
      </c>
    </row>
    <row r="1651" spans="1:12" ht="14.5">
      <c r="A1651" s="2" t="s">
        <v>1556</v>
      </c>
      <c r="B1651" s="2" t="s">
        <v>1272</v>
      </c>
      <c r="C1651" s="2" t="s">
        <v>1552</v>
      </c>
      <c r="D1651" s="2" t="s">
        <v>254</v>
      </c>
      <c r="E1651" s="7"/>
      <c r="F1651" s="7" t="s">
        <v>1758</v>
      </c>
      <c r="G1651" s="2" t="s">
        <v>71</v>
      </c>
      <c r="H1651" s="2" t="s">
        <v>1773</v>
      </c>
      <c r="I1651" s="2"/>
      <c r="J1651" s="2"/>
      <c r="K1651" s="2" t="s">
        <v>2746</v>
      </c>
      <c r="L1651" s="2" t="s">
        <v>35</v>
      </c>
    </row>
    <row r="1652" spans="1:12" ht="14.5">
      <c r="A1652" s="2" t="s">
        <v>1556</v>
      </c>
      <c r="B1652" s="2" t="s">
        <v>1272</v>
      </c>
      <c r="C1652" s="2" t="s">
        <v>1552</v>
      </c>
      <c r="D1652" s="2" t="s">
        <v>124</v>
      </c>
      <c r="E1652" s="7"/>
      <c r="F1652" s="7" t="s">
        <v>1763</v>
      </c>
      <c r="G1652" s="2" t="s">
        <v>71</v>
      </c>
      <c r="H1652" s="2" t="s">
        <v>1773</v>
      </c>
      <c r="I1652" s="2"/>
      <c r="J1652" s="2"/>
      <c r="K1652" s="2" t="s">
        <v>2746</v>
      </c>
      <c r="L1652" s="2" t="s">
        <v>35</v>
      </c>
    </row>
    <row r="1653" spans="1:12" ht="14.5">
      <c r="A1653" s="2" t="s">
        <v>1556</v>
      </c>
      <c r="B1653" s="2" t="s">
        <v>1272</v>
      </c>
      <c r="C1653" s="2" t="s">
        <v>1552</v>
      </c>
      <c r="D1653" s="2" t="s">
        <v>65</v>
      </c>
      <c r="E1653" s="7"/>
      <c r="F1653" s="7" t="s">
        <v>1763</v>
      </c>
      <c r="G1653" s="2" t="s">
        <v>71</v>
      </c>
      <c r="H1653" s="2" t="s">
        <v>1773</v>
      </c>
      <c r="I1653" s="2"/>
      <c r="J1653" s="2"/>
      <c r="K1653" s="2" t="s">
        <v>2746</v>
      </c>
      <c r="L1653" s="2" t="s">
        <v>35</v>
      </c>
    </row>
    <row r="1654" spans="1:12" ht="14.5">
      <c r="A1654" s="2" t="s">
        <v>1556</v>
      </c>
      <c r="B1654" s="2" t="s">
        <v>1272</v>
      </c>
      <c r="C1654" s="2" t="s">
        <v>1552</v>
      </c>
      <c r="D1654" s="2" t="s">
        <v>222</v>
      </c>
      <c r="E1654" s="7" t="s">
        <v>1553</v>
      </c>
      <c r="F1654" s="7" t="s">
        <v>1764</v>
      </c>
      <c r="G1654" s="2" t="s">
        <v>71</v>
      </c>
      <c r="H1654" s="2" t="s">
        <v>1759</v>
      </c>
      <c r="I1654" s="2" t="s">
        <v>2744</v>
      </c>
      <c r="J1654" s="2" t="s">
        <v>2745</v>
      </c>
      <c r="K1654" s="2" t="s">
        <v>2746</v>
      </c>
      <c r="L1654" s="2" t="s">
        <v>35</v>
      </c>
    </row>
    <row r="1655" spans="1:12" ht="14.5">
      <c r="A1655" s="2" t="s">
        <v>1556</v>
      </c>
      <c r="B1655" s="2" t="s">
        <v>1272</v>
      </c>
      <c r="C1655" s="2" t="s">
        <v>1552</v>
      </c>
      <c r="D1655" s="2" t="s">
        <v>1765</v>
      </c>
      <c r="E1655" s="7" t="s">
        <v>1554</v>
      </c>
      <c r="F1655" s="7" t="s">
        <v>1766</v>
      </c>
      <c r="G1655" s="2" t="s">
        <v>71</v>
      </c>
      <c r="H1655" s="2" t="s">
        <v>1759</v>
      </c>
      <c r="I1655" s="2" t="s">
        <v>1767</v>
      </c>
      <c r="J1655" s="2"/>
      <c r="K1655" t="s">
        <v>1795</v>
      </c>
    </row>
    <row r="1656" spans="1:12" ht="29">
      <c r="A1656" s="2" t="s">
        <v>1560</v>
      </c>
      <c r="B1656" s="2" t="s">
        <v>1272</v>
      </c>
      <c r="C1656" s="2" t="s">
        <v>1558</v>
      </c>
      <c r="D1656" s="2" t="s">
        <v>1757</v>
      </c>
      <c r="E1656" s="5">
        <v>0.93</v>
      </c>
      <c r="F1656" s="7" t="s">
        <v>1758</v>
      </c>
      <c r="G1656" s="2" t="s">
        <v>316</v>
      </c>
      <c r="H1656" s="2" t="s">
        <v>1759</v>
      </c>
      <c r="I1656" s="2" t="s">
        <v>2747</v>
      </c>
      <c r="J1656" s="2" t="s">
        <v>2748</v>
      </c>
      <c r="K1656" s="2" t="s">
        <v>2749</v>
      </c>
      <c r="L1656" s="2" t="s">
        <v>35</v>
      </c>
    </row>
    <row r="1657" spans="1:12" ht="29">
      <c r="A1657" s="2" t="s">
        <v>1560</v>
      </c>
      <c r="B1657" s="2" t="s">
        <v>1272</v>
      </c>
      <c r="C1657" s="2" t="s">
        <v>1558</v>
      </c>
      <c r="D1657" s="2" t="s">
        <v>254</v>
      </c>
      <c r="E1657" s="5">
        <v>0.25</v>
      </c>
      <c r="F1657" s="7" t="s">
        <v>1758</v>
      </c>
      <c r="G1657" s="2" t="s">
        <v>316</v>
      </c>
      <c r="H1657" s="2" t="s">
        <v>1759</v>
      </c>
      <c r="I1657" s="2" t="s">
        <v>2747</v>
      </c>
      <c r="J1657" s="2" t="s">
        <v>2748</v>
      </c>
      <c r="K1657" s="2" t="s">
        <v>2749</v>
      </c>
      <c r="L1657" s="2" t="s">
        <v>35</v>
      </c>
    </row>
    <row r="1658" spans="1:12" ht="14.5">
      <c r="A1658" s="2" t="s">
        <v>1560</v>
      </c>
      <c r="B1658" s="2" t="s">
        <v>1272</v>
      </c>
      <c r="C1658" s="2" t="s">
        <v>1558</v>
      </c>
      <c r="D1658" s="2" t="s">
        <v>124</v>
      </c>
      <c r="E1658" s="7"/>
      <c r="F1658" s="7" t="s">
        <v>1763</v>
      </c>
      <c r="G1658" s="2" t="s">
        <v>316</v>
      </c>
      <c r="H1658" s="2" t="s">
        <v>1773</v>
      </c>
      <c r="I1658" s="2"/>
      <c r="J1658" s="2"/>
      <c r="K1658" s="2" t="s">
        <v>2749</v>
      </c>
      <c r="L1658" s="2" t="s">
        <v>35</v>
      </c>
    </row>
    <row r="1659" spans="1:12" ht="14.5">
      <c r="A1659" s="2" t="s">
        <v>1560</v>
      </c>
      <c r="B1659" s="2" t="s">
        <v>1272</v>
      </c>
      <c r="C1659" s="2" t="s">
        <v>1558</v>
      </c>
      <c r="D1659" s="2" t="s">
        <v>65</v>
      </c>
      <c r="E1659" s="7"/>
      <c r="F1659" s="7" t="s">
        <v>1763</v>
      </c>
      <c r="G1659" s="2" t="s">
        <v>316</v>
      </c>
      <c r="H1659" s="2" t="s">
        <v>1773</v>
      </c>
      <c r="I1659" s="2"/>
      <c r="J1659" s="2"/>
      <c r="K1659" s="2" t="s">
        <v>2749</v>
      </c>
      <c r="L1659" s="2" t="s">
        <v>35</v>
      </c>
    </row>
    <row r="1660" spans="1:12" ht="29">
      <c r="A1660" s="2" t="s">
        <v>1560</v>
      </c>
      <c r="B1660" s="2" t="s">
        <v>1272</v>
      </c>
      <c r="C1660" s="2" t="s">
        <v>1558</v>
      </c>
      <c r="D1660" s="2" t="s">
        <v>222</v>
      </c>
      <c r="E1660" s="5">
        <v>7.0000000000000007E-2</v>
      </c>
      <c r="F1660" s="7" t="s">
        <v>1764</v>
      </c>
      <c r="G1660" s="2" t="s">
        <v>316</v>
      </c>
      <c r="H1660" s="2" t="s">
        <v>1759</v>
      </c>
      <c r="I1660" s="2" t="s">
        <v>2747</v>
      </c>
      <c r="J1660" s="2" t="s">
        <v>2748</v>
      </c>
      <c r="K1660" s="2" t="s">
        <v>2749</v>
      </c>
      <c r="L1660" s="2" t="s">
        <v>35</v>
      </c>
    </row>
    <row r="1661" spans="1:12" ht="14.5">
      <c r="A1661" s="2" t="s">
        <v>1560</v>
      </c>
      <c r="B1661" s="2" t="s">
        <v>1272</v>
      </c>
      <c r="C1661" s="2" t="s">
        <v>1558</v>
      </c>
      <c r="D1661" s="2" t="s">
        <v>1765</v>
      </c>
      <c r="E1661" s="5" t="s">
        <v>117</v>
      </c>
      <c r="F1661" s="7" t="s">
        <v>1766</v>
      </c>
      <c r="G1661" s="2" t="s">
        <v>316</v>
      </c>
      <c r="H1661" s="2" t="s">
        <v>1759</v>
      </c>
      <c r="I1661" s="2" t="s">
        <v>1767</v>
      </c>
      <c r="J1661" s="2"/>
      <c r="K1661" t="s">
        <v>1817</v>
      </c>
    </row>
    <row r="1662" spans="1:12" ht="29">
      <c r="A1662" s="2" t="s">
        <v>1565</v>
      </c>
      <c r="B1662" s="2" t="s">
        <v>1272</v>
      </c>
      <c r="C1662" s="2" t="s">
        <v>1561</v>
      </c>
      <c r="D1662" s="2" t="s">
        <v>1757</v>
      </c>
      <c r="E1662" s="8">
        <v>0.53300000000000003</v>
      </c>
      <c r="F1662" s="7" t="s">
        <v>1758</v>
      </c>
      <c r="G1662" s="2" t="s">
        <v>1562</v>
      </c>
      <c r="H1662" s="2" t="s">
        <v>1759</v>
      </c>
      <c r="I1662" s="2" t="s">
        <v>2750</v>
      </c>
      <c r="J1662" s="2" t="s">
        <v>2751</v>
      </c>
      <c r="K1662" s="2" t="s">
        <v>2752</v>
      </c>
      <c r="L1662" s="2" t="s">
        <v>35</v>
      </c>
    </row>
    <row r="1663" spans="1:12" ht="29">
      <c r="A1663" s="2" t="s">
        <v>1565</v>
      </c>
      <c r="B1663" s="2" t="s">
        <v>1272</v>
      </c>
      <c r="C1663" s="2" t="s">
        <v>1561</v>
      </c>
      <c r="D1663" s="2" t="s">
        <v>254</v>
      </c>
      <c r="E1663" s="5">
        <v>0.15</v>
      </c>
      <c r="F1663" s="7" t="s">
        <v>1758</v>
      </c>
      <c r="G1663" s="2" t="s">
        <v>1562</v>
      </c>
      <c r="H1663" s="2" t="s">
        <v>1759</v>
      </c>
      <c r="I1663" s="2" t="s">
        <v>2750</v>
      </c>
      <c r="J1663" s="2" t="s">
        <v>2751</v>
      </c>
      <c r="K1663" s="2" t="s">
        <v>2752</v>
      </c>
      <c r="L1663" s="2" t="s">
        <v>35</v>
      </c>
    </row>
    <row r="1664" spans="1:12" ht="43.5">
      <c r="A1664" s="2" t="s">
        <v>1565</v>
      </c>
      <c r="B1664" s="2" t="s">
        <v>1272</v>
      </c>
      <c r="C1664" s="2" t="s">
        <v>1561</v>
      </c>
      <c r="D1664" s="2" t="s">
        <v>124</v>
      </c>
      <c r="E1664" s="11">
        <v>1</v>
      </c>
      <c r="F1664" s="20" t="s">
        <v>1763</v>
      </c>
      <c r="G1664" s="21" t="s">
        <v>1562</v>
      </c>
      <c r="H1664" s="21" t="s">
        <v>1779</v>
      </c>
      <c r="I1664" s="2" t="s">
        <v>2753</v>
      </c>
      <c r="J1664" s="2" t="s">
        <v>2751</v>
      </c>
      <c r="K1664" s="2" t="s">
        <v>2754</v>
      </c>
      <c r="L1664" s="2" t="s">
        <v>35</v>
      </c>
    </row>
    <row r="1665" spans="1:12" ht="43.5">
      <c r="A1665" s="2" t="s">
        <v>1565</v>
      </c>
      <c r="B1665" s="2" t="s">
        <v>1272</v>
      </c>
      <c r="C1665" s="2" t="s">
        <v>1561</v>
      </c>
      <c r="D1665" s="2" t="s">
        <v>65</v>
      </c>
      <c r="E1665" s="11">
        <v>0</v>
      </c>
      <c r="F1665" s="20" t="s">
        <v>1763</v>
      </c>
      <c r="G1665" s="21" t="s">
        <v>1562</v>
      </c>
      <c r="H1665" s="21" t="s">
        <v>1779</v>
      </c>
      <c r="I1665" s="2" t="s">
        <v>2753</v>
      </c>
      <c r="J1665" s="2" t="s">
        <v>2751</v>
      </c>
      <c r="K1665" s="2" t="s">
        <v>2755</v>
      </c>
      <c r="L1665" s="2" t="s">
        <v>35</v>
      </c>
    </row>
    <row r="1666" spans="1:12" ht="29">
      <c r="A1666" s="2" t="s">
        <v>1565</v>
      </c>
      <c r="B1666" s="2" t="s">
        <v>1272</v>
      </c>
      <c r="C1666" s="2" t="s">
        <v>1561</v>
      </c>
      <c r="D1666" s="2" t="s">
        <v>222</v>
      </c>
      <c r="E1666" s="5">
        <v>0.06</v>
      </c>
      <c r="F1666" s="7" t="s">
        <v>1764</v>
      </c>
      <c r="G1666" s="2" t="s">
        <v>1562</v>
      </c>
      <c r="H1666" s="2" t="s">
        <v>1759</v>
      </c>
      <c r="I1666" s="2" t="s">
        <v>2750</v>
      </c>
      <c r="J1666" s="2" t="s">
        <v>2751</v>
      </c>
      <c r="K1666" s="2" t="s">
        <v>2752</v>
      </c>
      <c r="L1666" s="2" t="s">
        <v>35</v>
      </c>
    </row>
    <row r="1667" spans="1:12" ht="14.5">
      <c r="A1667" s="2" t="s">
        <v>1565</v>
      </c>
      <c r="B1667" s="2" t="s">
        <v>1272</v>
      </c>
      <c r="C1667" s="2" t="s">
        <v>1561</v>
      </c>
      <c r="D1667" s="2" t="s">
        <v>1765</v>
      </c>
      <c r="E1667" s="5" t="s">
        <v>219</v>
      </c>
      <c r="F1667" s="7" t="s">
        <v>1766</v>
      </c>
      <c r="G1667" s="2" t="s">
        <v>1562</v>
      </c>
      <c r="H1667" s="2" t="s">
        <v>1759</v>
      </c>
      <c r="I1667" s="2" t="s">
        <v>1767</v>
      </c>
      <c r="J1667" s="2"/>
      <c r="K1667" t="s">
        <v>1817</v>
      </c>
    </row>
    <row r="1668" spans="1:12" ht="14.5">
      <c r="A1668" s="2" t="s">
        <v>1570</v>
      </c>
      <c r="B1668" s="2" t="s">
        <v>1272</v>
      </c>
      <c r="C1668" s="2" t="s">
        <v>1569</v>
      </c>
      <c r="D1668" s="2" t="s">
        <v>1757</v>
      </c>
      <c r="E1668" s="4">
        <v>1.3</v>
      </c>
      <c r="F1668" s="7" t="s">
        <v>1758</v>
      </c>
      <c r="G1668" s="2" t="s">
        <v>29</v>
      </c>
      <c r="H1668" s="2" t="s">
        <v>1759</v>
      </c>
      <c r="I1668" s="2" t="s">
        <v>2756</v>
      </c>
      <c r="J1668" s="2" t="s">
        <v>2280</v>
      </c>
      <c r="K1668" s="2" t="s">
        <v>2757</v>
      </c>
      <c r="L1668" s="2" t="s">
        <v>45</v>
      </c>
    </row>
    <row r="1669" spans="1:12" ht="14.5">
      <c r="A1669" s="2" t="s">
        <v>1570</v>
      </c>
      <c r="B1669" s="2" t="s">
        <v>1272</v>
      </c>
      <c r="C1669" s="2" t="s">
        <v>1569</v>
      </c>
      <c r="D1669" s="2" t="s">
        <v>254</v>
      </c>
      <c r="E1669" s="5">
        <v>0.45</v>
      </c>
      <c r="F1669" s="7" t="s">
        <v>1758</v>
      </c>
      <c r="G1669" s="2" t="s">
        <v>29</v>
      </c>
      <c r="H1669" s="2" t="s">
        <v>1759</v>
      </c>
      <c r="I1669" s="2" t="s">
        <v>2756</v>
      </c>
      <c r="J1669" s="2" t="s">
        <v>2280</v>
      </c>
      <c r="K1669" s="2" t="s">
        <v>2757</v>
      </c>
      <c r="L1669" s="2" t="s">
        <v>45</v>
      </c>
    </row>
    <row r="1670" spans="1:12" ht="14.5">
      <c r="A1670" s="2" t="s">
        <v>1570</v>
      </c>
      <c r="B1670" s="2" t="s">
        <v>1272</v>
      </c>
      <c r="C1670" s="2" t="s">
        <v>1569</v>
      </c>
      <c r="D1670" s="2" t="s">
        <v>124</v>
      </c>
      <c r="E1670" s="7"/>
      <c r="F1670" s="7" t="s">
        <v>1763</v>
      </c>
      <c r="G1670" s="2" t="s">
        <v>29</v>
      </c>
      <c r="H1670" s="2" t="s">
        <v>1773</v>
      </c>
      <c r="I1670" s="2"/>
      <c r="J1670" s="2"/>
      <c r="K1670" s="2" t="s">
        <v>2757</v>
      </c>
      <c r="L1670" s="2" t="s">
        <v>45</v>
      </c>
    </row>
    <row r="1671" spans="1:12" ht="14.5">
      <c r="A1671" s="2" t="s">
        <v>1570</v>
      </c>
      <c r="B1671" s="2" t="s">
        <v>1272</v>
      </c>
      <c r="C1671" s="2" t="s">
        <v>1569</v>
      </c>
      <c r="D1671" s="2" t="s">
        <v>65</v>
      </c>
      <c r="E1671" s="7"/>
      <c r="F1671" s="7" t="s">
        <v>1763</v>
      </c>
      <c r="G1671" s="2" t="s">
        <v>29</v>
      </c>
      <c r="H1671" s="2" t="s">
        <v>1773</v>
      </c>
      <c r="I1671" s="2"/>
      <c r="J1671" s="2"/>
      <c r="K1671" s="2" t="s">
        <v>2757</v>
      </c>
      <c r="L1671" s="2" t="s">
        <v>45</v>
      </c>
    </row>
    <row r="1672" spans="1:12" ht="14.5">
      <c r="A1672" s="2" t="s">
        <v>1570</v>
      </c>
      <c r="B1672" s="2" t="s">
        <v>1272</v>
      </c>
      <c r="C1672" s="2" t="s">
        <v>1569</v>
      </c>
      <c r="D1672" s="2" t="s">
        <v>222</v>
      </c>
      <c r="E1672" s="4">
        <v>1.4</v>
      </c>
      <c r="F1672" s="7" t="s">
        <v>1764</v>
      </c>
      <c r="G1672" s="2" t="s">
        <v>29</v>
      </c>
      <c r="H1672" s="2" t="s">
        <v>1759</v>
      </c>
      <c r="I1672" s="2" t="s">
        <v>2756</v>
      </c>
      <c r="J1672" s="2" t="s">
        <v>2280</v>
      </c>
      <c r="K1672" s="2" t="s">
        <v>2757</v>
      </c>
      <c r="L1672" s="2" t="s">
        <v>45</v>
      </c>
    </row>
    <row r="1673" spans="1:12" ht="14.5">
      <c r="A1673" s="2" t="s">
        <v>1570</v>
      </c>
      <c r="B1673" s="2" t="s">
        <v>1272</v>
      </c>
      <c r="C1673" s="2" t="s">
        <v>1569</v>
      </c>
      <c r="D1673" s="2" t="s">
        <v>1765</v>
      </c>
      <c r="E1673" s="4" t="s">
        <v>426</v>
      </c>
      <c r="F1673" s="7" t="s">
        <v>1766</v>
      </c>
      <c r="G1673" s="2" t="s">
        <v>29</v>
      </c>
      <c r="H1673" s="2" t="s">
        <v>1759</v>
      </c>
      <c r="I1673" s="2" t="s">
        <v>1767</v>
      </c>
      <c r="J1673" s="2"/>
      <c r="K1673" t="s">
        <v>2758</v>
      </c>
    </row>
    <row r="1674" spans="1:12" ht="29">
      <c r="A1674" s="2" t="s">
        <v>1574</v>
      </c>
      <c r="B1674" s="2" t="s">
        <v>1272</v>
      </c>
      <c r="C1674" s="2" t="s">
        <v>1571</v>
      </c>
      <c r="D1674" s="2" t="s">
        <v>1757</v>
      </c>
      <c r="E1674" s="5">
        <v>0.57999999999999996</v>
      </c>
      <c r="F1674" s="7" t="s">
        <v>1758</v>
      </c>
      <c r="G1674" s="2" t="s">
        <v>1572</v>
      </c>
      <c r="H1674" s="2" t="s">
        <v>1759</v>
      </c>
      <c r="I1674" s="2" t="s">
        <v>2759</v>
      </c>
      <c r="J1674" s="2" t="s">
        <v>2760</v>
      </c>
      <c r="K1674" s="2" t="s">
        <v>2761</v>
      </c>
      <c r="L1674" s="2" t="s">
        <v>35</v>
      </c>
    </row>
    <row r="1675" spans="1:12" ht="29">
      <c r="A1675" s="2" t="s">
        <v>1574</v>
      </c>
      <c r="B1675" s="2" t="s">
        <v>1272</v>
      </c>
      <c r="C1675" s="2" t="s">
        <v>1571</v>
      </c>
      <c r="D1675" s="2" t="s">
        <v>254</v>
      </c>
      <c r="E1675" s="7"/>
      <c r="F1675" s="7" t="s">
        <v>1758</v>
      </c>
      <c r="G1675" s="2" t="s">
        <v>1572</v>
      </c>
      <c r="H1675" s="2" t="s">
        <v>1773</v>
      </c>
      <c r="I1675" s="2"/>
      <c r="J1675" s="2"/>
      <c r="K1675" s="2" t="s">
        <v>2761</v>
      </c>
      <c r="L1675" s="2" t="s">
        <v>35</v>
      </c>
    </row>
    <row r="1676" spans="1:12" ht="29">
      <c r="A1676" s="2" t="s">
        <v>1574</v>
      </c>
      <c r="B1676" s="2" t="s">
        <v>1272</v>
      </c>
      <c r="C1676" s="2" t="s">
        <v>1571</v>
      </c>
      <c r="D1676" s="2" t="s">
        <v>124</v>
      </c>
      <c r="E1676" s="7"/>
      <c r="F1676" s="7" t="s">
        <v>1763</v>
      </c>
      <c r="G1676" s="2" t="s">
        <v>1572</v>
      </c>
      <c r="H1676" s="2" t="s">
        <v>1773</v>
      </c>
      <c r="I1676" s="2"/>
      <c r="J1676" s="2"/>
      <c r="K1676" s="2" t="s">
        <v>2761</v>
      </c>
      <c r="L1676" s="2" t="s">
        <v>35</v>
      </c>
    </row>
    <row r="1677" spans="1:12" ht="29">
      <c r="A1677" s="2" t="s">
        <v>1574</v>
      </c>
      <c r="B1677" s="2" t="s">
        <v>1272</v>
      </c>
      <c r="C1677" s="2" t="s">
        <v>1571</v>
      </c>
      <c r="D1677" s="2" t="s">
        <v>65</v>
      </c>
      <c r="E1677" s="7"/>
      <c r="F1677" s="7" t="s">
        <v>1763</v>
      </c>
      <c r="G1677" s="2" t="s">
        <v>1572</v>
      </c>
      <c r="H1677" s="2" t="s">
        <v>1773</v>
      </c>
      <c r="I1677" s="2"/>
      <c r="J1677" s="2"/>
      <c r="K1677" s="2" t="s">
        <v>2761</v>
      </c>
      <c r="L1677" s="2" t="s">
        <v>35</v>
      </c>
    </row>
    <row r="1678" spans="1:12" ht="29">
      <c r="A1678" s="2" t="s">
        <v>1574</v>
      </c>
      <c r="B1678" s="2" t="s">
        <v>1272</v>
      </c>
      <c r="C1678" s="2" t="s">
        <v>1571</v>
      </c>
      <c r="D1678" s="2" t="s">
        <v>222</v>
      </c>
      <c r="E1678" s="7"/>
      <c r="F1678" s="7" t="s">
        <v>1764</v>
      </c>
      <c r="G1678" s="2" t="s">
        <v>1572</v>
      </c>
      <c r="H1678" s="2" t="s">
        <v>1773</v>
      </c>
      <c r="I1678" s="2"/>
      <c r="J1678" s="2"/>
      <c r="K1678" s="2" t="s">
        <v>2761</v>
      </c>
      <c r="L1678" s="2" t="s">
        <v>35</v>
      </c>
    </row>
    <row r="1679" spans="1:12" ht="14.5">
      <c r="A1679" s="2" t="s">
        <v>1574</v>
      </c>
      <c r="B1679" s="2" t="s">
        <v>1272</v>
      </c>
      <c r="C1679" s="2" t="s">
        <v>1571</v>
      </c>
      <c r="D1679" s="2" t="s">
        <v>1765</v>
      </c>
      <c r="E1679" s="7"/>
      <c r="F1679" s="7" t="s">
        <v>1766</v>
      </c>
      <c r="G1679" s="2" t="s">
        <v>1572</v>
      </c>
      <c r="H1679" s="2" t="s">
        <v>1803</v>
      </c>
      <c r="I1679" s="2"/>
      <c r="J1679" s="2"/>
      <c r="K1679" t="s">
        <v>1804</v>
      </c>
    </row>
    <row r="1680" spans="1:12" ht="29">
      <c r="A1680" s="2" t="s">
        <v>1580</v>
      </c>
      <c r="B1680" s="2" t="s">
        <v>1272</v>
      </c>
      <c r="C1680" s="2" t="s">
        <v>1576</v>
      </c>
      <c r="D1680" s="2" t="s">
        <v>1757</v>
      </c>
      <c r="E1680" s="5">
        <v>1.85</v>
      </c>
      <c r="F1680" s="7" t="s">
        <v>1758</v>
      </c>
      <c r="G1680" s="2" t="s">
        <v>29</v>
      </c>
      <c r="H1680" s="2" t="s">
        <v>1759</v>
      </c>
      <c r="I1680" s="2" t="s">
        <v>2640</v>
      </c>
      <c r="J1680" s="2" t="s">
        <v>2641</v>
      </c>
      <c r="K1680" s="2" t="s">
        <v>2762</v>
      </c>
      <c r="L1680" s="2" t="s">
        <v>45</v>
      </c>
    </row>
    <row r="1681" spans="1:12" ht="29">
      <c r="A1681" s="2" t="s">
        <v>1580</v>
      </c>
      <c r="B1681" s="2" t="s">
        <v>1272</v>
      </c>
      <c r="C1681" s="2" t="s">
        <v>1576</v>
      </c>
      <c r="D1681" s="2" t="s">
        <v>254</v>
      </c>
      <c r="E1681" s="5">
        <v>0.56999999999999995</v>
      </c>
      <c r="F1681" s="7" t="s">
        <v>1758</v>
      </c>
      <c r="G1681" s="2" t="s">
        <v>29</v>
      </c>
      <c r="H1681" s="2" t="s">
        <v>1759</v>
      </c>
      <c r="I1681" s="2" t="s">
        <v>2640</v>
      </c>
      <c r="J1681" s="2" t="s">
        <v>2641</v>
      </c>
      <c r="K1681" s="2" t="s">
        <v>2762</v>
      </c>
      <c r="L1681" s="2" t="s">
        <v>45</v>
      </c>
    </row>
    <row r="1682" spans="1:12" ht="29">
      <c r="A1682" s="2" t="s">
        <v>1580</v>
      </c>
      <c r="B1682" s="2" t="s">
        <v>1272</v>
      </c>
      <c r="C1682" s="2" t="s">
        <v>1576</v>
      </c>
      <c r="D1682" s="2" t="s">
        <v>124</v>
      </c>
      <c r="E1682" s="5">
        <v>1.97</v>
      </c>
      <c r="F1682" s="7" t="s">
        <v>1763</v>
      </c>
      <c r="G1682" s="2" t="s">
        <v>29</v>
      </c>
      <c r="H1682" s="2" t="s">
        <v>1759</v>
      </c>
      <c r="I1682" s="2" t="s">
        <v>2640</v>
      </c>
      <c r="J1682" s="2" t="s">
        <v>2641</v>
      </c>
      <c r="K1682" s="2" t="s">
        <v>2762</v>
      </c>
      <c r="L1682" s="2" t="s">
        <v>45</v>
      </c>
    </row>
    <row r="1683" spans="1:12" ht="29">
      <c r="A1683" s="2" t="s">
        <v>1580</v>
      </c>
      <c r="B1683" s="2" t="s">
        <v>1272</v>
      </c>
      <c r="C1683" s="2" t="s">
        <v>1576</v>
      </c>
      <c r="D1683" s="2" t="s">
        <v>65</v>
      </c>
      <c r="E1683" s="5">
        <v>0.54</v>
      </c>
      <c r="F1683" s="7" t="s">
        <v>1763</v>
      </c>
      <c r="G1683" s="2" t="s">
        <v>29</v>
      </c>
      <c r="H1683" s="2" t="s">
        <v>1759</v>
      </c>
      <c r="I1683" s="2" t="s">
        <v>2640</v>
      </c>
      <c r="J1683" s="2" t="s">
        <v>2641</v>
      </c>
      <c r="K1683" s="2" t="s">
        <v>2762</v>
      </c>
      <c r="L1683" s="2" t="s">
        <v>45</v>
      </c>
    </row>
    <row r="1684" spans="1:12" ht="29">
      <c r="A1684" s="2" t="s">
        <v>1580</v>
      </c>
      <c r="B1684" s="2" t="s">
        <v>1272</v>
      </c>
      <c r="C1684" s="2" t="s">
        <v>1576</v>
      </c>
      <c r="D1684" s="2" t="s">
        <v>222</v>
      </c>
      <c r="E1684" s="4">
        <v>8.6999999999999993</v>
      </c>
      <c r="F1684" s="7" t="s">
        <v>1764</v>
      </c>
      <c r="G1684" s="2" t="s">
        <v>29</v>
      </c>
      <c r="H1684" s="2" t="s">
        <v>1759</v>
      </c>
      <c r="I1684" s="2" t="s">
        <v>2640</v>
      </c>
      <c r="J1684" s="2" t="s">
        <v>2641</v>
      </c>
      <c r="K1684" s="2" t="s">
        <v>2762</v>
      </c>
      <c r="L1684" s="2" t="s">
        <v>45</v>
      </c>
    </row>
    <row r="1685" spans="1:12" ht="14.5">
      <c r="A1685" s="2" t="s">
        <v>1580</v>
      </c>
      <c r="B1685" s="2" t="s">
        <v>1272</v>
      </c>
      <c r="C1685" s="2" t="s">
        <v>1576</v>
      </c>
      <c r="D1685" s="2" t="s">
        <v>1765</v>
      </c>
      <c r="E1685" s="4" t="s">
        <v>1577</v>
      </c>
      <c r="F1685" s="7" t="s">
        <v>1766</v>
      </c>
      <c r="G1685" s="2" t="s">
        <v>29</v>
      </c>
      <c r="H1685" s="2" t="s">
        <v>1759</v>
      </c>
      <c r="I1685" s="2" t="s">
        <v>1767</v>
      </c>
      <c r="J1685" s="2"/>
      <c r="K1685" t="s">
        <v>2763</v>
      </c>
    </row>
    <row r="1686" spans="1:12" ht="29">
      <c r="A1686" s="2" t="s">
        <v>1585</v>
      </c>
      <c r="B1686" s="2" t="s">
        <v>1272</v>
      </c>
      <c r="C1686" s="2" t="s">
        <v>1582</v>
      </c>
      <c r="D1686" s="2" t="s">
        <v>1757</v>
      </c>
      <c r="E1686" s="6">
        <v>7</v>
      </c>
      <c r="F1686" s="7" t="s">
        <v>1758</v>
      </c>
      <c r="G1686" s="2" t="s">
        <v>1583</v>
      </c>
      <c r="H1686" s="2" t="s">
        <v>1759</v>
      </c>
      <c r="I1686" s="2" t="s">
        <v>2764</v>
      </c>
      <c r="J1686" s="2" t="s">
        <v>2765</v>
      </c>
      <c r="K1686" s="2" t="s">
        <v>2766</v>
      </c>
      <c r="L1686" s="2" t="s">
        <v>45</v>
      </c>
    </row>
    <row r="1687" spans="1:12" ht="58">
      <c r="A1687" s="2" t="s">
        <v>1585</v>
      </c>
      <c r="B1687" s="2" t="s">
        <v>1272</v>
      </c>
      <c r="C1687" s="2" t="s">
        <v>1582</v>
      </c>
      <c r="D1687" s="2" t="s">
        <v>254</v>
      </c>
      <c r="E1687" s="15">
        <v>1.944444444444444</v>
      </c>
      <c r="F1687" s="20" t="s">
        <v>1758</v>
      </c>
      <c r="G1687" s="21" t="s">
        <v>1583</v>
      </c>
      <c r="H1687" s="21" t="s">
        <v>1779</v>
      </c>
      <c r="I1687" s="2" t="s">
        <v>2767</v>
      </c>
      <c r="J1687" s="2" t="s">
        <v>2765</v>
      </c>
      <c r="K1687" s="2" t="s">
        <v>2768</v>
      </c>
      <c r="L1687" s="2" t="s">
        <v>45</v>
      </c>
    </row>
    <row r="1688" spans="1:12" ht="29">
      <c r="A1688" s="2" t="s">
        <v>1585</v>
      </c>
      <c r="B1688" s="2" t="s">
        <v>1272</v>
      </c>
      <c r="C1688" s="2" t="s">
        <v>1582</v>
      </c>
      <c r="D1688" s="2" t="s">
        <v>124</v>
      </c>
      <c r="E1688" s="4">
        <v>1.6</v>
      </c>
      <c r="F1688" s="7" t="s">
        <v>1763</v>
      </c>
      <c r="G1688" s="2" t="s">
        <v>1583</v>
      </c>
      <c r="H1688" s="2" t="s">
        <v>1759</v>
      </c>
      <c r="I1688" s="2" t="s">
        <v>2764</v>
      </c>
      <c r="J1688" s="2" t="s">
        <v>2765</v>
      </c>
      <c r="K1688" s="2" t="s">
        <v>2766</v>
      </c>
      <c r="L1688" s="2" t="s">
        <v>45</v>
      </c>
    </row>
    <row r="1689" spans="1:12" ht="29">
      <c r="A1689" s="2" t="s">
        <v>1585</v>
      </c>
      <c r="B1689" s="2" t="s">
        <v>1272</v>
      </c>
      <c r="C1689" s="2" t="s">
        <v>1582</v>
      </c>
      <c r="D1689" s="2" t="s">
        <v>65</v>
      </c>
      <c r="E1689" s="4">
        <v>0.5</v>
      </c>
      <c r="F1689" s="7" t="s">
        <v>1763</v>
      </c>
      <c r="G1689" s="2" t="s">
        <v>1583</v>
      </c>
      <c r="H1689" s="2" t="s">
        <v>1759</v>
      </c>
      <c r="I1689" s="2" t="s">
        <v>2764</v>
      </c>
      <c r="J1689" s="2" t="s">
        <v>2765</v>
      </c>
      <c r="K1689" s="2" t="s">
        <v>2766</v>
      </c>
      <c r="L1689" s="2" t="s">
        <v>45</v>
      </c>
    </row>
    <row r="1690" spans="1:12" ht="29">
      <c r="A1690" s="2" t="s">
        <v>1585</v>
      </c>
      <c r="B1690" s="2" t="s">
        <v>1272</v>
      </c>
      <c r="C1690" s="2" t="s">
        <v>1582</v>
      </c>
      <c r="D1690" s="2" t="s">
        <v>222</v>
      </c>
      <c r="E1690" s="4">
        <v>10.1</v>
      </c>
      <c r="F1690" s="7" t="s">
        <v>1764</v>
      </c>
      <c r="G1690" s="2" t="s">
        <v>1583</v>
      </c>
      <c r="H1690" s="2" t="s">
        <v>1759</v>
      </c>
      <c r="I1690" s="2" t="s">
        <v>2764</v>
      </c>
      <c r="J1690" s="2" t="s">
        <v>2765</v>
      </c>
      <c r="K1690" s="2" t="s">
        <v>2766</v>
      </c>
      <c r="L1690" s="2" t="s">
        <v>45</v>
      </c>
    </row>
    <row r="1691" spans="1:12" ht="29">
      <c r="A1691" s="2" t="s">
        <v>1585</v>
      </c>
      <c r="B1691" s="2" t="s">
        <v>1272</v>
      </c>
      <c r="C1691" s="2" t="s">
        <v>1582</v>
      </c>
      <c r="D1691" s="2" t="s">
        <v>1765</v>
      </c>
      <c r="E1691" s="4" t="s">
        <v>226</v>
      </c>
      <c r="F1691" s="7" t="s">
        <v>1766</v>
      </c>
      <c r="G1691" s="2" t="s">
        <v>1583</v>
      </c>
      <c r="H1691" s="2" t="s">
        <v>1759</v>
      </c>
      <c r="I1691" s="2" t="s">
        <v>1767</v>
      </c>
      <c r="J1691" s="2"/>
      <c r="K1691" t="s">
        <v>2769</v>
      </c>
    </row>
    <row r="1692" spans="1:12" ht="29">
      <c r="A1692" s="2" t="s">
        <v>1591</v>
      </c>
      <c r="B1692" s="2" t="s">
        <v>1272</v>
      </c>
      <c r="C1692" s="2" t="s">
        <v>1588</v>
      </c>
      <c r="D1692" s="2" t="s">
        <v>1757</v>
      </c>
      <c r="E1692" s="7"/>
      <c r="F1692" s="7" t="s">
        <v>1758</v>
      </c>
      <c r="G1692" s="2" t="s">
        <v>49</v>
      </c>
      <c r="H1692" s="2" t="s">
        <v>1773</v>
      </c>
      <c r="I1692" s="2"/>
      <c r="J1692" s="2"/>
      <c r="K1692" s="2" t="s">
        <v>2770</v>
      </c>
      <c r="L1692" s="2" t="s">
        <v>190</v>
      </c>
    </row>
    <row r="1693" spans="1:12" ht="29">
      <c r="A1693" s="2" t="s">
        <v>1591</v>
      </c>
      <c r="B1693" s="2" t="s">
        <v>1272</v>
      </c>
      <c r="C1693" s="2" t="s">
        <v>1588</v>
      </c>
      <c r="D1693" s="2" t="s">
        <v>254</v>
      </c>
      <c r="E1693" s="7"/>
      <c r="F1693" s="7" t="s">
        <v>1758</v>
      </c>
      <c r="G1693" s="2" t="s">
        <v>49</v>
      </c>
      <c r="H1693" s="2" t="s">
        <v>1773</v>
      </c>
      <c r="I1693" s="2"/>
      <c r="J1693" s="2"/>
      <c r="K1693" s="2" t="s">
        <v>2770</v>
      </c>
      <c r="L1693" s="2" t="s">
        <v>190</v>
      </c>
    </row>
    <row r="1694" spans="1:12" ht="29">
      <c r="A1694" s="2" t="s">
        <v>1591</v>
      </c>
      <c r="B1694" s="2" t="s">
        <v>1272</v>
      </c>
      <c r="C1694" s="2" t="s">
        <v>1588</v>
      </c>
      <c r="D1694" s="2" t="s">
        <v>124</v>
      </c>
      <c r="E1694" s="7"/>
      <c r="F1694" s="7" t="s">
        <v>1763</v>
      </c>
      <c r="G1694" s="2" t="s">
        <v>49</v>
      </c>
      <c r="H1694" s="2" t="s">
        <v>1773</v>
      </c>
      <c r="I1694" s="2"/>
      <c r="J1694" s="2"/>
      <c r="K1694" s="2" t="s">
        <v>2770</v>
      </c>
      <c r="L1694" s="2" t="s">
        <v>190</v>
      </c>
    </row>
    <row r="1695" spans="1:12" ht="29">
      <c r="A1695" s="2" t="s">
        <v>1591</v>
      </c>
      <c r="B1695" s="2" t="s">
        <v>1272</v>
      </c>
      <c r="C1695" s="2" t="s">
        <v>1588</v>
      </c>
      <c r="D1695" s="2" t="s">
        <v>65</v>
      </c>
      <c r="E1695" s="7"/>
      <c r="F1695" s="7" t="s">
        <v>1763</v>
      </c>
      <c r="G1695" s="2" t="s">
        <v>49</v>
      </c>
      <c r="H1695" s="2" t="s">
        <v>1773</v>
      </c>
      <c r="I1695" s="2"/>
      <c r="J1695" s="2"/>
      <c r="K1695" s="2" t="s">
        <v>2770</v>
      </c>
      <c r="L1695" s="2" t="s">
        <v>190</v>
      </c>
    </row>
    <row r="1696" spans="1:12" ht="29">
      <c r="A1696" s="2" t="s">
        <v>1591</v>
      </c>
      <c r="B1696" s="2" t="s">
        <v>1272</v>
      </c>
      <c r="C1696" s="2" t="s">
        <v>1588</v>
      </c>
      <c r="D1696" s="2" t="s">
        <v>222</v>
      </c>
      <c r="E1696" s="7"/>
      <c r="F1696" s="7" t="s">
        <v>1764</v>
      </c>
      <c r="G1696" s="2" t="s">
        <v>49</v>
      </c>
      <c r="H1696" s="2" t="s">
        <v>1773</v>
      </c>
      <c r="I1696" s="2"/>
      <c r="J1696" s="2"/>
      <c r="K1696" s="2" t="s">
        <v>2770</v>
      </c>
      <c r="L1696" s="2" t="s">
        <v>190</v>
      </c>
    </row>
    <row r="1697" spans="1:12" ht="14.5">
      <c r="A1697" s="2" t="s">
        <v>1591</v>
      </c>
      <c r="B1697" s="2" t="s">
        <v>1272</v>
      </c>
      <c r="C1697" s="2" t="s">
        <v>1588</v>
      </c>
      <c r="D1697" s="2" t="s">
        <v>1765</v>
      </c>
      <c r="E1697" s="7" t="s">
        <v>117</v>
      </c>
      <c r="F1697" s="7" t="s">
        <v>1766</v>
      </c>
      <c r="G1697" s="2" t="s">
        <v>49</v>
      </c>
      <c r="H1697" s="2" t="s">
        <v>1759</v>
      </c>
      <c r="I1697" s="2" t="s">
        <v>1767</v>
      </c>
      <c r="J1697" s="2"/>
      <c r="K1697" t="s">
        <v>2771</v>
      </c>
    </row>
    <row r="1698" spans="1:12" ht="14.5">
      <c r="A1698" s="2" t="s">
        <v>1598</v>
      </c>
      <c r="B1698" s="2" t="s">
        <v>1272</v>
      </c>
      <c r="C1698" s="2" t="s">
        <v>1594</v>
      </c>
      <c r="D1698" s="2" t="s">
        <v>1757</v>
      </c>
      <c r="E1698" s="5">
        <v>1.0900000000000001</v>
      </c>
      <c r="F1698" s="7" t="s">
        <v>1758</v>
      </c>
      <c r="G1698" s="2" t="s">
        <v>29</v>
      </c>
      <c r="H1698" s="2" t="s">
        <v>1759</v>
      </c>
      <c r="I1698" s="2" t="s">
        <v>2637</v>
      </c>
      <c r="J1698" s="2" t="s">
        <v>2280</v>
      </c>
      <c r="K1698" s="2" t="s">
        <v>2772</v>
      </c>
      <c r="L1698" s="2" t="s">
        <v>45</v>
      </c>
    </row>
    <row r="1699" spans="1:12" ht="14.5">
      <c r="A1699" s="2" t="s">
        <v>1598</v>
      </c>
      <c r="B1699" s="2" t="s">
        <v>1272</v>
      </c>
      <c r="C1699" s="2" t="s">
        <v>1594</v>
      </c>
      <c r="D1699" s="2" t="s">
        <v>254</v>
      </c>
      <c r="E1699" s="5">
        <v>0.13</v>
      </c>
      <c r="F1699" s="7" t="s">
        <v>1758</v>
      </c>
      <c r="G1699" s="2" t="s">
        <v>29</v>
      </c>
      <c r="H1699" s="2" t="s">
        <v>1759</v>
      </c>
      <c r="I1699" s="2" t="s">
        <v>2637</v>
      </c>
      <c r="J1699" s="2" t="s">
        <v>2280</v>
      </c>
      <c r="K1699" s="2" t="s">
        <v>2772</v>
      </c>
      <c r="L1699" s="2" t="s">
        <v>45</v>
      </c>
    </row>
    <row r="1700" spans="1:12" ht="14.5">
      <c r="A1700" s="2" t="s">
        <v>1598</v>
      </c>
      <c r="B1700" s="2" t="s">
        <v>1272</v>
      </c>
      <c r="C1700" s="2" t="s">
        <v>1594</v>
      </c>
      <c r="D1700" s="2" t="s">
        <v>124</v>
      </c>
      <c r="E1700" s="7"/>
      <c r="F1700" s="7" t="s">
        <v>1763</v>
      </c>
      <c r="G1700" s="2" t="s">
        <v>29</v>
      </c>
      <c r="H1700" s="2" t="s">
        <v>1773</v>
      </c>
      <c r="I1700" s="2"/>
      <c r="J1700" s="2"/>
      <c r="K1700" s="2" t="s">
        <v>2772</v>
      </c>
      <c r="L1700" s="2" t="s">
        <v>45</v>
      </c>
    </row>
    <row r="1701" spans="1:12" ht="14.5">
      <c r="A1701" s="2" t="s">
        <v>1598</v>
      </c>
      <c r="B1701" s="2" t="s">
        <v>1272</v>
      </c>
      <c r="C1701" s="2" t="s">
        <v>1594</v>
      </c>
      <c r="D1701" s="2" t="s">
        <v>65</v>
      </c>
      <c r="E1701" s="7"/>
      <c r="F1701" s="7" t="s">
        <v>1763</v>
      </c>
      <c r="G1701" s="2" t="s">
        <v>29</v>
      </c>
      <c r="H1701" s="2" t="s">
        <v>1773</v>
      </c>
      <c r="I1701" s="2"/>
      <c r="J1701" s="2"/>
      <c r="K1701" s="2" t="s">
        <v>2772</v>
      </c>
      <c r="L1701" s="2" t="s">
        <v>45</v>
      </c>
    </row>
    <row r="1702" spans="1:12" ht="14.5">
      <c r="A1702" s="2" t="s">
        <v>1598</v>
      </c>
      <c r="B1702" s="2" t="s">
        <v>1272</v>
      </c>
      <c r="C1702" s="2" t="s">
        <v>1594</v>
      </c>
      <c r="D1702" s="2" t="s">
        <v>222</v>
      </c>
      <c r="E1702" s="5">
        <v>0.13</v>
      </c>
      <c r="F1702" s="7" t="s">
        <v>1764</v>
      </c>
      <c r="G1702" s="2" t="s">
        <v>29</v>
      </c>
      <c r="H1702" s="2" t="s">
        <v>1759</v>
      </c>
      <c r="I1702" s="2" t="s">
        <v>2637</v>
      </c>
      <c r="J1702" s="2" t="s">
        <v>2280</v>
      </c>
      <c r="K1702" s="2" t="s">
        <v>2772</v>
      </c>
      <c r="L1702" s="2" t="s">
        <v>45</v>
      </c>
    </row>
    <row r="1703" spans="1:12" ht="14.5">
      <c r="A1703" s="2" t="s">
        <v>1598</v>
      </c>
      <c r="B1703" s="2" t="s">
        <v>1272</v>
      </c>
      <c r="C1703" s="2" t="s">
        <v>1594</v>
      </c>
      <c r="D1703" s="2" t="s">
        <v>1765</v>
      </c>
      <c r="E1703" s="5" t="s">
        <v>1595</v>
      </c>
      <c r="F1703" s="7" t="s">
        <v>1766</v>
      </c>
      <c r="G1703" s="2" t="s">
        <v>29</v>
      </c>
      <c r="H1703" s="2" t="s">
        <v>1759</v>
      </c>
      <c r="I1703" s="2" t="s">
        <v>1767</v>
      </c>
      <c r="J1703" s="2"/>
      <c r="K1703" t="s">
        <v>2773</v>
      </c>
    </row>
    <row r="1704" spans="1:12" ht="14.5">
      <c r="A1704" s="2" t="s">
        <v>1600</v>
      </c>
      <c r="B1704" s="2" t="s">
        <v>1272</v>
      </c>
      <c r="C1704" s="2" t="s">
        <v>1599</v>
      </c>
      <c r="D1704" s="2" t="s">
        <v>1757</v>
      </c>
      <c r="E1704" s="4">
        <v>0.6</v>
      </c>
      <c r="F1704" s="7" t="s">
        <v>1758</v>
      </c>
      <c r="G1704" s="2" t="s">
        <v>29</v>
      </c>
      <c r="H1704" s="2" t="s">
        <v>1759</v>
      </c>
      <c r="I1704" s="2" t="s">
        <v>2637</v>
      </c>
      <c r="J1704" s="2" t="s">
        <v>2280</v>
      </c>
      <c r="K1704" s="2" t="s">
        <v>2774</v>
      </c>
      <c r="L1704" s="2" t="s">
        <v>45</v>
      </c>
    </row>
    <row r="1705" spans="1:12" ht="14.5">
      <c r="A1705" s="2" t="s">
        <v>1600</v>
      </c>
      <c r="B1705" s="2" t="s">
        <v>1272</v>
      </c>
      <c r="C1705" s="2" t="s">
        <v>1599</v>
      </c>
      <c r="D1705" s="2" t="s">
        <v>254</v>
      </c>
      <c r="E1705" s="4">
        <v>0.1</v>
      </c>
      <c r="F1705" s="7" t="s">
        <v>1758</v>
      </c>
      <c r="G1705" s="2" t="s">
        <v>29</v>
      </c>
      <c r="H1705" s="2" t="s">
        <v>1759</v>
      </c>
      <c r="I1705" s="2" t="s">
        <v>2637</v>
      </c>
      <c r="J1705" s="2" t="s">
        <v>2280</v>
      </c>
      <c r="K1705" s="2" t="s">
        <v>2774</v>
      </c>
      <c r="L1705" s="2" t="s">
        <v>45</v>
      </c>
    </row>
    <row r="1706" spans="1:12" ht="14.5">
      <c r="A1706" s="2" t="s">
        <v>1600</v>
      </c>
      <c r="B1706" s="2" t="s">
        <v>1272</v>
      </c>
      <c r="C1706" s="2" t="s">
        <v>1599</v>
      </c>
      <c r="D1706" s="2" t="s">
        <v>124</v>
      </c>
      <c r="E1706" s="7"/>
      <c r="F1706" s="7" t="s">
        <v>1763</v>
      </c>
      <c r="G1706" s="2" t="s">
        <v>29</v>
      </c>
      <c r="H1706" s="2" t="s">
        <v>1773</v>
      </c>
      <c r="I1706" s="2"/>
      <c r="J1706" s="2"/>
      <c r="K1706" s="2" t="s">
        <v>2774</v>
      </c>
      <c r="L1706" s="2" t="s">
        <v>45</v>
      </c>
    </row>
    <row r="1707" spans="1:12" ht="14.5">
      <c r="A1707" s="2" t="s">
        <v>1600</v>
      </c>
      <c r="B1707" s="2" t="s">
        <v>1272</v>
      </c>
      <c r="C1707" s="2" t="s">
        <v>1599</v>
      </c>
      <c r="D1707" s="2" t="s">
        <v>65</v>
      </c>
      <c r="E1707" s="7"/>
      <c r="F1707" s="7" t="s">
        <v>1763</v>
      </c>
      <c r="G1707" s="2" t="s">
        <v>29</v>
      </c>
      <c r="H1707" s="2" t="s">
        <v>1773</v>
      </c>
      <c r="I1707" s="2"/>
      <c r="J1707" s="2"/>
      <c r="K1707" s="2" t="s">
        <v>2774</v>
      </c>
      <c r="L1707" s="2" t="s">
        <v>45</v>
      </c>
    </row>
    <row r="1708" spans="1:12" ht="14.5">
      <c r="A1708" s="2" t="s">
        <v>1600</v>
      </c>
      <c r="B1708" s="2" t="s">
        <v>1272</v>
      </c>
      <c r="C1708" s="2" t="s">
        <v>1599</v>
      </c>
      <c r="D1708" s="2" t="s">
        <v>222</v>
      </c>
      <c r="E1708" s="5">
        <v>0.09</v>
      </c>
      <c r="F1708" s="7" t="s">
        <v>1764</v>
      </c>
      <c r="G1708" s="2" t="s">
        <v>29</v>
      </c>
      <c r="H1708" s="2" t="s">
        <v>1759</v>
      </c>
      <c r="I1708" s="2" t="s">
        <v>2637</v>
      </c>
      <c r="J1708" s="2" t="s">
        <v>2280</v>
      </c>
      <c r="K1708" s="2" t="s">
        <v>2774</v>
      </c>
      <c r="L1708" s="2" t="s">
        <v>45</v>
      </c>
    </row>
    <row r="1709" spans="1:12" ht="14.5">
      <c r="A1709" s="2" t="s">
        <v>1600</v>
      </c>
      <c r="B1709" s="2" t="s">
        <v>1272</v>
      </c>
      <c r="C1709" s="2" t="s">
        <v>1599</v>
      </c>
      <c r="D1709" s="2" t="s">
        <v>1765</v>
      </c>
      <c r="E1709" s="5" t="s">
        <v>662</v>
      </c>
      <c r="F1709" s="7" t="s">
        <v>1766</v>
      </c>
      <c r="G1709" s="2" t="s">
        <v>29</v>
      </c>
      <c r="H1709" s="2" t="s">
        <v>1759</v>
      </c>
      <c r="I1709" s="2" t="s">
        <v>1767</v>
      </c>
      <c r="J1709" s="2"/>
      <c r="K1709" t="s">
        <v>2775</v>
      </c>
    </row>
    <row r="1710" spans="1:12" ht="14.5">
      <c r="A1710" s="2" t="s">
        <v>1604</v>
      </c>
      <c r="B1710" s="2" t="s">
        <v>1272</v>
      </c>
      <c r="C1710" s="2" t="s">
        <v>1602</v>
      </c>
      <c r="D1710" s="2" t="s">
        <v>1757</v>
      </c>
      <c r="E1710" s="5">
        <v>1.05</v>
      </c>
      <c r="F1710" s="7" t="s">
        <v>1758</v>
      </c>
      <c r="G1710" s="2" t="s">
        <v>316</v>
      </c>
      <c r="H1710" s="2" t="s">
        <v>1759</v>
      </c>
      <c r="I1710" s="2" t="s">
        <v>2776</v>
      </c>
      <c r="J1710" s="2" t="s">
        <v>2645</v>
      </c>
      <c r="K1710" s="2" t="s">
        <v>2777</v>
      </c>
      <c r="L1710" s="2" t="s">
        <v>45</v>
      </c>
    </row>
    <row r="1711" spans="1:12" ht="14.5">
      <c r="A1711" s="2" t="s">
        <v>1604</v>
      </c>
      <c r="B1711" s="2" t="s">
        <v>1272</v>
      </c>
      <c r="C1711" s="2" t="s">
        <v>1602</v>
      </c>
      <c r="D1711" s="2" t="s">
        <v>254</v>
      </c>
      <c r="E1711" s="5">
        <v>0.27</v>
      </c>
      <c r="F1711" s="7" t="s">
        <v>1758</v>
      </c>
      <c r="G1711" s="2" t="s">
        <v>316</v>
      </c>
      <c r="H1711" s="2" t="s">
        <v>1759</v>
      </c>
      <c r="I1711" s="2" t="s">
        <v>2776</v>
      </c>
      <c r="J1711" s="2" t="s">
        <v>2645</v>
      </c>
      <c r="K1711" s="2" t="s">
        <v>2777</v>
      </c>
      <c r="L1711" s="2" t="s">
        <v>45</v>
      </c>
    </row>
    <row r="1712" spans="1:12" ht="14.5">
      <c r="A1712" s="2" t="s">
        <v>1604</v>
      </c>
      <c r="B1712" s="2" t="s">
        <v>1272</v>
      </c>
      <c r="C1712" s="2" t="s">
        <v>1602</v>
      </c>
      <c r="D1712" s="2" t="s">
        <v>124</v>
      </c>
      <c r="E1712" s="7"/>
      <c r="F1712" s="7" t="s">
        <v>1763</v>
      </c>
      <c r="G1712" s="2" t="s">
        <v>316</v>
      </c>
      <c r="H1712" s="2" t="s">
        <v>1773</v>
      </c>
      <c r="I1712" s="2"/>
      <c r="J1712" s="2"/>
      <c r="K1712" s="2" t="s">
        <v>2777</v>
      </c>
      <c r="L1712" s="2" t="s">
        <v>45</v>
      </c>
    </row>
    <row r="1713" spans="1:12" ht="14.5">
      <c r="A1713" s="2" t="s">
        <v>1604</v>
      </c>
      <c r="B1713" s="2" t="s">
        <v>1272</v>
      </c>
      <c r="C1713" s="2" t="s">
        <v>1602</v>
      </c>
      <c r="D1713" s="2" t="s">
        <v>65</v>
      </c>
      <c r="E1713" s="7"/>
      <c r="F1713" s="7" t="s">
        <v>1763</v>
      </c>
      <c r="G1713" s="2" t="s">
        <v>316</v>
      </c>
      <c r="H1713" s="2" t="s">
        <v>1773</v>
      </c>
      <c r="I1713" s="2"/>
      <c r="J1713" s="2"/>
      <c r="K1713" s="2" t="s">
        <v>2777</v>
      </c>
      <c r="L1713" s="2" t="s">
        <v>45</v>
      </c>
    </row>
    <row r="1714" spans="1:12" ht="14.5">
      <c r="A1714" s="2" t="s">
        <v>1604</v>
      </c>
      <c r="B1714" s="2" t="s">
        <v>1272</v>
      </c>
      <c r="C1714" s="2" t="s">
        <v>1602</v>
      </c>
      <c r="D1714" s="2" t="s">
        <v>222</v>
      </c>
      <c r="E1714" s="4">
        <v>0.2</v>
      </c>
      <c r="F1714" s="7" t="s">
        <v>1764</v>
      </c>
      <c r="G1714" s="2" t="s">
        <v>316</v>
      </c>
      <c r="H1714" s="2" t="s">
        <v>1759</v>
      </c>
      <c r="I1714" s="2" t="s">
        <v>2776</v>
      </c>
      <c r="J1714" s="2" t="s">
        <v>2645</v>
      </c>
      <c r="K1714" s="2" t="s">
        <v>2777</v>
      </c>
      <c r="L1714" s="2" t="s">
        <v>45</v>
      </c>
    </row>
    <row r="1715" spans="1:12" ht="14.5">
      <c r="A1715" s="2" t="s">
        <v>1604</v>
      </c>
      <c r="B1715" s="2" t="s">
        <v>1272</v>
      </c>
      <c r="C1715" s="2" t="s">
        <v>1602</v>
      </c>
      <c r="D1715" s="2" t="s">
        <v>1765</v>
      </c>
      <c r="E1715" s="4" t="s">
        <v>157</v>
      </c>
      <c r="F1715" s="7" t="s">
        <v>1766</v>
      </c>
      <c r="G1715" s="2" t="s">
        <v>316</v>
      </c>
      <c r="H1715" s="2" t="s">
        <v>1759</v>
      </c>
      <c r="I1715" s="2" t="s">
        <v>1767</v>
      </c>
      <c r="J1715" s="2"/>
      <c r="K1715" t="s">
        <v>2778</v>
      </c>
    </row>
    <row r="1716" spans="1:12" ht="58">
      <c r="A1716" s="2" t="s">
        <v>1611</v>
      </c>
      <c r="B1716" s="2" t="s">
        <v>1272</v>
      </c>
      <c r="C1716" s="2" t="s">
        <v>1606</v>
      </c>
      <c r="D1716" s="2" t="s">
        <v>1757</v>
      </c>
      <c r="E1716" s="8">
        <v>2.524</v>
      </c>
      <c r="F1716" s="7" t="s">
        <v>1758</v>
      </c>
      <c r="G1716" s="2" t="s">
        <v>1608</v>
      </c>
      <c r="H1716" s="2" t="s">
        <v>1759</v>
      </c>
      <c r="I1716" s="2" t="s">
        <v>2779</v>
      </c>
      <c r="J1716" s="2" t="s">
        <v>2780</v>
      </c>
      <c r="K1716" s="2" t="s">
        <v>2781</v>
      </c>
      <c r="L1716" s="2" t="s">
        <v>45</v>
      </c>
    </row>
    <row r="1717" spans="1:12" ht="58">
      <c r="A1717" s="2" t="s">
        <v>1611</v>
      </c>
      <c r="B1717" s="2" t="s">
        <v>1272</v>
      </c>
      <c r="C1717" s="2" t="s">
        <v>1606</v>
      </c>
      <c r="D1717" s="2" t="s">
        <v>254</v>
      </c>
      <c r="E1717" s="9">
        <v>0.87260000000000004</v>
      </c>
      <c r="F1717" s="7" t="s">
        <v>1758</v>
      </c>
      <c r="G1717" s="2" t="s">
        <v>1608</v>
      </c>
      <c r="H1717" s="2" t="s">
        <v>1759</v>
      </c>
      <c r="I1717" s="2" t="s">
        <v>2779</v>
      </c>
      <c r="J1717" s="2" t="s">
        <v>2780</v>
      </c>
      <c r="K1717" s="2" t="s">
        <v>2781</v>
      </c>
      <c r="L1717" s="2" t="s">
        <v>45</v>
      </c>
    </row>
    <row r="1718" spans="1:12" ht="58">
      <c r="A1718" s="2" t="s">
        <v>1611</v>
      </c>
      <c r="B1718" s="2" t="s">
        <v>1272</v>
      </c>
      <c r="C1718" s="2" t="s">
        <v>1606</v>
      </c>
      <c r="D1718" s="2" t="s">
        <v>124</v>
      </c>
      <c r="E1718" s="5">
        <v>1.02</v>
      </c>
      <c r="F1718" s="7" t="s">
        <v>1763</v>
      </c>
      <c r="G1718" s="2" t="s">
        <v>1608</v>
      </c>
      <c r="H1718" s="2" t="s">
        <v>1759</v>
      </c>
      <c r="I1718" s="2" t="s">
        <v>2779</v>
      </c>
      <c r="J1718" s="2" t="s">
        <v>2780</v>
      </c>
      <c r="K1718" s="2" t="s">
        <v>2781</v>
      </c>
      <c r="L1718" s="2" t="s">
        <v>45</v>
      </c>
    </row>
    <row r="1719" spans="1:12" ht="58">
      <c r="A1719" s="2" t="s">
        <v>1611</v>
      </c>
      <c r="B1719" s="2" t="s">
        <v>1272</v>
      </c>
      <c r="C1719" s="2" t="s">
        <v>1606</v>
      </c>
      <c r="D1719" s="2" t="s">
        <v>65</v>
      </c>
      <c r="E1719" s="10">
        <v>2.1160000000000002E-2</v>
      </c>
      <c r="F1719" s="7" t="s">
        <v>1763</v>
      </c>
      <c r="G1719" s="2" t="s">
        <v>1608</v>
      </c>
      <c r="H1719" s="2" t="s">
        <v>1759</v>
      </c>
      <c r="I1719" s="2" t="s">
        <v>2779</v>
      </c>
      <c r="J1719" s="2" t="s">
        <v>2780</v>
      </c>
      <c r="K1719" s="2" t="s">
        <v>2781</v>
      </c>
      <c r="L1719" s="2" t="s">
        <v>45</v>
      </c>
    </row>
    <row r="1720" spans="1:12" ht="58">
      <c r="A1720" s="2" t="s">
        <v>1611</v>
      </c>
      <c r="B1720" s="2" t="s">
        <v>1272</v>
      </c>
      <c r="C1720" s="2" t="s">
        <v>1606</v>
      </c>
      <c r="D1720" s="2" t="s">
        <v>222</v>
      </c>
      <c r="E1720" s="8">
        <v>2.6680000000000001</v>
      </c>
      <c r="F1720" s="7" t="s">
        <v>1764</v>
      </c>
      <c r="G1720" s="2" t="s">
        <v>1608</v>
      </c>
      <c r="H1720" s="2" t="s">
        <v>1759</v>
      </c>
      <c r="I1720" s="2" t="s">
        <v>2779</v>
      </c>
      <c r="J1720" s="2" t="s">
        <v>2780</v>
      </c>
      <c r="K1720" s="2" t="s">
        <v>2781</v>
      </c>
      <c r="L1720" s="2" t="s">
        <v>45</v>
      </c>
    </row>
    <row r="1721" spans="1:12" ht="14.5">
      <c r="A1721" s="2" t="s">
        <v>1611</v>
      </c>
      <c r="B1721" s="2" t="s">
        <v>1272</v>
      </c>
      <c r="C1721" s="2" t="s">
        <v>1606</v>
      </c>
      <c r="D1721" s="2" t="s">
        <v>1765</v>
      </c>
      <c r="E1721" s="8" t="s">
        <v>1607</v>
      </c>
      <c r="F1721" s="7" t="s">
        <v>1766</v>
      </c>
      <c r="G1721" s="2" t="s">
        <v>1608</v>
      </c>
      <c r="H1721" s="2" t="s">
        <v>1759</v>
      </c>
      <c r="I1721" s="2" t="s">
        <v>1767</v>
      </c>
      <c r="J1721" s="2"/>
      <c r="K1721" t="s">
        <v>2782</v>
      </c>
    </row>
    <row r="1722" spans="1:12" ht="29">
      <c r="A1722" s="2" t="s">
        <v>1615</v>
      </c>
      <c r="B1722" s="2" t="s">
        <v>1272</v>
      </c>
      <c r="C1722" s="2" t="s">
        <v>1613</v>
      </c>
      <c r="D1722" s="2" t="s">
        <v>1757</v>
      </c>
      <c r="E1722" s="4">
        <v>2.6</v>
      </c>
      <c r="F1722" s="7" t="s">
        <v>1758</v>
      </c>
      <c r="G1722" s="2" t="s">
        <v>1154</v>
      </c>
      <c r="H1722" s="2" t="s">
        <v>1759</v>
      </c>
      <c r="I1722" s="2" t="s">
        <v>2783</v>
      </c>
      <c r="J1722" s="2" t="s">
        <v>2784</v>
      </c>
      <c r="K1722" s="2" t="s">
        <v>2785</v>
      </c>
      <c r="L1722" s="2" t="s">
        <v>45</v>
      </c>
    </row>
    <row r="1723" spans="1:12" ht="29">
      <c r="A1723" s="2" t="s">
        <v>1615</v>
      </c>
      <c r="B1723" s="2" t="s">
        <v>1272</v>
      </c>
      <c r="C1723" s="2" t="s">
        <v>1613</v>
      </c>
      <c r="D1723" s="2" t="s">
        <v>254</v>
      </c>
      <c r="E1723" s="4">
        <v>0.9</v>
      </c>
      <c r="F1723" s="7" t="s">
        <v>1758</v>
      </c>
      <c r="G1723" s="2" t="s">
        <v>1154</v>
      </c>
      <c r="H1723" s="2" t="s">
        <v>1759</v>
      </c>
      <c r="I1723" s="2" t="s">
        <v>2783</v>
      </c>
      <c r="J1723" s="2" t="s">
        <v>2784</v>
      </c>
      <c r="K1723" s="2" t="s">
        <v>2785</v>
      </c>
      <c r="L1723" s="2" t="s">
        <v>45</v>
      </c>
    </row>
    <row r="1724" spans="1:12" ht="29">
      <c r="A1724" s="2" t="s">
        <v>1615</v>
      </c>
      <c r="B1724" s="2" t="s">
        <v>1272</v>
      </c>
      <c r="C1724" s="2" t="s">
        <v>1613</v>
      </c>
      <c r="D1724" s="2" t="s">
        <v>124</v>
      </c>
      <c r="E1724" s="6">
        <v>1</v>
      </c>
      <c r="F1724" s="7" t="s">
        <v>1763</v>
      </c>
      <c r="G1724" s="2" t="s">
        <v>1154</v>
      </c>
      <c r="H1724" s="2" t="s">
        <v>1759</v>
      </c>
      <c r="I1724" s="2" t="s">
        <v>2783</v>
      </c>
      <c r="J1724" s="2" t="s">
        <v>2784</v>
      </c>
      <c r="K1724" s="2" t="s">
        <v>2785</v>
      </c>
      <c r="L1724" s="2" t="s">
        <v>45</v>
      </c>
    </row>
    <row r="1725" spans="1:12" ht="43.5">
      <c r="A1725" s="2" t="s">
        <v>1615</v>
      </c>
      <c r="B1725" s="2" t="s">
        <v>1272</v>
      </c>
      <c r="C1725" s="2" t="s">
        <v>1613</v>
      </c>
      <c r="D1725" s="2" t="s">
        <v>65</v>
      </c>
      <c r="E1725" s="11">
        <v>0</v>
      </c>
      <c r="F1725" s="20" t="s">
        <v>1763</v>
      </c>
      <c r="G1725" s="21" t="s">
        <v>1154</v>
      </c>
      <c r="H1725" s="21" t="s">
        <v>1779</v>
      </c>
      <c r="I1725" s="2" t="s">
        <v>2786</v>
      </c>
      <c r="J1725" s="2" t="s">
        <v>2787</v>
      </c>
      <c r="K1725" s="2" t="s">
        <v>2788</v>
      </c>
      <c r="L1725" s="2" t="s">
        <v>45</v>
      </c>
    </row>
    <row r="1726" spans="1:12" ht="29">
      <c r="A1726" s="2" t="s">
        <v>1615</v>
      </c>
      <c r="B1726" s="2" t="s">
        <v>1272</v>
      </c>
      <c r="C1726" s="2" t="s">
        <v>1613</v>
      </c>
      <c r="D1726" s="2" t="s">
        <v>222</v>
      </c>
      <c r="E1726" s="6">
        <v>3</v>
      </c>
      <c r="F1726" s="7" t="s">
        <v>1764</v>
      </c>
      <c r="G1726" s="2" t="s">
        <v>1154</v>
      </c>
      <c r="H1726" s="2" t="s">
        <v>1759</v>
      </c>
      <c r="I1726" s="2" t="s">
        <v>2783</v>
      </c>
      <c r="J1726" s="2" t="s">
        <v>2784</v>
      </c>
      <c r="K1726" s="2" t="s">
        <v>2785</v>
      </c>
      <c r="L1726" s="2" t="s">
        <v>45</v>
      </c>
    </row>
    <row r="1727" spans="1:12" ht="14.5">
      <c r="A1727" s="2" t="s">
        <v>1615</v>
      </c>
      <c r="B1727" s="2" t="s">
        <v>1272</v>
      </c>
      <c r="C1727" s="2" t="s">
        <v>1613</v>
      </c>
      <c r="D1727" s="2" t="s">
        <v>1765</v>
      </c>
      <c r="E1727" s="6" t="s">
        <v>1607</v>
      </c>
      <c r="F1727" s="7" t="s">
        <v>1766</v>
      </c>
      <c r="G1727" s="2" t="s">
        <v>1154</v>
      </c>
      <c r="H1727" s="2" t="s">
        <v>1759</v>
      </c>
      <c r="I1727" s="2" t="s">
        <v>1767</v>
      </c>
      <c r="J1727" s="2"/>
      <c r="K1727" t="s">
        <v>2782</v>
      </c>
    </row>
    <row r="1728" spans="1:12" ht="14.5">
      <c r="A1728" s="2" t="s">
        <v>1620</v>
      </c>
      <c r="B1728" s="2" t="s">
        <v>1272</v>
      </c>
      <c r="C1728" s="2" t="s">
        <v>1617</v>
      </c>
      <c r="D1728" s="2" t="s">
        <v>1757</v>
      </c>
      <c r="E1728" s="4">
        <v>0.5</v>
      </c>
      <c r="F1728" s="7" t="s">
        <v>1758</v>
      </c>
      <c r="G1728" s="2" t="s">
        <v>71</v>
      </c>
      <c r="H1728" s="2" t="s">
        <v>1759</v>
      </c>
      <c r="I1728" s="2" t="s">
        <v>2789</v>
      </c>
      <c r="J1728" s="2" t="s">
        <v>2790</v>
      </c>
      <c r="K1728" s="2"/>
      <c r="L1728" s="2" t="s">
        <v>35</v>
      </c>
    </row>
    <row r="1729" spans="1:12" ht="14.5">
      <c r="A1729" s="2" t="s">
        <v>1620</v>
      </c>
      <c r="B1729" s="2" t="s">
        <v>1272</v>
      </c>
      <c r="C1729" s="2" t="s">
        <v>1617</v>
      </c>
      <c r="D1729" s="2" t="s">
        <v>254</v>
      </c>
      <c r="E1729" s="7" t="s">
        <v>1618</v>
      </c>
      <c r="F1729" s="7" t="s">
        <v>1758</v>
      </c>
      <c r="G1729" s="2" t="s">
        <v>71</v>
      </c>
      <c r="H1729" s="2" t="s">
        <v>1759</v>
      </c>
      <c r="I1729" s="2" t="s">
        <v>2789</v>
      </c>
      <c r="J1729" s="2" t="s">
        <v>2790</v>
      </c>
      <c r="K1729" s="2"/>
      <c r="L1729" s="2" t="s">
        <v>35</v>
      </c>
    </row>
    <row r="1730" spans="1:12" ht="14.5">
      <c r="A1730" s="2" t="s">
        <v>1620</v>
      </c>
      <c r="B1730" s="2" t="s">
        <v>1272</v>
      </c>
      <c r="C1730" s="2" t="s">
        <v>1617</v>
      </c>
      <c r="D1730" s="2" t="s">
        <v>124</v>
      </c>
      <c r="E1730" s="7"/>
      <c r="F1730" s="7" t="s">
        <v>1763</v>
      </c>
      <c r="G1730" s="2" t="s">
        <v>71</v>
      </c>
      <c r="H1730" s="2" t="s">
        <v>1773</v>
      </c>
      <c r="I1730" s="2"/>
      <c r="J1730" s="2"/>
      <c r="K1730" s="2"/>
      <c r="L1730" s="2" t="s">
        <v>35</v>
      </c>
    </row>
    <row r="1731" spans="1:12" ht="14.5">
      <c r="A1731" s="2" t="s">
        <v>1620</v>
      </c>
      <c r="B1731" s="2" t="s">
        <v>1272</v>
      </c>
      <c r="C1731" s="2" t="s">
        <v>1617</v>
      </c>
      <c r="D1731" s="2" t="s">
        <v>65</v>
      </c>
      <c r="E1731" s="7"/>
      <c r="F1731" s="7" t="s">
        <v>1763</v>
      </c>
      <c r="G1731" s="2" t="s">
        <v>71</v>
      </c>
      <c r="H1731" s="2" t="s">
        <v>1773</v>
      </c>
      <c r="I1731" s="2"/>
      <c r="J1731" s="2"/>
      <c r="K1731" s="2"/>
      <c r="L1731" s="2" t="s">
        <v>35</v>
      </c>
    </row>
    <row r="1732" spans="1:12" ht="14.5">
      <c r="A1732" s="2" t="s">
        <v>1620</v>
      </c>
      <c r="B1732" s="2" t="s">
        <v>1272</v>
      </c>
      <c r="C1732" s="2" t="s">
        <v>1617</v>
      </c>
      <c r="D1732" s="2" t="s">
        <v>222</v>
      </c>
      <c r="E1732" s="5">
        <v>0.03</v>
      </c>
      <c r="F1732" s="7" t="s">
        <v>1764</v>
      </c>
      <c r="G1732" s="2" t="s">
        <v>71</v>
      </c>
      <c r="H1732" s="2" t="s">
        <v>1759</v>
      </c>
      <c r="I1732" s="2" t="s">
        <v>2789</v>
      </c>
      <c r="J1732" s="2" t="s">
        <v>2790</v>
      </c>
      <c r="K1732" s="2"/>
      <c r="L1732" s="2" t="s">
        <v>35</v>
      </c>
    </row>
    <row r="1733" spans="1:12" ht="14.5">
      <c r="A1733" s="2" t="s">
        <v>1620</v>
      </c>
      <c r="B1733" s="2" t="s">
        <v>1272</v>
      </c>
      <c r="C1733" s="2" t="s">
        <v>1617</v>
      </c>
      <c r="D1733" s="2" t="s">
        <v>1765</v>
      </c>
      <c r="E1733" s="5" t="s">
        <v>293</v>
      </c>
      <c r="F1733" s="7" t="s">
        <v>1766</v>
      </c>
      <c r="G1733" s="2" t="s">
        <v>71</v>
      </c>
      <c r="H1733" s="2" t="s">
        <v>1759</v>
      </c>
      <c r="I1733" s="2" t="s">
        <v>1767</v>
      </c>
      <c r="J1733" s="2"/>
      <c r="K1733" t="s">
        <v>2791</v>
      </c>
    </row>
    <row r="1734" spans="1:12" ht="14.5">
      <c r="A1734" s="2" t="s">
        <v>1624</v>
      </c>
      <c r="B1734" s="2" t="s">
        <v>1272</v>
      </c>
      <c r="C1734" s="2" t="s">
        <v>1621</v>
      </c>
      <c r="D1734" s="2" t="s">
        <v>1757</v>
      </c>
      <c r="E1734" s="5">
        <v>2.25</v>
      </c>
      <c r="F1734" s="7" t="s">
        <v>1758</v>
      </c>
      <c r="G1734" s="2" t="s">
        <v>29</v>
      </c>
      <c r="H1734" s="2" t="s">
        <v>1759</v>
      </c>
      <c r="I1734" s="2" t="s">
        <v>2792</v>
      </c>
      <c r="J1734" s="2" t="s">
        <v>2793</v>
      </c>
      <c r="K1734" s="2" t="s">
        <v>2794</v>
      </c>
      <c r="L1734" s="2" t="s">
        <v>45</v>
      </c>
    </row>
    <row r="1735" spans="1:12" ht="14.5">
      <c r="A1735" s="2" t="s">
        <v>1624</v>
      </c>
      <c r="B1735" s="2" t="s">
        <v>1272</v>
      </c>
      <c r="C1735" s="2" t="s">
        <v>1621</v>
      </c>
      <c r="D1735" s="2" t="s">
        <v>254</v>
      </c>
      <c r="E1735" s="4">
        <v>0.5</v>
      </c>
      <c r="F1735" s="7" t="s">
        <v>1758</v>
      </c>
      <c r="G1735" s="2" t="s">
        <v>29</v>
      </c>
      <c r="H1735" s="2" t="s">
        <v>1759</v>
      </c>
      <c r="I1735" s="2" t="s">
        <v>2792</v>
      </c>
      <c r="J1735" s="2" t="s">
        <v>2793</v>
      </c>
      <c r="K1735" s="2" t="s">
        <v>2794</v>
      </c>
      <c r="L1735" s="2" t="s">
        <v>45</v>
      </c>
    </row>
    <row r="1736" spans="1:12" ht="14.5">
      <c r="A1736" s="2" t="s">
        <v>1624</v>
      </c>
      <c r="B1736" s="2" t="s">
        <v>1272</v>
      </c>
      <c r="C1736" s="2" t="s">
        <v>1621</v>
      </c>
      <c r="D1736" s="2" t="s">
        <v>124</v>
      </c>
      <c r="E1736" s="6">
        <v>2</v>
      </c>
      <c r="F1736" s="7" t="s">
        <v>1763</v>
      </c>
      <c r="G1736" s="2" t="s">
        <v>29</v>
      </c>
      <c r="H1736" s="2" t="s">
        <v>1759</v>
      </c>
      <c r="I1736" s="2" t="s">
        <v>2792</v>
      </c>
      <c r="J1736" s="2" t="s">
        <v>2793</v>
      </c>
      <c r="K1736" s="2" t="s">
        <v>2794</v>
      </c>
      <c r="L1736" s="2" t="s">
        <v>45</v>
      </c>
    </row>
    <row r="1737" spans="1:12" ht="14.5">
      <c r="A1737" s="2" t="s">
        <v>1624</v>
      </c>
      <c r="B1737" s="2" t="s">
        <v>1272</v>
      </c>
      <c r="C1737" s="2" t="s">
        <v>1621</v>
      </c>
      <c r="D1737" s="2" t="s">
        <v>65</v>
      </c>
      <c r="E1737" s="4">
        <v>0.8</v>
      </c>
      <c r="F1737" s="7" t="s">
        <v>1763</v>
      </c>
      <c r="G1737" s="2" t="s">
        <v>29</v>
      </c>
      <c r="H1737" s="2" t="s">
        <v>1759</v>
      </c>
      <c r="I1737" s="2" t="s">
        <v>2792</v>
      </c>
      <c r="J1737" s="2" t="s">
        <v>2793</v>
      </c>
      <c r="K1737" s="2" t="s">
        <v>2794</v>
      </c>
      <c r="L1737" s="2" t="s">
        <v>45</v>
      </c>
    </row>
    <row r="1738" spans="1:12" ht="14.5">
      <c r="A1738" s="2" t="s">
        <v>1624</v>
      </c>
      <c r="B1738" s="2" t="s">
        <v>1272</v>
      </c>
      <c r="C1738" s="2" t="s">
        <v>1621</v>
      </c>
      <c r="D1738" s="2" t="s">
        <v>222</v>
      </c>
      <c r="E1738" s="6">
        <v>2</v>
      </c>
      <c r="F1738" s="7" t="s">
        <v>1764</v>
      </c>
      <c r="G1738" s="2" t="s">
        <v>29</v>
      </c>
      <c r="H1738" s="2" t="s">
        <v>1759</v>
      </c>
      <c r="I1738" s="2" t="s">
        <v>2792</v>
      </c>
      <c r="J1738" s="2" t="s">
        <v>2793</v>
      </c>
      <c r="K1738" s="2" t="s">
        <v>2794</v>
      </c>
      <c r="L1738" s="2" t="s">
        <v>45</v>
      </c>
    </row>
    <row r="1739" spans="1:12" ht="14.5">
      <c r="A1739" s="2" t="s">
        <v>1624</v>
      </c>
      <c r="B1739" s="2" t="s">
        <v>1272</v>
      </c>
      <c r="C1739" s="2" t="s">
        <v>1621</v>
      </c>
      <c r="D1739" s="2" t="s">
        <v>1765</v>
      </c>
      <c r="E1739" s="6" t="s">
        <v>426</v>
      </c>
      <c r="F1739" s="7" t="s">
        <v>1766</v>
      </c>
      <c r="G1739" s="2" t="s">
        <v>29</v>
      </c>
      <c r="H1739" s="2" t="s">
        <v>1759</v>
      </c>
      <c r="I1739" s="2" t="s">
        <v>1767</v>
      </c>
      <c r="J1739" s="2"/>
      <c r="K1739" t="s">
        <v>2795</v>
      </c>
    </row>
    <row r="1740" spans="1:12" ht="14.5">
      <c r="A1740" s="2" t="s">
        <v>1630</v>
      </c>
      <c r="B1740" s="2" t="s">
        <v>1272</v>
      </c>
      <c r="C1740" s="2" t="s">
        <v>1626</v>
      </c>
      <c r="D1740" s="2" t="s">
        <v>1757</v>
      </c>
      <c r="E1740" s="4">
        <v>0.4</v>
      </c>
      <c r="F1740" s="7" t="s">
        <v>1758</v>
      </c>
      <c r="G1740" s="2" t="s">
        <v>71</v>
      </c>
      <c r="H1740" s="2" t="s">
        <v>1759</v>
      </c>
      <c r="I1740" s="2" t="s">
        <v>2796</v>
      </c>
      <c r="J1740" s="2" t="s">
        <v>2797</v>
      </c>
      <c r="K1740" s="2"/>
      <c r="L1740" s="2" t="s">
        <v>35</v>
      </c>
    </row>
    <row r="1741" spans="1:12" ht="14.5">
      <c r="A1741" s="2" t="s">
        <v>1630</v>
      </c>
      <c r="B1741" s="2" t="s">
        <v>1272</v>
      </c>
      <c r="C1741" s="2" t="s">
        <v>1626</v>
      </c>
      <c r="D1741" s="2" t="s">
        <v>254</v>
      </c>
      <c r="E1741" s="5">
        <v>0.13</v>
      </c>
      <c r="F1741" s="7" t="s">
        <v>1758</v>
      </c>
      <c r="G1741" s="2" t="s">
        <v>71</v>
      </c>
      <c r="H1741" s="2" t="s">
        <v>1759</v>
      </c>
      <c r="I1741" s="2" t="s">
        <v>2796</v>
      </c>
      <c r="J1741" s="2" t="s">
        <v>2797</v>
      </c>
      <c r="K1741" s="2"/>
      <c r="L1741" s="2" t="s">
        <v>35</v>
      </c>
    </row>
    <row r="1742" spans="1:12" ht="14.5">
      <c r="A1742" s="2" t="s">
        <v>1630</v>
      </c>
      <c r="B1742" s="2" t="s">
        <v>1272</v>
      </c>
      <c r="C1742" s="2" t="s">
        <v>1626</v>
      </c>
      <c r="D1742" s="2" t="s">
        <v>124</v>
      </c>
      <c r="E1742" s="7"/>
      <c r="F1742" s="7" t="s">
        <v>1763</v>
      </c>
      <c r="G1742" s="2" t="s">
        <v>71</v>
      </c>
      <c r="H1742" s="2" t="s">
        <v>1773</v>
      </c>
      <c r="I1742" s="2"/>
      <c r="J1742" s="2"/>
      <c r="K1742" s="2"/>
      <c r="L1742" s="2" t="s">
        <v>35</v>
      </c>
    </row>
    <row r="1743" spans="1:12" ht="14.5">
      <c r="A1743" s="2" t="s">
        <v>1630</v>
      </c>
      <c r="B1743" s="2" t="s">
        <v>1272</v>
      </c>
      <c r="C1743" s="2" t="s">
        <v>1626</v>
      </c>
      <c r="D1743" s="2" t="s">
        <v>65</v>
      </c>
      <c r="E1743" s="7"/>
      <c r="F1743" s="7" t="s">
        <v>1763</v>
      </c>
      <c r="G1743" s="2" t="s">
        <v>71</v>
      </c>
      <c r="H1743" s="2" t="s">
        <v>1773</v>
      </c>
      <c r="I1743" s="2"/>
      <c r="J1743" s="2"/>
      <c r="K1743" s="2"/>
      <c r="L1743" s="2" t="s">
        <v>35</v>
      </c>
    </row>
    <row r="1744" spans="1:12" ht="14.5">
      <c r="A1744" s="2" t="s">
        <v>1630</v>
      </c>
      <c r="B1744" s="2" t="s">
        <v>1272</v>
      </c>
      <c r="C1744" s="2" t="s">
        <v>1626</v>
      </c>
      <c r="D1744" s="2" t="s">
        <v>222</v>
      </c>
      <c r="E1744" s="7" t="s">
        <v>1627</v>
      </c>
      <c r="F1744" s="7" t="s">
        <v>1764</v>
      </c>
      <c r="G1744" s="2" t="s">
        <v>71</v>
      </c>
      <c r="H1744" s="2" t="s">
        <v>1759</v>
      </c>
      <c r="I1744" s="2" t="s">
        <v>2796</v>
      </c>
      <c r="J1744" s="2" t="s">
        <v>2797</v>
      </c>
      <c r="K1744" s="2"/>
      <c r="L1744" s="2" t="s">
        <v>35</v>
      </c>
    </row>
    <row r="1745" spans="1:12" ht="14.5">
      <c r="A1745" s="2" t="s">
        <v>1630</v>
      </c>
      <c r="B1745" s="2" t="s">
        <v>1272</v>
      </c>
      <c r="C1745" s="2" t="s">
        <v>1626</v>
      </c>
      <c r="D1745" s="2" t="s">
        <v>1765</v>
      </c>
      <c r="E1745" s="7" t="s">
        <v>117</v>
      </c>
      <c r="F1745" s="7" t="s">
        <v>1766</v>
      </c>
      <c r="G1745" s="2" t="s">
        <v>71</v>
      </c>
      <c r="H1745" s="2" t="s">
        <v>1759</v>
      </c>
      <c r="I1745" s="2" t="s">
        <v>1767</v>
      </c>
      <c r="J1745" s="2"/>
      <c r="K1745" t="s">
        <v>2798</v>
      </c>
    </row>
    <row r="1746" spans="1:12" ht="29">
      <c r="A1746" s="2" t="s">
        <v>1636</v>
      </c>
      <c r="B1746" s="2" t="s">
        <v>1272</v>
      </c>
      <c r="C1746" s="2" t="s">
        <v>1631</v>
      </c>
      <c r="D1746" s="2" t="s">
        <v>1757</v>
      </c>
      <c r="E1746" s="4">
        <v>1.2</v>
      </c>
      <c r="F1746" s="7" t="s">
        <v>1758</v>
      </c>
      <c r="G1746" s="2" t="s">
        <v>1633</v>
      </c>
      <c r="H1746" s="2" t="s">
        <v>1759</v>
      </c>
      <c r="I1746" s="2" t="s">
        <v>2799</v>
      </c>
      <c r="J1746" s="2" t="s">
        <v>2800</v>
      </c>
      <c r="K1746" s="2" t="s">
        <v>2801</v>
      </c>
      <c r="L1746" s="2" t="s">
        <v>45</v>
      </c>
    </row>
    <row r="1747" spans="1:12" ht="29">
      <c r="A1747" s="2" t="s">
        <v>1636</v>
      </c>
      <c r="B1747" s="2" t="s">
        <v>1272</v>
      </c>
      <c r="C1747" s="2" t="s">
        <v>1631</v>
      </c>
      <c r="D1747" s="2" t="s">
        <v>254</v>
      </c>
      <c r="E1747" s="4">
        <v>0.3</v>
      </c>
      <c r="F1747" s="7" t="s">
        <v>1758</v>
      </c>
      <c r="G1747" s="2" t="s">
        <v>1633</v>
      </c>
      <c r="H1747" s="2" t="s">
        <v>1759</v>
      </c>
      <c r="I1747" s="2" t="s">
        <v>2799</v>
      </c>
      <c r="J1747" s="2" t="s">
        <v>2800</v>
      </c>
      <c r="K1747" s="2" t="s">
        <v>2801</v>
      </c>
      <c r="L1747" s="2" t="s">
        <v>45</v>
      </c>
    </row>
    <row r="1748" spans="1:12" ht="29">
      <c r="A1748" s="2" t="s">
        <v>1636</v>
      </c>
      <c r="B1748" s="2" t="s">
        <v>1272</v>
      </c>
      <c r="C1748" s="2" t="s">
        <v>1631</v>
      </c>
      <c r="D1748" s="2" t="s">
        <v>124</v>
      </c>
      <c r="E1748" s="4">
        <v>1.7</v>
      </c>
      <c r="F1748" s="7" t="s">
        <v>1763</v>
      </c>
      <c r="G1748" s="2" t="s">
        <v>1633</v>
      </c>
      <c r="H1748" s="2" t="s">
        <v>1759</v>
      </c>
      <c r="I1748" s="2" t="s">
        <v>2799</v>
      </c>
      <c r="J1748" s="2" t="s">
        <v>2800</v>
      </c>
      <c r="K1748" s="2" t="s">
        <v>2801</v>
      </c>
      <c r="L1748" s="2" t="s">
        <v>45</v>
      </c>
    </row>
    <row r="1749" spans="1:12" ht="29">
      <c r="A1749" s="2" t="s">
        <v>1636</v>
      </c>
      <c r="B1749" s="2" t="s">
        <v>1272</v>
      </c>
      <c r="C1749" s="2" t="s">
        <v>1631</v>
      </c>
      <c r="D1749" s="2" t="s">
        <v>65</v>
      </c>
      <c r="E1749" s="4">
        <v>0.7</v>
      </c>
      <c r="F1749" s="7" t="s">
        <v>1763</v>
      </c>
      <c r="G1749" s="2" t="s">
        <v>1633</v>
      </c>
      <c r="H1749" s="2" t="s">
        <v>1759</v>
      </c>
      <c r="I1749" s="2" t="s">
        <v>2799</v>
      </c>
      <c r="J1749" s="2" t="s">
        <v>2800</v>
      </c>
      <c r="K1749" s="2" t="s">
        <v>2801</v>
      </c>
      <c r="L1749" s="2" t="s">
        <v>45</v>
      </c>
    </row>
    <row r="1750" spans="1:12" ht="29">
      <c r="A1750" s="2" t="s">
        <v>1636</v>
      </c>
      <c r="B1750" s="2" t="s">
        <v>1272</v>
      </c>
      <c r="C1750" s="2" t="s">
        <v>1631</v>
      </c>
      <c r="D1750" s="2" t="s">
        <v>222</v>
      </c>
      <c r="E1750" s="5">
        <v>1.85</v>
      </c>
      <c r="F1750" s="7" t="s">
        <v>1764</v>
      </c>
      <c r="G1750" s="2" t="s">
        <v>1633</v>
      </c>
      <c r="H1750" s="2" t="s">
        <v>1759</v>
      </c>
      <c r="I1750" s="2" t="s">
        <v>2799</v>
      </c>
      <c r="J1750" s="2" t="s">
        <v>2800</v>
      </c>
      <c r="K1750" s="2" t="s">
        <v>2801</v>
      </c>
      <c r="L1750" s="2" t="s">
        <v>45</v>
      </c>
    </row>
    <row r="1751" spans="1:12" ht="14.5">
      <c r="A1751" s="2" t="s">
        <v>1636</v>
      </c>
      <c r="B1751" s="2" t="s">
        <v>1272</v>
      </c>
      <c r="C1751" s="2" t="s">
        <v>1631</v>
      </c>
      <c r="D1751" s="2" t="s">
        <v>1765</v>
      </c>
      <c r="E1751" s="5" t="s">
        <v>1632</v>
      </c>
      <c r="F1751" s="7" t="s">
        <v>1766</v>
      </c>
      <c r="G1751" s="2" t="s">
        <v>1633</v>
      </c>
      <c r="H1751" s="2" t="s">
        <v>1759</v>
      </c>
      <c r="I1751" s="2" t="s">
        <v>1767</v>
      </c>
      <c r="J1751" s="2"/>
      <c r="K1751" t="s">
        <v>2802</v>
      </c>
    </row>
    <row r="1752" spans="1:12" ht="14.5">
      <c r="A1752" s="2" t="s">
        <v>1641</v>
      </c>
      <c r="B1752" s="2" t="s">
        <v>1637</v>
      </c>
      <c r="C1752" s="2" t="s">
        <v>1638</v>
      </c>
      <c r="D1752" s="2" t="s">
        <v>1757</v>
      </c>
      <c r="E1752" s="5">
        <v>0.22</v>
      </c>
      <c r="F1752" s="7" t="s">
        <v>1758</v>
      </c>
      <c r="G1752" s="2" t="s">
        <v>316</v>
      </c>
      <c r="H1752" s="2" t="s">
        <v>1759</v>
      </c>
      <c r="I1752" s="2" t="s">
        <v>2803</v>
      </c>
      <c r="J1752" s="2" t="s">
        <v>2804</v>
      </c>
      <c r="K1752" s="2" t="s">
        <v>2805</v>
      </c>
      <c r="L1752" s="2" t="s">
        <v>190</v>
      </c>
    </row>
    <row r="1753" spans="1:12" ht="14.5">
      <c r="A1753" s="2" t="s">
        <v>1641</v>
      </c>
      <c r="B1753" s="2" t="s">
        <v>1637</v>
      </c>
      <c r="C1753" s="2" t="s">
        <v>1638</v>
      </c>
      <c r="D1753" s="2" t="s">
        <v>254</v>
      </c>
      <c r="E1753" s="8">
        <v>3.5000000000000003E-2</v>
      </c>
      <c r="F1753" s="7" t="s">
        <v>1758</v>
      </c>
      <c r="G1753" s="2" t="s">
        <v>316</v>
      </c>
      <c r="H1753" s="2" t="s">
        <v>1759</v>
      </c>
      <c r="I1753" s="2" t="s">
        <v>2803</v>
      </c>
      <c r="J1753" s="2" t="s">
        <v>2804</v>
      </c>
      <c r="K1753" s="2" t="s">
        <v>2805</v>
      </c>
      <c r="L1753" s="2" t="s">
        <v>190</v>
      </c>
    </row>
    <row r="1754" spans="1:12" ht="14.5">
      <c r="A1754" s="2" t="s">
        <v>1641</v>
      </c>
      <c r="B1754" s="2" t="s">
        <v>1637</v>
      </c>
      <c r="C1754" s="2" t="s">
        <v>1638</v>
      </c>
      <c r="D1754" s="2" t="s">
        <v>124</v>
      </c>
      <c r="E1754" s="7"/>
      <c r="F1754" s="7" t="s">
        <v>1763</v>
      </c>
      <c r="G1754" s="2" t="s">
        <v>316</v>
      </c>
      <c r="H1754" s="2" t="s">
        <v>1773</v>
      </c>
      <c r="I1754" s="2"/>
      <c r="J1754" s="2"/>
      <c r="K1754" s="2" t="s">
        <v>2805</v>
      </c>
      <c r="L1754" s="2" t="s">
        <v>190</v>
      </c>
    </row>
    <row r="1755" spans="1:12" ht="14.5">
      <c r="A1755" s="2" t="s">
        <v>1641</v>
      </c>
      <c r="B1755" s="2" t="s">
        <v>1637</v>
      </c>
      <c r="C1755" s="2" t="s">
        <v>1638</v>
      </c>
      <c r="D1755" s="2" t="s">
        <v>65</v>
      </c>
      <c r="E1755" s="7"/>
      <c r="F1755" s="7" t="s">
        <v>1763</v>
      </c>
      <c r="G1755" s="2" t="s">
        <v>316</v>
      </c>
      <c r="H1755" s="2" t="s">
        <v>1773</v>
      </c>
      <c r="I1755" s="2"/>
      <c r="J1755" s="2"/>
      <c r="K1755" s="2" t="s">
        <v>2805</v>
      </c>
      <c r="L1755" s="2" t="s">
        <v>190</v>
      </c>
    </row>
    <row r="1756" spans="1:12" ht="14.5">
      <c r="A1756" s="2" t="s">
        <v>1641</v>
      </c>
      <c r="B1756" s="2" t="s">
        <v>1637</v>
      </c>
      <c r="C1756" s="2" t="s">
        <v>1638</v>
      </c>
      <c r="D1756" s="2" t="s">
        <v>222</v>
      </c>
      <c r="E1756" s="8">
        <v>5.0000000000000001E-3</v>
      </c>
      <c r="F1756" s="7" t="s">
        <v>1764</v>
      </c>
      <c r="G1756" s="2" t="s">
        <v>316</v>
      </c>
      <c r="H1756" s="2" t="s">
        <v>1759</v>
      </c>
      <c r="I1756" s="2" t="s">
        <v>2803</v>
      </c>
      <c r="J1756" s="2" t="s">
        <v>2804</v>
      </c>
      <c r="K1756" s="2" t="s">
        <v>2805</v>
      </c>
      <c r="L1756" s="2" t="s">
        <v>190</v>
      </c>
    </row>
    <row r="1757" spans="1:12" ht="14.5">
      <c r="A1757" s="2" t="s">
        <v>1641</v>
      </c>
      <c r="B1757" s="2" t="s">
        <v>1637</v>
      </c>
      <c r="C1757" s="2" t="s">
        <v>1638</v>
      </c>
      <c r="D1757" s="2" t="s">
        <v>1765</v>
      </c>
      <c r="E1757" s="8" t="s">
        <v>117</v>
      </c>
      <c r="F1757" s="7" t="s">
        <v>1766</v>
      </c>
      <c r="G1757" s="2" t="s">
        <v>316</v>
      </c>
      <c r="H1757" s="2" t="s">
        <v>1759</v>
      </c>
      <c r="I1757" s="2" t="s">
        <v>1767</v>
      </c>
      <c r="J1757" s="2"/>
      <c r="K1757" t="s">
        <v>2771</v>
      </c>
    </row>
    <row r="1758" spans="1:12" ht="43.5">
      <c r="A1758" s="2" t="s">
        <v>1647</v>
      </c>
      <c r="B1758" s="2" t="s">
        <v>1637</v>
      </c>
      <c r="C1758" s="2" t="s">
        <v>1644</v>
      </c>
      <c r="D1758" s="2" t="s">
        <v>1757</v>
      </c>
      <c r="E1758" s="5">
        <v>0.46</v>
      </c>
      <c r="F1758" s="7" t="s">
        <v>1758</v>
      </c>
      <c r="G1758" s="2" t="s">
        <v>1154</v>
      </c>
      <c r="H1758" s="2" t="s">
        <v>1759</v>
      </c>
      <c r="I1758" s="2" t="s">
        <v>2806</v>
      </c>
      <c r="J1758" s="2" t="s">
        <v>2807</v>
      </c>
      <c r="K1758" s="2" t="s">
        <v>2808</v>
      </c>
      <c r="L1758" s="2" t="s">
        <v>35</v>
      </c>
    </row>
    <row r="1759" spans="1:12" ht="43.5">
      <c r="A1759" s="2" t="s">
        <v>1647</v>
      </c>
      <c r="B1759" s="2" t="s">
        <v>1637</v>
      </c>
      <c r="C1759" s="2" t="s">
        <v>1644</v>
      </c>
      <c r="D1759" s="2" t="s">
        <v>254</v>
      </c>
      <c r="E1759" s="8">
        <v>0.125</v>
      </c>
      <c r="F1759" s="7" t="s">
        <v>1758</v>
      </c>
      <c r="G1759" s="2" t="s">
        <v>1154</v>
      </c>
      <c r="H1759" s="2" t="s">
        <v>1759</v>
      </c>
      <c r="I1759" s="2" t="s">
        <v>2806</v>
      </c>
      <c r="J1759" s="2" t="s">
        <v>2807</v>
      </c>
      <c r="K1759" s="2" t="s">
        <v>2808</v>
      </c>
      <c r="L1759" s="2" t="s">
        <v>35</v>
      </c>
    </row>
    <row r="1760" spans="1:12" ht="43.5">
      <c r="A1760" s="2" t="s">
        <v>1647</v>
      </c>
      <c r="B1760" s="2" t="s">
        <v>1637</v>
      </c>
      <c r="C1760" s="2" t="s">
        <v>1644</v>
      </c>
      <c r="D1760" s="2" t="s">
        <v>124</v>
      </c>
      <c r="E1760" s="6">
        <v>1</v>
      </c>
      <c r="F1760" s="7" t="s">
        <v>1763</v>
      </c>
      <c r="G1760" s="2" t="s">
        <v>1154</v>
      </c>
      <c r="H1760" s="2" t="s">
        <v>1759</v>
      </c>
      <c r="I1760" s="2" t="s">
        <v>2150</v>
      </c>
      <c r="J1760" s="2" t="s">
        <v>1777</v>
      </c>
      <c r="K1760" s="2" t="s">
        <v>2808</v>
      </c>
      <c r="L1760" s="2" t="s">
        <v>35</v>
      </c>
    </row>
    <row r="1761" spans="1:12" ht="72.5">
      <c r="A1761" s="2" t="s">
        <v>1647</v>
      </c>
      <c r="B1761" s="2" t="s">
        <v>1637</v>
      </c>
      <c r="C1761" s="2" t="s">
        <v>1644</v>
      </c>
      <c r="D1761" s="2" t="s">
        <v>65</v>
      </c>
      <c r="E1761" s="11">
        <v>0</v>
      </c>
      <c r="F1761" s="20" t="s">
        <v>1763</v>
      </c>
      <c r="G1761" s="21" t="s">
        <v>1154</v>
      </c>
      <c r="H1761" s="21" t="s">
        <v>1779</v>
      </c>
      <c r="I1761" s="2" t="s">
        <v>2809</v>
      </c>
      <c r="J1761" s="2" t="s">
        <v>2810</v>
      </c>
      <c r="K1761" s="2" t="s">
        <v>2811</v>
      </c>
      <c r="L1761" s="2" t="s">
        <v>35</v>
      </c>
    </row>
    <row r="1762" spans="1:12" ht="43.5">
      <c r="A1762" s="2" t="s">
        <v>1647</v>
      </c>
      <c r="B1762" s="2" t="s">
        <v>1637</v>
      </c>
      <c r="C1762" s="2" t="s">
        <v>1644</v>
      </c>
      <c r="D1762" s="2" t="s">
        <v>222</v>
      </c>
      <c r="E1762" s="7" t="s">
        <v>1645</v>
      </c>
      <c r="F1762" s="7" t="s">
        <v>1764</v>
      </c>
      <c r="G1762" s="2" t="s">
        <v>1154</v>
      </c>
      <c r="H1762" s="2" t="s">
        <v>1759</v>
      </c>
      <c r="I1762" s="2" t="s">
        <v>2806</v>
      </c>
      <c r="J1762" s="2" t="s">
        <v>2807</v>
      </c>
      <c r="K1762" s="2" t="s">
        <v>2808</v>
      </c>
      <c r="L1762" s="2" t="s">
        <v>35</v>
      </c>
    </row>
    <row r="1763" spans="1:12" ht="14.5">
      <c r="A1763" s="2" t="s">
        <v>1647</v>
      </c>
      <c r="B1763" s="2" t="s">
        <v>1637</v>
      </c>
      <c r="C1763" s="2" t="s">
        <v>1644</v>
      </c>
      <c r="D1763" s="2" t="s">
        <v>1765</v>
      </c>
      <c r="E1763" s="7" t="s">
        <v>117</v>
      </c>
      <c r="F1763" s="7" t="s">
        <v>1766</v>
      </c>
      <c r="G1763" s="2" t="s">
        <v>1154</v>
      </c>
      <c r="H1763" s="2" t="s">
        <v>1759</v>
      </c>
      <c r="I1763" s="2" t="s">
        <v>1767</v>
      </c>
      <c r="J1763" s="2"/>
      <c r="K1763" t="s">
        <v>2812</v>
      </c>
    </row>
    <row r="1764" spans="1:12" ht="14.5">
      <c r="A1764" s="2" t="s">
        <v>1651</v>
      </c>
      <c r="B1764" s="2" t="s">
        <v>1637</v>
      </c>
      <c r="C1764" s="2" t="s">
        <v>1649</v>
      </c>
      <c r="D1764" s="2" t="s">
        <v>1757</v>
      </c>
      <c r="E1764" s="5">
        <v>0.87</v>
      </c>
      <c r="F1764" s="7" t="s">
        <v>1758</v>
      </c>
      <c r="G1764" s="2" t="s">
        <v>316</v>
      </c>
      <c r="H1764" s="2" t="s">
        <v>1759</v>
      </c>
      <c r="I1764" s="2" t="s">
        <v>2813</v>
      </c>
      <c r="J1764" s="2" t="s">
        <v>2814</v>
      </c>
      <c r="K1764" s="2" t="s">
        <v>2815</v>
      </c>
      <c r="L1764" s="2" t="s">
        <v>45</v>
      </c>
    </row>
    <row r="1765" spans="1:12" ht="14.5">
      <c r="A1765" s="2" t="s">
        <v>1651</v>
      </c>
      <c r="B1765" s="2" t="s">
        <v>1637</v>
      </c>
      <c r="C1765" s="2" t="s">
        <v>1649</v>
      </c>
      <c r="D1765" s="2" t="s">
        <v>254</v>
      </c>
      <c r="E1765" s="5">
        <v>0.25</v>
      </c>
      <c r="F1765" s="7" t="s">
        <v>1758</v>
      </c>
      <c r="G1765" s="2" t="s">
        <v>316</v>
      </c>
      <c r="H1765" s="2" t="s">
        <v>1759</v>
      </c>
      <c r="I1765" s="2" t="s">
        <v>2813</v>
      </c>
      <c r="J1765" s="2" t="s">
        <v>2814</v>
      </c>
      <c r="K1765" s="2" t="s">
        <v>2815</v>
      </c>
      <c r="L1765" s="2" t="s">
        <v>45</v>
      </c>
    </row>
    <row r="1766" spans="1:12" ht="14.5">
      <c r="A1766" s="2" t="s">
        <v>1651</v>
      </c>
      <c r="B1766" s="2" t="s">
        <v>1637</v>
      </c>
      <c r="C1766" s="2" t="s">
        <v>1649</v>
      </c>
      <c r="D1766" s="2" t="s">
        <v>124</v>
      </c>
      <c r="E1766" s="7"/>
      <c r="F1766" s="7" t="s">
        <v>1763</v>
      </c>
      <c r="G1766" s="2" t="s">
        <v>316</v>
      </c>
      <c r="H1766" s="2" t="s">
        <v>1773</v>
      </c>
      <c r="I1766" s="2"/>
      <c r="J1766" s="2"/>
      <c r="K1766" s="2" t="s">
        <v>2815</v>
      </c>
      <c r="L1766" s="2" t="s">
        <v>45</v>
      </c>
    </row>
    <row r="1767" spans="1:12" ht="14.5">
      <c r="A1767" s="2" t="s">
        <v>1651</v>
      </c>
      <c r="B1767" s="2" t="s">
        <v>1637</v>
      </c>
      <c r="C1767" s="2" t="s">
        <v>1649</v>
      </c>
      <c r="D1767" s="2" t="s">
        <v>65</v>
      </c>
      <c r="E1767" s="7"/>
      <c r="F1767" s="7" t="s">
        <v>1763</v>
      </c>
      <c r="G1767" s="2" t="s">
        <v>316</v>
      </c>
      <c r="H1767" s="2" t="s">
        <v>1773</v>
      </c>
      <c r="I1767" s="2"/>
      <c r="J1767" s="2"/>
      <c r="K1767" s="2" t="s">
        <v>2815</v>
      </c>
      <c r="L1767" s="2" t="s">
        <v>45</v>
      </c>
    </row>
    <row r="1768" spans="1:12" ht="14.5">
      <c r="A1768" s="2" t="s">
        <v>1651</v>
      </c>
      <c r="B1768" s="2" t="s">
        <v>1637</v>
      </c>
      <c r="C1768" s="2" t="s">
        <v>1649</v>
      </c>
      <c r="D1768" s="2" t="s">
        <v>222</v>
      </c>
      <c r="E1768" s="4">
        <v>0.2</v>
      </c>
      <c r="F1768" s="7" t="s">
        <v>1764</v>
      </c>
      <c r="G1768" s="2" t="s">
        <v>316</v>
      </c>
      <c r="H1768" s="2" t="s">
        <v>1759</v>
      </c>
      <c r="I1768" s="2" t="s">
        <v>2813</v>
      </c>
      <c r="J1768" s="2" t="s">
        <v>2814</v>
      </c>
      <c r="K1768" s="2" t="s">
        <v>2815</v>
      </c>
      <c r="L1768" s="2" t="s">
        <v>45</v>
      </c>
    </row>
    <row r="1769" spans="1:12" ht="14.5">
      <c r="A1769" s="2" t="s">
        <v>1651</v>
      </c>
      <c r="B1769" s="2" t="s">
        <v>1637</v>
      </c>
      <c r="C1769" s="2" t="s">
        <v>1649</v>
      </c>
      <c r="D1769" s="2" t="s">
        <v>1765</v>
      </c>
      <c r="E1769" s="4" t="s">
        <v>883</v>
      </c>
      <c r="F1769" s="7" t="s">
        <v>1766</v>
      </c>
      <c r="G1769" s="2" t="s">
        <v>316</v>
      </c>
      <c r="H1769" s="2" t="s">
        <v>1759</v>
      </c>
      <c r="I1769" s="2" t="s">
        <v>1767</v>
      </c>
      <c r="J1769" s="2"/>
      <c r="K1769" t="s">
        <v>2816</v>
      </c>
    </row>
    <row r="1770" spans="1:12" ht="29">
      <c r="A1770" s="2" t="s">
        <v>1657</v>
      </c>
      <c r="B1770" s="2" t="s">
        <v>1653</v>
      </c>
      <c r="C1770" s="2" t="s">
        <v>1654</v>
      </c>
      <c r="D1770" s="2" t="s">
        <v>1757</v>
      </c>
      <c r="E1770" s="5">
        <v>0.23</v>
      </c>
      <c r="F1770" s="7" t="s">
        <v>1758</v>
      </c>
      <c r="G1770" s="2" t="s">
        <v>920</v>
      </c>
      <c r="H1770" s="2" t="s">
        <v>1759</v>
      </c>
      <c r="I1770" s="2" t="s">
        <v>2817</v>
      </c>
      <c r="J1770" s="2" t="s">
        <v>2818</v>
      </c>
      <c r="K1770" s="2" t="s">
        <v>2819</v>
      </c>
      <c r="L1770" s="2" t="s">
        <v>190</v>
      </c>
    </row>
    <row r="1771" spans="1:12" ht="29">
      <c r="A1771" s="2" t="s">
        <v>1657</v>
      </c>
      <c r="B1771" s="2" t="s">
        <v>1653</v>
      </c>
      <c r="C1771" s="2" t="s">
        <v>1654</v>
      </c>
      <c r="D1771" s="2" t="s">
        <v>254</v>
      </c>
      <c r="E1771" s="5">
        <v>0.06</v>
      </c>
      <c r="F1771" s="7" t="s">
        <v>1758</v>
      </c>
      <c r="G1771" s="2" t="s">
        <v>920</v>
      </c>
      <c r="H1771" s="2" t="s">
        <v>1759</v>
      </c>
      <c r="I1771" s="2" t="s">
        <v>2817</v>
      </c>
      <c r="J1771" s="2" t="s">
        <v>2818</v>
      </c>
      <c r="K1771" s="2" t="s">
        <v>2819</v>
      </c>
      <c r="L1771" s="2" t="s">
        <v>190</v>
      </c>
    </row>
    <row r="1772" spans="1:12" ht="29">
      <c r="A1772" s="2" t="s">
        <v>1657</v>
      </c>
      <c r="B1772" s="2" t="s">
        <v>1653</v>
      </c>
      <c r="C1772" s="2" t="s">
        <v>1654</v>
      </c>
      <c r="D1772" s="2" t="s">
        <v>124</v>
      </c>
      <c r="E1772" s="6">
        <v>1</v>
      </c>
      <c r="F1772" s="7" t="s">
        <v>1763</v>
      </c>
      <c r="G1772" s="2" t="s">
        <v>920</v>
      </c>
      <c r="H1772" s="2" t="s">
        <v>1759</v>
      </c>
      <c r="I1772" s="2" t="s">
        <v>2150</v>
      </c>
      <c r="J1772" s="2" t="s">
        <v>1777</v>
      </c>
      <c r="K1772" s="2" t="s">
        <v>2819</v>
      </c>
      <c r="L1772" s="2" t="s">
        <v>190</v>
      </c>
    </row>
    <row r="1773" spans="1:12" ht="43.5">
      <c r="A1773" s="2" t="s">
        <v>1657</v>
      </c>
      <c r="B1773" s="2" t="s">
        <v>1653</v>
      </c>
      <c r="C1773" s="2" t="s">
        <v>1654</v>
      </c>
      <c r="D1773" s="2" t="s">
        <v>65</v>
      </c>
      <c r="E1773" s="11">
        <v>0</v>
      </c>
      <c r="F1773" s="20" t="s">
        <v>1763</v>
      </c>
      <c r="G1773" s="21" t="s">
        <v>920</v>
      </c>
      <c r="H1773" s="21" t="s">
        <v>1779</v>
      </c>
      <c r="I1773" s="2" t="s">
        <v>2820</v>
      </c>
      <c r="J1773" s="2" t="s">
        <v>2821</v>
      </c>
      <c r="K1773" s="2" t="s">
        <v>2822</v>
      </c>
      <c r="L1773" s="2" t="s">
        <v>190</v>
      </c>
    </row>
    <row r="1774" spans="1:12" ht="29">
      <c r="A1774" s="2" t="s">
        <v>1657</v>
      </c>
      <c r="B1774" s="2" t="s">
        <v>1653</v>
      </c>
      <c r="C1774" s="2" t="s">
        <v>1654</v>
      </c>
      <c r="D1774" s="2" t="s">
        <v>222</v>
      </c>
      <c r="E1774" s="7" t="s">
        <v>1655</v>
      </c>
      <c r="F1774" s="7" t="s">
        <v>1764</v>
      </c>
      <c r="G1774" s="2" t="s">
        <v>920</v>
      </c>
      <c r="H1774" s="2" t="s">
        <v>1759</v>
      </c>
      <c r="I1774" s="2" t="s">
        <v>2817</v>
      </c>
      <c r="J1774" s="2" t="s">
        <v>2818</v>
      </c>
      <c r="K1774" s="2" t="s">
        <v>2819</v>
      </c>
      <c r="L1774" s="2" t="s">
        <v>190</v>
      </c>
    </row>
    <row r="1775" spans="1:12" ht="14.5">
      <c r="A1775" s="2" t="s">
        <v>1657</v>
      </c>
      <c r="B1775" s="2" t="s">
        <v>1653</v>
      </c>
      <c r="C1775" s="2" t="s">
        <v>1654</v>
      </c>
      <c r="D1775" s="2" t="s">
        <v>1765</v>
      </c>
      <c r="E1775" s="7" t="s">
        <v>293</v>
      </c>
      <c r="F1775" s="7" t="s">
        <v>1766</v>
      </c>
      <c r="G1775" s="2" t="s">
        <v>920</v>
      </c>
      <c r="H1775" s="2" t="s">
        <v>1759</v>
      </c>
      <c r="I1775" s="2" t="s">
        <v>1767</v>
      </c>
      <c r="J1775" s="2"/>
      <c r="K1775" t="s">
        <v>2823</v>
      </c>
    </row>
    <row r="1776" spans="1:12" ht="14.5">
      <c r="A1776" s="2" t="s">
        <v>1662</v>
      </c>
      <c r="B1776" s="2" t="s">
        <v>1653</v>
      </c>
      <c r="C1776" s="2" t="s">
        <v>1660</v>
      </c>
      <c r="D1776" s="2" t="s">
        <v>1757</v>
      </c>
      <c r="E1776" s="5">
        <v>0.41</v>
      </c>
      <c r="F1776" s="7" t="s">
        <v>1758</v>
      </c>
      <c r="G1776" s="2" t="s">
        <v>29</v>
      </c>
      <c r="H1776" s="2" t="s">
        <v>1759</v>
      </c>
      <c r="I1776" s="2" t="s">
        <v>2824</v>
      </c>
      <c r="J1776" s="2" t="s">
        <v>2825</v>
      </c>
      <c r="K1776" s="2" t="s">
        <v>2826</v>
      </c>
      <c r="L1776" s="2" t="s">
        <v>190</v>
      </c>
    </row>
    <row r="1777" spans="1:12" ht="14.5">
      <c r="A1777" s="2" t="s">
        <v>1662</v>
      </c>
      <c r="B1777" s="2" t="s">
        <v>1653</v>
      </c>
      <c r="C1777" s="2" t="s">
        <v>1660</v>
      </c>
      <c r="D1777" s="2" t="s">
        <v>254</v>
      </c>
      <c r="E1777" s="8">
        <v>0.185</v>
      </c>
      <c r="F1777" s="7" t="s">
        <v>1758</v>
      </c>
      <c r="G1777" s="2" t="s">
        <v>29</v>
      </c>
      <c r="H1777" s="2" t="s">
        <v>1759</v>
      </c>
      <c r="I1777" s="2" t="s">
        <v>2824</v>
      </c>
      <c r="J1777" s="2" t="s">
        <v>2825</v>
      </c>
      <c r="K1777" s="2" t="s">
        <v>2826</v>
      </c>
      <c r="L1777" s="2" t="s">
        <v>190</v>
      </c>
    </row>
    <row r="1778" spans="1:12" ht="14.5">
      <c r="A1778" s="2" t="s">
        <v>1662</v>
      </c>
      <c r="B1778" s="2" t="s">
        <v>1653</v>
      </c>
      <c r="C1778" s="2" t="s">
        <v>1660</v>
      </c>
      <c r="D1778" s="2" t="s">
        <v>124</v>
      </c>
      <c r="E1778" s="7"/>
      <c r="F1778" s="7" t="s">
        <v>1763</v>
      </c>
      <c r="G1778" s="2" t="s">
        <v>29</v>
      </c>
      <c r="H1778" s="2" t="s">
        <v>1773</v>
      </c>
      <c r="I1778" s="2"/>
      <c r="J1778" s="2"/>
      <c r="K1778" s="2" t="s">
        <v>2826</v>
      </c>
      <c r="L1778" s="2" t="s">
        <v>190</v>
      </c>
    </row>
    <row r="1779" spans="1:12" ht="14.5">
      <c r="A1779" s="2" t="s">
        <v>1662</v>
      </c>
      <c r="B1779" s="2" t="s">
        <v>1653</v>
      </c>
      <c r="C1779" s="2" t="s">
        <v>1660</v>
      </c>
      <c r="D1779" s="2" t="s">
        <v>65</v>
      </c>
      <c r="E1779" s="7"/>
      <c r="F1779" s="7" t="s">
        <v>1763</v>
      </c>
      <c r="G1779" s="2" t="s">
        <v>29</v>
      </c>
      <c r="H1779" s="2" t="s">
        <v>1773</v>
      </c>
      <c r="I1779" s="2"/>
      <c r="J1779" s="2"/>
      <c r="K1779" s="2" t="s">
        <v>2826</v>
      </c>
      <c r="L1779" s="2" t="s">
        <v>190</v>
      </c>
    </row>
    <row r="1780" spans="1:12" ht="14.5">
      <c r="A1780" s="2" t="s">
        <v>1662</v>
      </c>
      <c r="B1780" s="2" t="s">
        <v>1653</v>
      </c>
      <c r="C1780" s="2" t="s">
        <v>1660</v>
      </c>
      <c r="D1780" s="2" t="s">
        <v>222</v>
      </c>
      <c r="E1780" s="8">
        <v>0.27700000000000002</v>
      </c>
      <c r="F1780" s="7" t="s">
        <v>1764</v>
      </c>
      <c r="G1780" s="2" t="s">
        <v>29</v>
      </c>
      <c r="H1780" s="2" t="s">
        <v>1759</v>
      </c>
      <c r="I1780" s="2" t="s">
        <v>2824</v>
      </c>
      <c r="J1780" s="2" t="s">
        <v>2825</v>
      </c>
      <c r="K1780" s="2" t="s">
        <v>2826</v>
      </c>
      <c r="L1780" s="2" t="s">
        <v>190</v>
      </c>
    </row>
    <row r="1781" spans="1:12" ht="14.5">
      <c r="A1781" s="2" t="s">
        <v>1662</v>
      </c>
      <c r="B1781" s="2" t="s">
        <v>1653</v>
      </c>
      <c r="C1781" s="2" t="s">
        <v>1660</v>
      </c>
      <c r="D1781" s="2" t="s">
        <v>1765</v>
      </c>
      <c r="E1781" s="8" t="s">
        <v>455</v>
      </c>
      <c r="F1781" s="7" t="s">
        <v>1766</v>
      </c>
      <c r="G1781" s="2" t="s">
        <v>29</v>
      </c>
      <c r="H1781" s="2" t="s">
        <v>1759</v>
      </c>
      <c r="I1781" s="2" t="s">
        <v>1767</v>
      </c>
      <c r="J1781" s="2"/>
      <c r="K1781" t="s">
        <v>2827</v>
      </c>
    </row>
    <row r="1782" spans="1:12" ht="14.5">
      <c r="A1782" s="2" t="s">
        <v>1667</v>
      </c>
      <c r="B1782" s="2" t="s">
        <v>1653</v>
      </c>
      <c r="C1782" s="2" t="s">
        <v>1664</v>
      </c>
      <c r="D1782" s="2" t="s">
        <v>1757</v>
      </c>
      <c r="E1782" s="7"/>
      <c r="F1782" s="7" t="s">
        <v>1758</v>
      </c>
      <c r="G1782" s="2" t="s">
        <v>49</v>
      </c>
      <c r="H1782" s="2" t="s">
        <v>1773</v>
      </c>
      <c r="I1782" s="2"/>
      <c r="J1782" s="2"/>
      <c r="K1782" s="2"/>
      <c r="L1782" s="2" t="s">
        <v>190</v>
      </c>
    </row>
    <row r="1783" spans="1:12" ht="14.5">
      <c r="A1783" s="2" t="s">
        <v>1667</v>
      </c>
      <c r="B1783" s="2" t="s">
        <v>1653</v>
      </c>
      <c r="C1783" s="2" t="s">
        <v>1664</v>
      </c>
      <c r="D1783" s="2" t="s">
        <v>254</v>
      </c>
      <c r="E1783" s="7"/>
      <c r="F1783" s="7" t="s">
        <v>1758</v>
      </c>
      <c r="G1783" s="2" t="s">
        <v>49</v>
      </c>
      <c r="H1783" s="2" t="s">
        <v>1773</v>
      </c>
      <c r="I1783" s="2"/>
      <c r="J1783" s="2"/>
      <c r="K1783" s="2"/>
      <c r="L1783" s="2" t="s">
        <v>190</v>
      </c>
    </row>
    <row r="1784" spans="1:12" ht="14.5">
      <c r="A1784" s="2" t="s">
        <v>1667</v>
      </c>
      <c r="B1784" s="2" t="s">
        <v>1653</v>
      </c>
      <c r="C1784" s="2" t="s">
        <v>1664</v>
      </c>
      <c r="D1784" s="2" t="s">
        <v>124</v>
      </c>
      <c r="E1784" s="7"/>
      <c r="F1784" s="7" t="s">
        <v>1763</v>
      </c>
      <c r="G1784" s="2" t="s">
        <v>49</v>
      </c>
      <c r="H1784" s="2" t="s">
        <v>1773</v>
      </c>
      <c r="I1784" s="2"/>
      <c r="J1784" s="2"/>
      <c r="K1784" s="2"/>
      <c r="L1784" s="2" t="s">
        <v>190</v>
      </c>
    </row>
    <row r="1785" spans="1:12" ht="14.5">
      <c r="A1785" s="2" t="s">
        <v>1667</v>
      </c>
      <c r="B1785" s="2" t="s">
        <v>1653</v>
      </c>
      <c r="C1785" s="2" t="s">
        <v>1664</v>
      </c>
      <c r="D1785" s="2" t="s">
        <v>65</v>
      </c>
      <c r="E1785" s="7"/>
      <c r="F1785" s="7" t="s">
        <v>1763</v>
      </c>
      <c r="G1785" s="2" t="s">
        <v>49</v>
      </c>
      <c r="H1785" s="2" t="s">
        <v>1773</v>
      </c>
      <c r="I1785" s="2"/>
      <c r="J1785" s="2"/>
      <c r="K1785" s="2"/>
      <c r="L1785" s="2" t="s">
        <v>190</v>
      </c>
    </row>
    <row r="1786" spans="1:12" ht="14.5">
      <c r="A1786" s="2" t="s">
        <v>1667</v>
      </c>
      <c r="B1786" s="2" t="s">
        <v>1653</v>
      </c>
      <c r="C1786" s="2" t="s">
        <v>1664</v>
      </c>
      <c r="D1786" s="2" t="s">
        <v>222</v>
      </c>
      <c r="E1786" s="7"/>
      <c r="F1786" s="7" t="s">
        <v>1764</v>
      </c>
      <c r="G1786" s="2" t="s">
        <v>49</v>
      </c>
      <c r="H1786" s="2" t="s">
        <v>1773</v>
      </c>
      <c r="I1786" s="2"/>
      <c r="J1786" s="2"/>
      <c r="K1786" s="2"/>
      <c r="L1786" s="2" t="s">
        <v>190</v>
      </c>
    </row>
    <row r="1787" spans="1:12" ht="14.5">
      <c r="A1787" s="2" t="s">
        <v>1667</v>
      </c>
      <c r="B1787" s="2" t="s">
        <v>1653</v>
      </c>
      <c r="C1787" s="2" t="s">
        <v>1664</v>
      </c>
      <c r="D1787" s="2" t="s">
        <v>1765</v>
      </c>
      <c r="E1787" s="7" t="s">
        <v>293</v>
      </c>
      <c r="F1787" s="7" t="s">
        <v>1766</v>
      </c>
      <c r="G1787" s="2" t="s">
        <v>49</v>
      </c>
      <c r="H1787" s="2" t="s">
        <v>1759</v>
      </c>
      <c r="I1787" s="2" t="s">
        <v>1767</v>
      </c>
      <c r="J1787" s="2"/>
      <c r="K1787" t="s">
        <v>2828</v>
      </c>
    </row>
    <row r="1788" spans="1:12" ht="29">
      <c r="A1788" s="2" t="s">
        <v>1675</v>
      </c>
      <c r="B1788" s="2" t="s">
        <v>1653</v>
      </c>
      <c r="C1788" s="2" t="s">
        <v>1670</v>
      </c>
      <c r="D1788" s="2" t="s">
        <v>1757</v>
      </c>
      <c r="E1788" s="4">
        <v>0.4</v>
      </c>
      <c r="F1788" s="7" t="s">
        <v>1758</v>
      </c>
      <c r="G1788" s="2" t="s">
        <v>29</v>
      </c>
      <c r="H1788" s="2" t="s">
        <v>1759</v>
      </c>
      <c r="I1788" s="2" t="s">
        <v>2829</v>
      </c>
      <c r="J1788" s="2" t="s">
        <v>2830</v>
      </c>
      <c r="K1788" s="2" t="s">
        <v>2831</v>
      </c>
      <c r="L1788" s="2" t="s">
        <v>45</v>
      </c>
    </row>
    <row r="1789" spans="1:12" ht="29">
      <c r="A1789" s="2" t="s">
        <v>1675</v>
      </c>
      <c r="B1789" s="2" t="s">
        <v>1653</v>
      </c>
      <c r="C1789" s="2" t="s">
        <v>1670</v>
      </c>
      <c r="D1789" s="2" t="s">
        <v>254</v>
      </c>
      <c r="E1789" s="5">
        <v>0.15</v>
      </c>
      <c r="F1789" s="7" t="s">
        <v>1758</v>
      </c>
      <c r="G1789" s="2" t="s">
        <v>29</v>
      </c>
      <c r="H1789" s="2" t="s">
        <v>1759</v>
      </c>
      <c r="I1789" s="2" t="s">
        <v>2829</v>
      </c>
      <c r="J1789" s="2" t="s">
        <v>2830</v>
      </c>
      <c r="K1789" s="2" t="s">
        <v>2831</v>
      </c>
      <c r="L1789" s="2" t="s">
        <v>45</v>
      </c>
    </row>
    <row r="1790" spans="1:12" ht="29">
      <c r="A1790" s="2" t="s">
        <v>1675</v>
      </c>
      <c r="B1790" s="2" t="s">
        <v>1653</v>
      </c>
      <c r="C1790" s="2" t="s">
        <v>1670</v>
      </c>
      <c r="D1790" s="2" t="s">
        <v>124</v>
      </c>
      <c r="E1790" s="7"/>
      <c r="F1790" s="7" t="s">
        <v>1763</v>
      </c>
      <c r="G1790" s="2" t="s">
        <v>29</v>
      </c>
      <c r="H1790" s="2" t="s">
        <v>1773</v>
      </c>
      <c r="I1790" s="2"/>
      <c r="J1790" s="2"/>
      <c r="K1790" s="2" t="s">
        <v>2831</v>
      </c>
      <c r="L1790" s="2" t="s">
        <v>45</v>
      </c>
    </row>
    <row r="1791" spans="1:12" ht="29">
      <c r="A1791" s="2" t="s">
        <v>1675</v>
      </c>
      <c r="B1791" s="2" t="s">
        <v>1653</v>
      </c>
      <c r="C1791" s="2" t="s">
        <v>1670</v>
      </c>
      <c r="D1791" s="2" t="s">
        <v>65</v>
      </c>
      <c r="E1791" s="7"/>
      <c r="F1791" s="7" t="s">
        <v>1763</v>
      </c>
      <c r="G1791" s="2" t="s">
        <v>29</v>
      </c>
      <c r="H1791" s="2" t="s">
        <v>1773</v>
      </c>
      <c r="I1791" s="2"/>
      <c r="J1791" s="2"/>
      <c r="K1791" s="2" t="s">
        <v>2831</v>
      </c>
      <c r="L1791" s="2" t="s">
        <v>45</v>
      </c>
    </row>
    <row r="1792" spans="1:12" ht="29">
      <c r="A1792" s="2" t="s">
        <v>1675</v>
      </c>
      <c r="B1792" s="2" t="s">
        <v>1653</v>
      </c>
      <c r="C1792" s="2" t="s">
        <v>1670</v>
      </c>
      <c r="D1792" s="2" t="s">
        <v>222</v>
      </c>
      <c r="E1792" s="7" t="s">
        <v>1671</v>
      </c>
      <c r="F1792" s="7" t="s">
        <v>1764</v>
      </c>
      <c r="G1792" s="2" t="s">
        <v>29</v>
      </c>
      <c r="H1792" s="2" t="s">
        <v>1759</v>
      </c>
      <c r="I1792" s="2" t="s">
        <v>2829</v>
      </c>
      <c r="J1792" s="2" t="s">
        <v>2830</v>
      </c>
      <c r="K1792" s="2" t="s">
        <v>2831</v>
      </c>
      <c r="L1792" s="2" t="s">
        <v>45</v>
      </c>
    </row>
    <row r="1793" spans="1:12" ht="14.5">
      <c r="A1793" s="2" t="s">
        <v>1675</v>
      </c>
      <c r="B1793" s="2" t="s">
        <v>1653</v>
      </c>
      <c r="C1793" s="2" t="s">
        <v>1670</v>
      </c>
      <c r="D1793" s="2" t="s">
        <v>1765</v>
      </c>
      <c r="E1793" s="7" t="s">
        <v>1672</v>
      </c>
      <c r="F1793" s="7" t="s">
        <v>1766</v>
      </c>
      <c r="G1793" s="2" t="s">
        <v>29</v>
      </c>
      <c r="H1793" s="2" t="s">
        <v>1759</v>
      </c>
      <c r="I1793" s="2" t="s">
        <v>1767</v>
      </c>
      <c r="J1793" s="2"/>
      <c r="K1793" t="s">
        <v>2832</v>
      </c>
    </row>
    <row r="1794" spans="1:12" ht="29">
      <c r="A1794" s="2" t="s">
        <v>1685</v>
      </c>
      <c r="B1794" s="2" t="s">
        <v>1678</v>
      </c>
      <c r="C1794" s="2" t="s">
        <v>1679</v>
      </c>
      <c r="D1794" s="2" t="s">
        <v>1757</v>
      </c>
      <c r="E1794" s="4">
        <v>0.3</v>
      </c>
      <c r="F1794" s="7" t="s">
        <v>1758</v>
      </c>
      <c r="G1794" s="2" t="s">
        <v>1682</v>
      </c>
      <c r="H1794" s="2" t="s">
        <v>1759</v>
      </c>
      <c r="I1794" s="2" t="s">
        <v>2833</v>
      </c>
      <c r="J1794" s="2" t="s">
        <v>2834</v>
      </c>
      <c r="K1794" s="2" t="s">
        <v>2835</v>
      </c>
      <c r="L1794" s="2" t="s">
        <v>35</v>
      </c>
    </row>
    <row r="1795" spans="1:12" ht="43.5">
      <c r="A1795" s="2" t="s">
        <v>1685</v>
      </c>
      <c r="B1795" s="2" t="s">
        <v>1678</v>
      </c>
      <c r="C1795" s="2" t="s">
        <v>1679</v>
      </c>
      <c r="D1795" s="2" t="s">
        <v>254</v>
      </c>
      <c r="E1795" s="13">
        <v>0.2</v>
      </c>
      <c r="F1795" s="20" t="s">
        <v>1758</v>
      </c>
      <c r="G1795" s="21" t="s">
        <v>1682</v>
      </c>
      <c r="H1795" s="21" t="s">
        <v>1779</v>
      </c>
      <c r="I1795" s="2" t="s">
        <v>2836</v>
      </c>
      <c r="J1795" s="2" t="s">
        <v>2834</v>
      </c>
      <c r="K1795" s="2" t="s">
        <v>2837</v>
      </c>
      <c r="L1795" s="2" t="s">
        <v>35</v>
      </c>
    </row>
    <row r="1796" spans="1:12" ht="29">
      <c r="A1796" s="2" t="s">
        <v>1685</v>
      </c>
      <c r="B1796" s="2" t="s">
        <v>1678</v>
      </c>
      <c r="C1796" s="2" t="s">
        <v>1679</v>
      </c>
      <c r="D1796" s="2" t="s">
        <v>124</v>
      </c>
      <c r="E1796" s="7" t="s">
        <v>1680</v>
      </c>
      <c r="F1796" s="7" t="s">
        <v>1763</v>
      </c>
      <c r="G1796" s="2" t="s">
        <v>1682</v>
      </c>
      <c r="H1796" s="2" t="s">
        <v>1759</v>
      </c>
      <c r="I1796" s="2" t="s">
        <v>2833</v>
      </c>
      <c r="J1796" s="2" t="s">
        <v>2834</v>
      </c>
      <c r="K1796" s="2" t="s">
        <v>2835</v>
      </c>
      <c r="L1796" s="2" t="s">
        <v>35</v>
      </c>
    </row>
    <row r="1797" spans="1:12" ht="29">
      <c r="A1797" s="2" t="s">
        <v>1685</v>
      </c>
      <c r="B1797" s="2" t="s">
        <v>1678</v>
      </c>
      <c r="C1797" s="2" t="s">
        <v>1679</v>
      </c>
      <c r="D1797" s="2" t="s">
        <v>65</v>
      </c>
      <c r="E1797" s="4">
        <v>0.3</v>
      </c>
      <c r="F1797" s="7" t="s">
        <v>1763</v>
      </c>
      <c r="G1797" s="2" t="s">
        <v>1682</v>
      </c>
      <c r="H1797" s="2" t="s">
        <v>1759</v>
      </c>
      <c r="I1797" s="2" t="s">
        <v>2833</v>
      </c>
      <c r="J1797" s="2" t="s">
        <v>2834</v>
      </c>
      <c r="K1797" s="2" t="s">
        <v>2835</v>
      </c>
      <c r="L1797" s="2" t="s">
        <v>35</v>
      </c>
    </row>
    <row r="1798" spans="1:12" ht="29">
      <c r="A1798" s="2" t="s">
        <v>1685</v>
      </c>
      <c r="B1798" s="2" t="s">
        <v>1678</v>
      </c>
      <c r="C1798" s="2" t="s">
        <v>1679</v>
      </c>
      <c r="D1798" s="2" t="s">
        <v>222</v>
      </c>
      <c r="E1798" s="5">
        <v>0.22</v>
      </c>
      <c r="F1798" s="7" t="s">
        <v>1764</v>
      </c>
      <c r="G1798" s="2" t="s">
        <v>1682</v>
      </c>
      <c r="H1798" s="2" t="s">
        <v>1759</v>
      </c>
      <c r="I1798" s="2" t="s">
        <v>2833</v>
      </c>
      <c r="J1798" s="2" t="s">
        <v>2834</v>
      </c>
      <c r="K1798" s="2" t="s">
        <v>2835</v>
      </c>
      <c r="L1798" s="2" t="s">
        <v>35</v>
      </c>
    </row>
    <row r="1799" spans="1:12" ht="14.5">
      <c r="A1799" s="2" t="s">
        <v>1685</v>
      </c>
      <c r="B1799" s="2" t="s">
        <v>1678</v>
      </c>
      <c r="C1799" s="2" t="s">
        <v>1679</v>
      </c>
      <c r="D1799" s="2" t="s">
        <v>1765</v>
      </c>
      <c r="E1799" s="5" t="s">
        <v>1681</v>
      </c>
      <c r="F1799" s="7" t="s">
        <v>1766</v>
      </c>
      <c r="G1799" s="2" t="s">
        <v>1682</v>
      </c>
      <c r="H1799" s="2" t="s">
        <v>1759</v>
      </c>
      <c r="I1799" s="2" t="s">
        <v>1767</v>
      </c>
      <c r="J1799" s="2"/>
      <c r="K1799" t="s">
        <v>1795</v>
      </c>
    </row>
    <row r="1800" spans="1:12" ht="43.5">
      <c r="A1800" s="2" t="s">
        <v>1690</v>
      </c>
      <c r="B1800" s="2" t="s">
        <v>1678</v>
      </c>
      <c r="C1800" s="2" t="s">
        <v>1688</v>
      </c>
      <c r="D1800" s="2" t="s">
        <v>1757</v>
      </c>
      <c r="E1800" s="4">
        <v>0.3</v>
      </c>
      <c r="F1800" s="7" t="s">
        <v>1758</v>
      </c>
      <c r="G1800" s="2" t="s">
        <v>1275</v>
      </c>
      <c r="H1800" s="2" t="s">
        <v>1759</v>
      </c>
      <c r="I1800" s="2" t="s">
        <v>2838</v>
      </c>
      <c r="J1800" s="2" t="s">
        <v>1855</v>
      </c>
      <c r="K1800" s="2" t="s">
        <v>2839</v>
      </c>
      <c r="L1800" s="2" t="s">
        <v>45</v>
      </c>
    </row>
    <row r="1801" spans="1:12" ht="43.5">
      <c r="A1801" s="2" t="s">
        <v>1690</v>
      </c>
      <c r="B1801" s="2" t="s">
        <v>1678</v>
      </c>
      <c r="C1801" s="2" t="s">
        <v>1688</v>
      </c>
      <c r="D1801" s="2" t="s">
        <v>254</v>
      </c>
      <c r="E1801" s="5">
        <v>0.06</v>
      </c>
      <c r="F1801" s="7" t="s">
        <v>1758</v>
      </c>
      <c r="G1801" s="2" t="s">
        <v>1275</v>
      </c>
      <c r="H1801" s="2" t="s">
        <v>1759</v>
      </c>
      <c r="I1801" s="2" t="s">
        <v>2838</v>
      </c>
      <c r="J1801" s="2" t="s">
        <v>1855</v>
      </c>
      <c r="K1801" s="2" t="s">
        <v>2839</v>
      </c>
      <c r="L1801" s="2" t="s">
        <v>45</v>
      </c>
    </row>
    <row r="1802" spans="1:12" ht="43.5">
      <c r="A1802" s="2" t="s">
        <v>1690</v>
      </c>
      <c r="B1802" s="2" t="s">
        <v>1678</v>
      </c>
      <c r="C1802" s="2" t="s">
        <v>1688</v>
      </c>
      <c r="D1802" s="2" t="s">
        <v>124</v>
      </c>
      <c r="E1802" s="6">
        <v>1</v>
      </c>
      <c r="F1802" s="7" t="s">
        <v>1763</v>
      </c>
      <c r="G1802" s="2" t="s">
        <v>1275</v>
      </c>
      <c r="H1802" s="2" t="s">
        <v>1759</v>
      </c>
      <c r="I1802" s="2" t="s">
        <v>2150</v>
      </c>
      <c r="J1802" s="2" t="s">
        <v>1777</v>
      </c>
      <c r="K1802" s="2" t="s">
        <v>2839</v>
      </c>
      <c r="L1802" s="2" t="s">
        <v>45</v>
      </c>
    </row>
    <row r="1803" spans="1:12" ht="72.5">
      <c r="A1803" s="2" t="s">
        <v>1690</v>
      </c>
      <c r="B1803" s="2" t="s">
        <v>1678</v>
      </c>
      <c r="C1803" s="2" t="s">
        <v>1688</v>
      </c>
      <c r="D1803" s="2" t="s">
        <v>65</v>
      </c>
      <c r="E1803" s="11">
        <v>0</v>
      </c>
      <c r="F1803" s="20" t="s">
        <v>1763</v>
      </c>
      <c r="G1803" s="21" t="s">
        <v>1275</v>
      </c>
      <c r="H1803" s="21" t="s">
        <v>1779</v>
      </c>
      <c r="I1803" s="2" t="s">
        <v>2840</v>
      </c>
      <c r="J1803" s="2" t="s">
        <v>1855</v>
      </c>
      <c r="K1803" s="2" t="s">
        <v>2841</v>
      </c>
      <c r="L1803" s="2" t="s">
        <v>45</v>
      </c>
    </row>
    <row r="1804" spans="1:12" ht="43.5">
      <c r="A1804" s="2" t="s">
        <v>1690</v>
      </c>
      <c r="B1804" s="2" t="s">
        <v>1678</v>
      </c>
      <c r="C1804" s="2" t="s">
        <v>1688</v>
      </c>
      <c r="D1804" s="2" t="s">
        <v>222</v>
      </c>
      <c r="E1804" s="5">
        <v>0.01</v>
      </c>
      <c r="F1804" s="7" t="s">
        <v>1764</v>
      </c>
      <c r="G1804" s="2" t="s">
        <v>1275</v>
      </c>
      <c r="H1804" s="2" t="s">
        <v>1759</v>
      </c>
      <c r="I1804" s="2" t="s">
        <v>2838</v>
      </c>
      <c r="J1804" s="2" t="s">
        <v>1855</v>
      </c>
      <c r="K1804" s="2" t="s">
        <v>2839</v>
      </c>
      <c r="L1804" s="2" t="s">
        <v>45</v>
      </c>
    </row>
    <row r="1805" spans="1:12" ht="14.5">
      <c r="A1805" s="2" t="s">
        <v>1690</v>
      </c>
      <c r="B1805" s="2" t="s">
        <v>1678</v>
      </c>
      <c r="C1805" s="2" t="s">
        <v>1688</v>
      </c>
      <c r="D1805" s="2" t="s">
        <v>1765</v>
      </c>
      <c r="E1805" s="5" t="s">
        <v>117</v>
      </c>
      <c r="F1805" s="7" t="s">
        <v>1766</v>
      </c>
      <c r="G1805" s="2" t="s">
        <v>1275</v>
      </c>
      <c r="H1805" s="2" t="s">
        <v>1759</v>
      </c>
      <c r="I1805" s="2" t="s">
        <v>1767</v>
      </c>
      <c r="J1805" s="2"/>
      <c r="K1805" t="s">
        <v>1795</v>
      </c>
    </row>
    <row r="1806" spans="1:12" ht="29">
      <c r="A1806" s="2" t="s">
        <v>1697</v>
      </c>
      <c r="B1806" s="2" t="s">
        <v>1678</v>
      </c>
      <c r="C1806" s="2" t="s">
        <v>1694</v>
      </c>
      <c r="D1806" s="2" t="s">
        <v>1757</v>
      </c>
      <c r="E1806" s="4">
        <v>0.3</v>
      </c>
      <c r="F1806" s="7" t="s">
        <v>1758</v>
      </c>
      <c r="G1806" s="2" t="s">
        <v>316</v>
      </c>
      <c r="H1806" s="2" t="s">
        <v>1759</v>
      </c>
      <c r="I1806" s="2" t="s">
        <v>2842</v>
      </c>
      <c r="J1806" s="2" t="s">
        <v>2843</v>
      </c>
      <c r="K1806" s="2" t="s">
        <v>2844</v>
      </c>
      <c r="L1806" s="2" t="s">
        <v>45</v>
      </c>
    </row>
    <row r="1807" spans="1:12" ht="29">
      <c r="A1807" s="2" t="s">
        <v>1697</v>
      </c>
      <c r="B1807" s="2" t="s">
        <v>1678</v>
      </c>
      <c r="C1807" s="2" t="s">
        <v>1694</v>
      </c>
      <c r="D1807" s="2" t="s">
        <v>254</v>
      </c>
      <c r="E1807" s="5">
        <v>0.08</v>
      </c>
      <c r="F1807" s="7" t="s">
        <v>1758</v>
      </c>
      <c r="G1807" s="2" t="s">
        <v>316</v>
      </c>
      <c r="H1807" s="2" t="s">
        <v>1759</v>
      </c>
      <c r="I1807" s="2" t="s">
        <v>2842</v>
      </c>
      <c r="J1807" s="2" t="s">
        <v>2843</v>
      </c>
      <c r="K1807" s="2" t="s">
        <v>2844</v>
      </c>
      <c r="L1807" s="2" t="s">
        <v>45</v>
      </c>
    </row>
    <row r="1808" spans="1:12" ht="14.5">
      <c r="A1808" s="2" t="s">
        <v>1697</v>
      </c>
      <c r="B1808" s="2" t="s">
        <v>1678</v>
      </c>
      <c r="C1808" s="2" t="s">
        <v>1694</v>
      </c>
      <c r="D1808" s="2" t="s">
        <v>124</v>
      </c>
      <c r="E1808" s="7"/>
      <c r="F1808" s="7" t="s">
        <v>1763</v>
      </c>
      <c r="G1808" s="2" t="s">
        <v>316</v>
      </c>
      <c r="H1808" s="2" t="s">
        <v>1773</v>
      </c>
      <c r="I1808" s="2"/>
      <c r="J1808" s="2"/>
      <c r="K1808" s="2" t="s">
        <v>2844</v>
      </c>
      <c r="L1808" s="2" t="s">
        <v>45</v>
      </c>
    </row>
    <row r="1809" spans="1:12" ht="14.5">
      <c r="A1809" s="2" t="s">
        <v>1697</v>
      </c>
      <c r="B1809" s="2" t="s">
        <v>1678</v>
      </c>
      <c r="C1809" s="2" t="s">
        <v>1694</v>
      </c>
      <c r="D1809" s="2" t="s">
        <v>65</v>
      </c>
      <c r="E1809" s="7"/>
      <c r="F1809" s="7" t="s">
        <v>1763</v>
      </c>
      <c r="G1809" s="2" t="s">
        <v>316</v>
      </c>
      <c r="H1809" s="2" t="s">
        <v>1773</v>
      </c>
      <c r="I1809" s="2"/>
      <c r="J1809" s="2"/>
      <c r="K1809" s="2" t="s">
        <v>2844</v>
      </c>
      <c r="L1809" s="2" t="s">
        <v>45</v>
      </c>
    </row>
    <row r="1810" spans="1:12" ht="29">
      <c r="A1810" s="2" t="s">
        <v>1697</v>
      </c>
      <c r="B1810" s="2" t="s">
        <v>1678</v>
      </c>
      <c r="C1810" s="2" t="s">
        <v>1694</v>
      </c>
      <c r="D1810" s="2" t="s">
        <v>222</v>
      </c>
      <c r="E1810" s="9">
        <v>8.5000000000000006E-3</v>
      </c>
      <c r="F1810" s="7" t="s">
        <v>1764</v>
      </c>
      <c r="G1810" s="2" t="s">
        <v>316</v>
      </c>
      <c r="H1810" s="2" t="s">
        <v>1759</v>
      </c>
      <c r="I1810" s="2" t="s">
        <v>2842</v>
      </c>
      <c r="J1810" s="2" t="s">
        <v>2843</v>
      </c>
      <c r="K1810" s="2" t="s">
        <v>2844</v>
      </c>
      <c r="L1810" s="2" t="s">
        <v>45</v>
      </c>
    </row>
    <row r="1811" spans="1:12" ht="14.5">
      <c r="A1811" s="2" t="s">
        <v>1697</v>
      </c>
      <c r="B1811" s="2" t="s">
        <v>1678</v>
      </c>
      <c r="C1811" s="2" t="s">
        <v>1694</v>
      </c>
      <c r="D1811" s="2" t="s">
        <v>1765</v>
      </c>
      <c r="E1811" s="9" t="s">
        <v>1681</v>
      </c>
      <c r="F1811" s="7" t="s">
        <v>1766</v>
      </c>
      <c r="G1811" s="2" t="s">
        <v>316</v>
      </c>
      <c r="H1811" s="2" t="s">
        <v>1759</v>
      </c>
      <c r="I1811" s="2" t="s">
        <v>1767</v>
      </c>
      <c r="J1811" s="2"/>
      <c r="K1811" t="s">
        <v>1817</v>
      </c>
    </row>
    <row r="1812" spans="1:12" ht="29">
      <c r="A1812" s="2" t="s">
        <v>1702</v>
      </c>
      <c r="B1812" s="2" t="s">
        <v>1678</v>
      </c>
      <c r="C1812" s="2" t="s">
        <v>1699</v>
      </c>
      <c r="D1812" s="2" t="s">
        <v>1757</v>
      </c>
      <c r="E1812" s="5">
        <v>0.61</v>
      </c>
      <c r="F1812" s="7" t="s">
        <v>1758</v>
      </c>
      <c r="G1812" s="2" t="s">
        <v>1275</v>
      </c>
      <c r="H1812" s="2" t="s">
        <v>1759</v>
      </c>
      <c r="I1812" s="2" t="s">
        <v>2845</v>
      </c>
      <c r="J1812" s="2" t="s">
        <v>1855</v>
      </c>
      <c r="K1812" s="2" t="s">
        <v>2846</v>
      </c>
      <c r="L1812" s="2" t="s">
        <v>45</v>
      </c>
    </row>
    <row r="1813" spans="1:12" ht="29">
      <c r="A1813" s="2" t="s">
        <v>1702</v>
      </c>
      <c r="B1813" s="2" t="s">
        <v>1678</v>
      </c>
      <c r="C1813" s="2" t="s">
        <v>1699</v>
      </c>
      <c r="D1813" s="2" t="s">
        <v>254</v>
      </c>
      <c r="E1813" s="5">
        <v>0.18</v>
      </c>
      <c r="F1813" s="7" t="s">
        <v>1758</v>
      </c>
      <c r="G1813" s="2" t="s">
        <v>1275</v>
      </c>
      <c r="H1813" s="2" t="s">
        <v>1759</v>
      </c>
      <c r="I1813" s="2" t="s">
        <v>2845</v>
      </c>
      <c r="J1813" s="2" t="s">
        <v>1855</v>
      </c>
      <c r="K1813" s="2" t="s">
        <v>2846</v>
      </c>
      <c r="L1813" s="2" t="s">
        <v>45</v>
      </c>
    </row>
    <row r="1814" spans="1:12" ht="29">
      <c r="A1814" s="2" t="s">
        <v>1702</v>
      </c>
      <c r="B1814" s="2" t="s">
        <v>1678</v>
      </c>
      <c r="C1814" s="2" t="s">
        <v>1699</v>
      </c>
      <c r="D1814" s="2" t="s">
        <v>124</v>
      </c>
      <c r="E1814" s="6">
        <v>1</v>
      </c>
      <c r="F1814" s="7" t="s">
        <v>1763</v>
      </c>
      <c r="G1814" s="2" t="s">
        <v>1275</v>
      </c>
      <c r="H1814" s="2" t="s">
        <v>1759</v>
      </c>
      <c r="I1814" s="2" t="s">
        <v>2150</v>
      </c>
      <c r="J1814" s="2" t="s">
        <v>1777</v>
      </c>
      <c r="K1814" s="2" t="s">
        <v>2846</v>
      </c>
      <c r="L1814" s="2" t="s">
        <v>45</v>
      </c>
    </row>
    <row r="1815" spans="1:12" ht="43.5">
      <c r="A1815" s="2" t="s">
        <v>1702</v>
      </c>
      <c r="B1815" s="2" t="s">
        <v>1678</v>
      </c>
      <c r="C1815" s="2" t="s">
        <v>1699</v>
      </c>
      <c r="D1815" s="2" t="s">
        <v>65</v>
      </c>
      <c r="E1815" s="11">
        <v>0</v>
      </c>
      <c r="F1815" s="20" t="s">
        <v>1763</v>
      </c>
      <c r="G1815" s="21" t="s">
        <v>1275</v>
      </c>
      <c r="H1815" s="21" t="s">
        <v>1779</v>
      </c>
      <c r="I1815" s="2" t="s">
        <v>2847</v>
      </c>
      <c r="J1815" s="2" t="s">
        <v>2848</v>
      </c>
      <c r="K1815" s="2" t="s">
        <v>2849</v>
      </c>
      <c r="L1815" s="2" t="s">
        <v>45</v>
      </c>
    </row>
    <row r="1816" spans="1:12" ht="29">
      <c r="A1816" s="2" t="s">
        <v>1702</v>
      </c>
      <c r="B1816" s="2" t="s">
        <v>1678</v>
      </c>
      <c r="C1816" s="2" t="s">
        <v>1699</v>
      </c>
      <c r="D1816" s="2" t="s">
        <v>222</v>
      </c>
      <c r="E1816" s="4">
        <v>0.1</v>
      </c>
      <c r="F1816" s="7" t="s">
        <v>1764</v>
      </c>
      <c r="G1816" s="2" t="s">
        <v>1275</v>
      </c>
      <c r="H1816" s="2" t="s">
        <v>1759</v>
      </c>
      <c r="I1816" s="2" t="s">
        <v>2845</v>
      </c>
      <c r="J1816" s="2" t="s">
        <v>1855</v>
      </c>
      <c r="K1816" s="2" t="s">
        <v>2846</v>
      </c>
      <c r="L1816" s="2" t="s">
        <v>45</v>
      </c>
    </row>
    <row r="1817" spans="1:12" ht="14.5">
      <c r="A1817" s="2" t="s">
        <v>1702</v>
      </c>
      <c r="B1817" s="2" t="s">
        <v>1678</v>
      </c>
      <c r="C1817" s="2" t="s">
        <v>1699</v>
      </c>
      <c r="D1817" s="2" t="s">
        <v>1765</v>
      </c>
      <c r="E1817" s="4" t="s">
        <v>1700</v>
      </c>
      <c r="F1817" s="7" t="s">
        <v>1766</v>
      </c>
      <c r="G1817" s="2" t="s">
        <v>1275</v>
      </c>
      <c r="H1817" s="2" t="s">
        <v>1759</v>
      </c>
      <c r="I1817" s="2" t="s">
        <v>1767</v>
      </c>
      <c r="J1817" s="2"/>
      <c r="K1817" t="s">
        <v>2850</v>
      </c>
    </row>
    <row r="1818" spans="1:12" ht="29">
      <c r="A1818" s="2" t="s">
        <v>1708</v>
      </c>
      <c r="B1818" s="2" t="s">
        <v>1705</v>
      </c>
      <c r="C1818" s="2" t="s">
        <v>1706</v>
      </c>
      <c r="D1818" s="2" t="s">
        <v>1757</v>
      </c>
      <c r="E1818" s="7" t="s">
        <v>1494</v>
      </c>
      <c r="F1818" s="7" t="s">
        <v>1758</v>
      </c>
      <c r="G1818" s="2" t="s">
        <v>71</v>
      </c>
      <c r="H1818" s="2" t="s">
        <v>1759</v>
      </c>
      <c r="I1818" s="2" t="s">
        <v>2714</v>
      </c>
      <c r="J1818" s="2" t="s">
        <v>2715</v>
      </c>
      <c r="K1818" s="2" t="s">
        <v>2851</v>
      </c>
      <c r="L1818" s="2" t="s">
        <v>130</v>
      </c>
    </row>
    <row r="1819" spans="1:12" ht="29">
      <c r="A1819" s="2" t="s">
        <v>1708</v>
      </c>
      <c r="B1819" s="2" t="s">
        <v>1705</v>
      </c>
      <c r="C1819" s="2" t="s">
        <v>1706</v>
      </c>
      <c r="D1819" s="2" t="s">
        <v>254</v>
      </c>
      <c r="E1819" s="7" t="s">
        <v>1495</v>
      </c>
      <c r="F1819" s="7" t="s">
        <v>1758</v>
      </c>
      <c r="G1819" s="2" t="s">
        <v>71</v>
      </c>
      <c r="H1819" s="2" t="s">
        <v>1759</v>
      </c>
      <c r="I1819" s="2" t="s">
        <v>2714</v>
      </c>
      <c r="J1819" s="2" t="s">
        <v>2715</v>
      </c>
      <c r="K1819" s="2" t="s">
        <v>2851</v>
      </c>
      <c r="L1819" s="2" t="s">
        <v>130</v>
      </c>
    </row>
    <row r="1820" spans="1:12" ht="14.5">
      <c r="A1820" s="2" t="s">
        <v>1708</v>
      </c>
      <c r="B1820" s="2" t="s">
        <v>1705</v>
      </c>
      <c r="C1820" s="2" t="s">
        <v>1706</v>
      </c>
      <c r="D1820" s="2" t="s">
        <v>124</v>
      </c>
      <c r="E1820" s="7"/>
      <c r="F1820" s="7" t="s">
        <v>1763</v>
      </c>
      <c r="G1820" s="2" t="s">
        <v>71</v>
      </c>
      <c r="H1820" s="2" t="s">
        <v>1773</v>
      </c>
      <c r="I1820" s="2"/>
      <c r="J1820" s="2"/>
      <c r="K1820" s="2" t="s">
        <v>2851</v>
      </c>
      <c r="L1820" s="2" t="s">
        <v>130</v>
      </c>
    </row>
    <row r="1821" spans="1:12" ht="14.5">
      <c r="A1821" s="2" t="s">
        <v>1708</v>
      </c>
      <c r="B1821" s="2" t="s">
        <v>1705</v>
      </c>
      <c r="C1821" s="2" t="s">
        <v>1706</v>
      </c>
      <c r="D1821" s="2" t="s">
        <v>65</v>
      </c>
      <c r="E1821" s="7"/>
      <c r="F1821" s="7" t="s">
        <v>1763</v>
      </c>
      <c r="G1821" s="2" t="s">
        <v>71</v>
      </c>
      <c r="H1821" s="2" t="s">
        <v>1773</v>
      </c>
      <c r="I1821" s="2"/>
      <c r="J1821" s="2"/>
      <c r="K1821" s="2" t="s">
        <v>2851</v>
      </c>
      <c r="L1821" s="2" t="s">
        <v>130</v>
      </c>
    </row>
    <row r="1822" spans="1:12" ht="29">
      <c r="A1822" s="2" t="s">
        <v>1708</v>
      </c>
      <c r="B1822" s="2" t="s">
        <v>1705</v>
      </c>
      <c r="C1822" s="2" t="s">
        <v>1706</v>
      </c>
      <c r="D1822" s="2" t="s">
        <v>222</v>
      </c>
      <c r="E1822" s="7" t="s">
        <v>1496</v>
      </c>
      <c r="F1822" s="7" t="s">
        <v>1764</v>
      </c>
      <c r="G1822" s="2" t="s">
        <v>71</v>
      </c>
      <c r="H1822" s="2" t="s">
        <v>1759</v>
      </c>
      <c r="I1822" s="2" t="s">
        <v>2714</v>
      </c>
      <c r="J1822" s="2" t="s">
        <v>2715</v>
      </c>
      <c r="K1822" s="2" t="s">
        <v>2851</v>
      </c>
      <c r="L1822" s="2" t="s">
        <v>130</v>
      </c>
    </row>
    <row r="1823" spans="1:12" ht="14.5">
      <c r="A1823" s="2" t="s">
        <v>1708</v>
      </c>
      <c r="B1823" s="2" t="s">
        <v>1705</v>
      </c>
      <c r="C1823" s="2" t="s">
        <v>1706</v>
      </c>
      <c r="D1823" s="2" t="s">
        <v>1765</v>
      </c>
      <c r="E1823" s="7" t="s">
        <v>293</v>
      </c>
      <c r="F1823" s="7" t="s">
        <v>1766</v>
      </c>
      <c r="G1823" s="2" t="s">
        <v>71</v>
      </c>
      <c r="H1823" s="2" t="s">
        <v>1759</v>
      </c>
      <c r="I1823" s="2" t="s">
        <v>1767</v>
      </c>
      <c r="J1823" s="2"/>
      <c r="K1823" t="s">
        <v>1795</v>
      </c>
    </row>
    <row r="1824" spans="1:12" ht="43.5">
      <c r="A1824" s="2" t="s">
        <v>1713</v>
      </c>
      <c r="B1824" s="2" t="s">
        <v>1711</v>
      </c>
      <c r="C1824" s="2" t="s">
        <v>1712</v>
      </c>
      <c r="D1824" s="2" t="s">
        <v>1757</v>
      </c>
      <c r="E1824" s="4">
        <v>0.3</v>
      </c>
      <c r="F1824" s="7" t="s">
        <v>1758</v>
      </c>
      <c r="G1824" s="2" t="s">
        <v>614</v>
      </c>
      <c r="H1824" s="2" t="s">
        <v>1759</v>
      </c>
      <c r="I1824" s="2" t="s">
        <v>2150</v>
      </c>
      <c r="J1824" s="2" t="s">
        <v>1777</v>
      </c>
      <c r="K1824" s="2" t="s">
        <v>2852</v>
      </c>
      <c r="L1824" s="2" t="s">
        <v>45</v>
      </c>
    </row>
    <row r="1825" spans="1:12" ht="43.5">
      <c r="A1825" s="2" t="s">
        <v>1713</v>
      </c>
      <c r="B1825" s="2" t="s">
        <v>1711</v>
      </c>
      <c r="C1825" s="2" t="s">
        <v>1712</v>
      </c>
      <c r="D1825" s="2" t="s">
        <v>254</v>
      </c>
      <c r="E1825" s="4">
        <v>0.1</v>
      </c>
      <c r="F1825" s="7" t="s">
        <v>1758</v>
      </c>
      <c r="G1825" s="2" t="s">
        <v>614</v>
      </c>
      <c r="H1825" s="2" t="s">
        <v>1759</v>
      </c>
      <c r="I1825" s="2" t="s">
        <v>2150</v>
      </c>
      <c r="J1825" s="2" t="s">
        <v>1777</v>
      </c>
      <c r="K1825" s="2" t="s">
        <v>2852</v>
      </c>
      <c r="L1825" s="2" t="s">
        <v>45</v>
      </c>
    </row>
    <row r="1826" spans="1:12" ht="43.5">
      <c r="A1826" s="2" t="s">
        <v>1713</v>
      </c>
      <c r="B1826" s="2" t="s">
        <v>1711</v>
      </c>
      <c r="C1826" s="2" t="s">
        <v>1712</v>
      </c>
      <c r="D1826" s="2" t="s">
        <v>124</v>
      </c>
      <c r="E1826" s="5">
        <v>1.25</v>
      </c>
      <c r="F1826" s="7" t="s">
        <v>1763</v>
      </c>
      <c r="G1826" s="2" t="s">
        <v>614</v>
      </c>
      <c r="H1826" s="2" t="s">
        <v>1759</v>
      </c>
      <c r="I1826" s="2" t="s">
        <v>2150</v>
      </c>
      <c r="J1826" s="2" t="s">
        <v>1777</v>
      </c>
      <c r="K1826" s="2" t="s">
        <v>2852</v>
      </c>
      <c r="L1826" s="2" t="s">
        <v>45</v>
      </c>
    </row>
    <row r="1827" spans="1:12" ht="43.5">
      <c r="A1827" s="2" t="s">
        <v>1713</v>
      </c>
      <c r="B1827" s="2" t="s">
        <v>1711</v>
      </c>
      <c r="C1827" s="2" t="s">
        <v>1712</v>
      </c>
      <c r="D1827" s="2" t="s">
        <v>65</v>
      </c>
      <c r="E1827" s="7"/>
      <c r="F1827" s="7" t="s">
        <v>1763</v>
      </c>
      <c r="G1827" s="2" t="s">
        <v>614</v>
      </c>
      <c r="H1827" s="2" t="s">
        <v>1773</v>
      </c>
      <c r="I1827" s="2"/>
      <c r="J1827" s="2"/>
      <c r="K1827" s="2" t="s">
        <v>2852</v>
      </c>
      <c r="L1827" s="2" t="s">
        <v>45</v>
      </c>
    </row>
    <row r="1828" spans="1:12" ht="43.5">
      <c r="A1828" s="2" t="s">
        <v>1713</v>
      </c>
      <c r="B1828" s="2" t="s">
        <v>1711</v>
      </c>
      <c r="C1828" s="2" t="s">
        <v>1712</v>
      </c>
      <c r="D1828" s="2" t="s">
        <v>222</v>
      </c>
      <c r="E1828" s="8">
        <v>4.4999999999999998E-2</v>
      </c>
      <c r="F1828" s="7" t="s">
        <v>1764</v>
      </c>
      <c r="G1828" s="2" t="s">
        <v>614</v>
      </c>
      <c r="H1828" s="2" t="s">
        <v>1759</v>
      </c>
      <c r="I1828" s="2" t="s">
        <v>2150</v>
      </c>
      <c r="J1828" s="2" t="s">
        <v>1777</v>
      </c>
      <c r="K1828" s="2" t="s">
        <v>2852</v>
      </c>
      <c r="L1828" s="2" t="s">
        <v>45</v>
      </c>
    </row>
    <row r="1829" spans="1:12" ht="14.5">
      <c r="A1829" s="2" t="s">
        <v>1713</v>
      </c>
      <c r="B1829" s="2" t="s">
        <v>1711</v>
      </c>
      <c r="C1829" s="2" t="s">
        <v>1712</v>
      </c>
      <c r="D1829" s="2" t="s">
        <v>1765</v>
      </c>
      <c r="E1829" s="8" t="s">
        <v>662</v>
      </c>
      <c r="F1829" s="7" t="s">
        <v>1766</v>
      </c>
      <c r="G1829" s="2" t="s">
        <v>614</v>
      </c>
      <c r="H1829" s="2" t="s">
        <v>1759</v>
      </c>
      <c r="I1829" s="2" t="s">
        <v>1767</v>
      </c>
      <c r="J1829" s="2"/>
      <c r="K1829" t="s">
        <v>2853</v>
      </c>
    </row>
    <row r="1830" spans="1:12" ht="29">
      <c r="A1830" s="2" t="s">
        <v>1718</v>
      </c>
      <c r="B1830" s="2" t="s">
        <v>1716</v>
      </c>
      <c r="C1830" s="2" t="s">
        <v>1717</v>
      </c>
      <c r="D1830" s="2" t="s">
        <v>1757</v>
      </c>
      <c r="E1830" s="5">
        <v>0.53</v>
      </c>
      <c r="F1830" s="7" t="s">
        <v>1758</v>
      </c>
      <c r="G1830" s="2" t="s">
        <v>601</v>
      </c>
      <c r="H1830" s="2" t="s">
        <v>1759</v>
      </c>
      <c r="I1830" s="2" t="s">
        <v>2150</v>
      </c>
      <c r="J1830" s="2" t="s">
        <v>1777</v>
      </c>
      <c r="K1830" s="2" t="s">
        <v>2854</v>
      </c>
      <c r="L1830" s="2" t="s">
        <v>45</v>
      </c>
    </row>
    <row r="1831" spans="1:12" ht="29">
      <c r="A1831" s="2" t="s">
        <v>1718</v>
      </c>
      <c r="B1831" s="2" t="s">
        <v>1716</v>
      </c>
      <c r="C1831" s="2" t="s">
        <v>1717</v>
      </c>
      <c r="D1831" s="2" t="s">
        <v>254</v>
      </c>
      <c r="E1831" s="8">
        <v>0.115</v>
      </c>
      <c r="F1831" s="7" t="s">
        <v>1758</v>
      </c>
      <c r="G1831" s="2" t="s">
        <v>601</v>
      </c>
      <c r="H1831" s="2" t="s">
        <v>1759</v>
      </c>
      <c r="I1831" s="2" t="s">
        <v>2150</v>
      </c>
      <c r="J1831" s="2" t="s">
        <v>1777</v>
      </c>
      <c r="K1831" s="2" t="s">
        <v>2854</v>
      </c>
      <c r="L1831" s="2" t="s">
        <v>45</v>
      </c>
    </row>
    <row r="1832" spans="1:12" ht="29">
      <c r="A1832" s="2" t="s">
        <v>1718</v>
      </c>
      <c r="B1832" s="2" t="s">
        <v>1716</v>
      </c>
      <c r="C1832" s="2" t="s">
        <v>1717</v>
      </c>
      <c r="D1832" s="2" t="s">
        <v>124</v>
      </c>
      <c r="E1832" s="6">
        <v>1</v>
      </c>
      <c r="F1832" s="7" t="s">
        <v>1763</v>
      </c>
      <c r="G1832" s="2" t="s">
        <v>601</v>
      </c>
      <c r="H1832" s="2" t="s">
        <v>1759</v>
      </c>
      <c r="I1832" s="2" t="s">
        <v>2150</v>
      </c>
      <c r="J1832" s="2" t="s">
        <v>1777</v>
      </c>
      <c r="K1832" s="2" t="s">
        <v>2854</v>
      </c>
      <c r="L1832" s="2" t="s">
        <v>45</v>
      </c>
    </row>
    <row r="1833" spans="1:12" ht="58">
      <c r="A1833" s="2" t="s">
        <v>1718</v>
      </c>
      <c r="B1833" s="2" t="s">
        <v>1716</v>
      </c>
      <c r="C1833" s="2" t="s">
        <v>1717</v>
      </c>
      <c r="D1833" s="2" t="s">
        <v>65</v>
      </c>
      <c r="E1833" s="11">
        <v>0</v>
      </c>
      <c r="F1833" s="20" t="s">
        <v>1763</v>
      </c>
      <c r="G1833" s="21" t="s">
        <v>601</v>
      </c>
      <c r="H1833" s="21" t="s">
        <v>1779</v>
      </c>
      <c r="I1833" s="2" t="s">
        <v>2855</v>
      </c>
      <c r="J1833" s="2" t="s">
        <v>1781</v>
      </c>
      <c r="K1833" s="2" t="s">
        <v>2856</v>
      </c>
      <c r="L1833" s="2" t="s">
        <v>45</v>
      </c>
    </row>
    <row r="1834" spans="1:12" ht="29">
      <c r="A1834" s="2" t="s">
        <v>1718</v>
      </c>
      <c r="B1834" s="2" t="s">
        <v>1716</v>
      </c>
      <c r="C1834" s="2" t="s">
        <v>1717</v>
      </c>
      <c r="D1834" s="2" t="s">
        <v>222</v>
      </c>
      <c r="E1834" s="5">
        <v>0.12</v>
      </c>
      <c r="F1834" s="7" t="s">
        <v>1764</v>
      </c>
      <c r="G1834" s="2" t="s">
        <v>601</v>
      </c>
      <c r="H1834" s="2" t="s">
        <v>1759</v>
      </c>
      <c r="I1834" s="2" t="s">
        <v>2150</v>
      </c>
      <c r="J1834" s="2" t="s">
        <v>1777</v>
      </c>
      <c r="K1834" s="2" t="s">
        <v>2854</v>
      </c>
      <c r="L1834" s="2" t="s">
        <v>45</v>
      </c>
    </row>
    <row r="1835" spans="1:12" ht="14.5">
      <c r="A1835" s="2" t="s">
        <v>1718</v>
      </c>
      <c r="B1835" s="2" t="s">
        <v>1716</v>
      </c>
      <c r="C1835" s="2" t="s">
        <v>1717</v>
      </c>
      <c r="D1835" s="2" t="s">
        <v>1765</v>
      </c>
      <c r="E1835" s="5" t="s">
        <v>426</v>
      </c>
      <c r="F1835" s="7" t="s">
        <v>1766</v>
      </c>
      <c r="G1835" s="2" t="s">
        <v>601</v>
      </c>
      <c r="H1835" s="2" t="s">
        <v>1759</v>
      </c>
      <c r="I1835" s="2" t="s">
        <v>1767</v>
      </c>
      <c r="J1835" s="2"/>
      <c r="K1835" t="s">
        <v>2853</v>
      </c>
    </row>
    <row r="1836" spans="1:12" ht="43.5">
      <c r="A1836" s="2" t="s">
        <v>1726</v>
      </c>
      <c r="B1836" s="2" t="s">
        <v>1722</v>
      </c>
      <c r="C1836" s="2" t="s">
        <v>1723</v>
      </c>
      <c r="D1836" s="2" t="s">
        <v>1757</v>
      </c>
      <c r="E1836" s="5">
        <v>0.52</v>
      </c>
      <c r="F1836" s="7" t="s">
        <v>1758</v>
      </c>
      <c r="G1836" s="2" t="s">
        <v>1724</v>
      </c>
      <c r="H1836" s="2" t="s">
        <v>1759</v>
      </c>
      <c r="I1836" s="2" t="s">
        <v>2857</v>
      </c>
      <c r="J1836" s="2" t="s">
        <v>2858</v>
      </c>
      <c r="K1836" s="2" t="s">
        <v>2859</v>
      </c>
      <c r="L1836" s="2" t="s">
        <v>45</v>
      </c>
    </row>
    <row r="1837" spans="1:12" ht="43.5">
      <c r="A1837" s="2" t="s">
        <v>1726</v>
      </c>
      <c r="B1837" s="2" t="s">
        <v>1722</v>
      </c>
      <c r="C1837" s="2" t="s">
        <v>1723</v>
      </c>
      <c r="D1837" s="2" t="s">
        <v>254</v>
      </c>
      <c r="E1837" s="5">
        <v>0.24</v>
      </c>
      <c r="F1837" s="7" t="s">
        <v>1758</v>
      </c>
      <c r="G1837" s="2" t="s">
        <v>1724</v>
      </c>
      <c r="H1837" s="2" t="s">
        <v>1759</v>
      </c>
      <c r="I1837" s="2" t="s">
        <v>2857</v>
      </c>
      <c r="J1837" s="2" t="s">
        <v>2858</v>
      </c>
      <c r="K1837" s="2" t="s">
        <v>2859</v>
      </c>
      <c r="L1837" s="2" t="s">
        <v>45</v>
      </c>
    </row>
    <row r="1838" spans="1:12" ht="72.5">
      <c r="A1838" s="2" t="s">
        <v>1726</v>
      </c>
      <c r="B1838" s="2" t="s">
        <v>1722</v>
      </c>
      <c r="C1838" s="2" t="s">
        <v>1723</v>
      </c>
      <c r="D1838" s="2" t="s">
        <v>124</v>
      </c>
      <c r="E1838" s="11">
        <v>1</v>
      </c>
      <c r="F1838" s="20" t="s">
        <v>1763</v>
      </c>
      <c r="G1838" s="21" t="s">
        <v>1724</v>
      </c>
      <c r="H1838" s="21" t="s">
        <v>1779</v>
      </c>
      <c r="I1838" s="2" t="s">
        <v>2860</v>
      </c>
      <c r="J1838" s="2" t="s">
        <v>2858</v>
      </c>
      <c r="K1838" s="2" t="s">
        <v>2861</v>
      </c>
      <c r="L1838" s="2" t="s">
        <v>45</v>
      </c>
    </row>
    <row r="1839" spans="1:12" ht="72.5">
      <c r="A1839" s="2" t="s">
        <v>1726</v>
      </c>
      <c r="B1839" s="2" t="s">
        <v>1722</v>
      </c>
      <c r="C1839" s="2" t="s">
        <v>1723</v>
      </c>
      <c r="D1839" s="2" t="s">
        <v>65</v>
      </c>
      <c r="E1839" s="11">
        <v>0</v>
      </c>
      <c r="F1839" s="20" t="s">
        <v>1763</v>
      </c>
      <c r="G1839" s="21" t="s">
        <v>1724</v>
      </c>
      <c r="H1839" s="21" t="s">
        <v>1779</v>
      </c>
      <c r="I1839" s="2" t="s">
        <v>2860</v>
      </c>
      <c r="J1839" s="2" t="s">
        <v>2858</v>
      </c>
      <c r="K1839" s="2" t="s">
        <v>2862</v>
      </c>
      <c r="L1839" s="2" t="s">
        <v>45</v>
      </c>
    </row>
    <row r="1840" spans="1:12" ht="43.5">
      <c r="A1840" s="2" t="s">
        <v>1726</v>
      </c>
      <c r="B1840" s="2" t="s">
        <v>1722</v>
      </c>
      <c r="C1840" s="2" t="s">
        <v>1723</v>
      </c>
      <c r="D1840" s="2" t="s">
        <v>222</v>
      </c>
      <c r="E1840" s="5">
        <v>0.12</v>
      </c>
      <c r="F1840" s="7" t="s">
        <v>1764</v>
      </c>
      <c r="G1840" s="2" t="s">
        <v>1724</v>
      </c>
      <c r="H1840" s="2" t="s">
        <v>1759</v>
      </c>
      <c r="I1840" s="2" t="s">
        <v>2857</v>
      </c>
      <c r="J1840" s="2" t="s">
        <v>2858</v>
      </c>
      <c r="K1840" s="2" t="s">
        <v>2859</v>
      </c>
      <c r="L1840" s="2" t="s">
        <v>45</v>
      </c>
    </row>
    <row r="1841" spans="1:12" ht="14.5">
      <c r="A1841" s="2" t="s">
        <v>1726</v>
      </c>
      <c r="B1841" s="2" t="s">
        <v>1722</v>
      </c>
      <c r="C1841" s="2" t="s">
        <v>1723</v>
      </c>
      <c r="D1841" s="2" t="s">
        <v>1765</v>
      </c>
      <c r="E1841" s="5" t="s">
        <v>137</v>
      </c>
      <c r="F1841" s="7" t="s">
        <v>1766</v>
      </c>
      <c r="G1841" s="2" t="s">
        <v>1724</v>
      </c>
      <c r="H1841" s="2" t="s">
        <v>1759</v>
      </c>
      <c r="I1841" s="2" t="s">
        <v>1767</v>
      </c>
      <c r="J1841" s="2"/>
      <c r="K1841" t="s">
        <v>1817</v>
      </c>
    </row>
    <row r="1842" spans="1:12" ht="29">
      <c r="A1842" s="2" t="s">
        <v>1732</v>
      </c>
      <c r="B1842" s="2" t="s">
        <v>1729</v>
      </c>
      <c r="C1842" s="2" t="s">
        <v>1730</v>
      </c>
      <c r="D1842" s="2" t="s">
        <v>1757</v>
      </c>
      <c r="E1842" s="4">
        <v>0.1</v>
      </c>
      <c r="F1842" s="7" t="s">
        <v>1758</v>
      </c>
      <c r="G1842" s="2" t="s">
        <v>1268</v>
      </c>
      <c r="H1842" s="2" t="s">
        <v>1759</v>
      </c>
      <c r="I1842" s="2" t="s">
        <v>2150</v>
      </c>
      <c r="J1842" s="2" t="s">
        <v>1777</v>
      </c>
      <c r="K1842" s="2" t="s">
        <v>2863</v>
      </c>
      <c r="L1842" s="2" t="s">
        <v>45</v>
      </c>
    </row>
    <row r="1843" spans="1:12" ht="29">
      <c r="A1843" s="2" t="s">
        <v>1732</v>
      </c>
      <c r="B1843" s="2" t="s">
        <v>1729</v>
      </c>
      <c r="C1843" s="2" t="s">
        <v>1730</v>
      </c>
      <c r="D1843" s="2" t="s">
        <v>254</v>
      </c>
      <c r="E1843" s="5">
        <v>0.06</v>
      </c>
      <c r="F1843" s="7" t="s">
        <v>1758</v>
      </c>
      <c r="G1843" s="2" t="s">
        <v>1268</v>
      </c>
      <c r="H1843" s="2" t="s">
        <v>1759</v>
      </c>
      <c r="I1843" s="2" t="s">
        <v>2150</v>
      </c>
      <c r="J1843" s="2" t="s">
        <v>1777</v>
      </c>
      <c r="K1843" s="2" t="s">
        <v>2863</v>
      </c>
      <c r="L1843" s="2" t="s">
        <v>45</v>
      </c>
    </row>
    <row r="1844" spans="1:12" ht="29">
      <c r="A1844" s="2" t="s">
        <v>1732</v>
      </c>
      <c r="B1844" s="2" t="s">
        <v>1729</v>
      </c>
      <c r="C1844" s="2" t="s">
        <v>1730</v>
      </c>
      <c r="D1844" s="2" t="s">
        <v>124</v>
      </c>
      <c r="E1844" s="4">
        <v>2.5</v>
      </c>
      <c r="F1844" s="7" t="s">
        <v>1763</v>
      </c>
      <c r="G1844" s="2" t="s">
        <v>1268</v>
      </c>
      <c r="H1844" s="2" t="s">
        <v>1759</v>
      </c>
      <c r="I1844" s="2" t="s">
        <v>2150</v>
      </c>
      <c r="J1844" s="2" t="s">
        <v>1777</v>
      </c>
      <c r="K1844" s="2" t="s">
        <v>2863</v>
      </c>
      <c r="L1844" s="2" t="s">
        <v>45</v>
      </c>
    </row>
    <row r="1845" spans="1:12" ht="14.5">
      <c r="A1845" s="2" t="s">
        <v>1732</v>
      </c>
      <c r="B1845" s="2" t="s">
        <v>1729</v>
      </c>
      <c r="C1845" s="2" t="s">
        <v>1730</v>
      </c>
      <c r="D1845" s="2" t="s">
        <v>65</v>
      </c>
      <c r="E1845" s="7"/>
      <c r="F1845" s="7" t="s">
        <v>1763</v>
      </c>
      <c r="G1845" s="2" t="s">
        <v>1268</v>
      </c>
      <c r="H1845" s="2" t="s">
        <v>1773</v>
      </c>
      <c r="I1845" s="2"/>
      <c r="J1845" s="2"/>
      <c r="K1845" s="2" t="s">
        <v>2863</v>
      </c>
      <c r="L1845" s="2" t="s">
        <v>45</v>
      </c>
    </row>
    <row r="1846" spans="1:12" ht="29">
      <c r="A1846" s="2" t="s">
        <v>1732</v>
      </c>
      <c r="B1846" s="2" t="s">
        <v>1729</v>
      </c>
      <c r="C1846" s="2" t="s">
        <v>1730</v>
      </c>
      <c r="D1846" s="2" t="s">
        <v>222</v>
      </c>
      <c r="E1846" s="8">
        <v>1.7000000000000001E-2</v>
      </c>
      <c r="F1846" s="7" t="s">
        <v>1764</v>
      </c>
      <c r="G1846" s="2" t="s">
        <v>1268</v>
      </c>
      <c r="H1846" s="2" t="s">
        <v>1759</v>
      </c>
      <c r="I1846" s="2" t="s">
        <v>2150</v>
      </c>
      <c r="J1846" s="2" t="s">
        <v>1777</v>
      </c>
      <c r="K1846" s="2" t="s">
        <v>2863</v>
      </c>
      <c r="L1846" s="2" t="s">
        <v>45</v>
      </c>
    </row>
    <row r="1847" spans="1:12" ht="14.5">
      <c r="A1847" s="2" t="s">
        <v>1732</v>
      </c>
      <c r="B1847" s="2" t="s">
        <v>1729</v>
      </c>
      <c r="C1847" s="2" t="s">
        <v>1730</v>
      </c>
      <c r="D1847" s="2" t="s">
        <v>1765</v>
      </c>
      <c r="E1847" s="8" t="s">
        <v>1731</v>
      </c>
      <c r="F1847" s="7" t="s">
        <v>1766</v>
      </c>
      <c r="G1847" s="2" t="s">
        <v>1268</v>
      </c>
      <c r="H1847" s="2" t="s">
        <v>1759</v>
      </c>
      <c r="I1847" s="2" t="s">
        <v>1767</v>
      </c>
      <c r="J1847" s="2"/>
      <c r="K1847" t="s">
        <v>1933</v>
      </c>
    </row>
    <row r="1848" spans="1:12" ht="43.5">
      <c r="A1848" s="2" t="s">
        <v>1737</v>
      </c>
      <c r="B1848" s="2" t="s">
        <v>1729</v>
      </c>
      <c r="C1848" s="2" t="s">
        <v>1734</v>
      </c>
      <c r="D1848" s="2" t="s">
        <v>1757</v>
      </c>
      <c r="E1848" s="4">
        <v>0.4</v>
      </c>
      <c r="F1848" s="7" t="s">
        <v>1758</v>
      </c>
      <c r="G1848" s="2" t="s">
        <v>1735</v>
      </c>
      <c r="H1848" s="2" t="s">
        <v>1759</v>
      </c>
      <c r="I1848" s="2" t="s">
        <v>2864</v>
      </c>
      <c r="J1848" s="2" t="s">
        <v>2865</v>
      </c>
      <c r="K1848" s="2" t="s">
        <v>2866</v>
      </c>
      <c r="L1848" s="2" t="s">
        <v>35</v>
      </c>
    </row>
    <row r="1849" spans="1:12" ht="43.5">
      <c r="A1849" s="2" t="s">
        <v>1737</v>
      </c>
      <c r="B1849" s="2" t="s">
        <v>1729</v>
      </c>
      <c r="C1849" s="2" t="s">
        <v>1734</v>
      </c>
      <c r="D1849" s="2" t="s">
        <v>254</v>
      </c>
      <c r="E1849" s="8">
        <v>6.5000000000000002E-2</v>
      </c>
      <c r="F1849" s="7" t="s">
        <v>1758</v>
      </c>
      <c r="G1849" s="2" t="s">
        <v>1735</v>
      </c>
      <c r="H1849" s="2" t="s">
        <v>1759</v>
      </c>
      <c r="I1849" s="2" t="s">
        <v>2864</v>
      </c>
      <c r="J1849" s="2" t="s">
        <v>2865</v>
      </c>
      <c r="K1849" s="2" t="s">
        <v>2866</v>
      </c>
      <c r="L1849" s="2" t="s">
        <v>35</v>
      </c>
    </row>
    <row r="1850" spans="1:12" ht="72.5">
      <c r="A1850" s="2" t="s">
        <v>1737</v>
      </c>
      <c r="B1850" s="2" t="s">
        <v>1729</v>
      </c>
      <c r="C1850" s="2" t="s">
        <v>1734</v>
      </c>
      <c r="D1850" s="2" t="s">
        <v>124</v>
      </c>
      <c r="E1850" s="11">
        <v>1</v>
      </c>
      <c r="F1850" s="20" t="s">
        <v>1763</v>
      </c>
      <c r="G1850" s="21" t="s">
        <v>1735</v>
      </c>
      <c r="H1850" s="21" t="s">
        <v>1779</v>
      </c>
      <c r="I1850" s="2" t="s">
        <v>2855</v>
      </c>
      <c r="J1850" s="2" t="s">
        <v>1781</v>
      </c>
      <c r="K1850" s="2" t="s">
        <v>2867</v>
      </c>
      <c r="L1850" s="2" t="s">
        <v>35</v>
      </c>
    </row>
    <row r="1851" spans="1:12" ht="72.5">
      <c r="A1851" s="2" t="s">
        <v>1737</v>
      </c>
      <c r="B1851" s="2" t="s">
        <v>1729</v>
      </c>
      <c r="C1851" s="2" t="s">
        <v>1734</v>
      </c>
      <c r="D1851" s="2" t="s">
        <v>65</v>
      </c>
      <c r="E1851" s="11">
        <v>0</v>
      </c>
      <c r="F1851" s="20" t="s">
        <v>1763</v>
      </c>
      <c r="G1851" s="21" t="s">
        <v>1735</v>
      </c>
      <c r="H1851" s="21" t="s">
        <v>1779</v>
      </c>
      <c r="I1851" s="2" t="s">
        <v>2855</v>
      </c>
      <c r="J1851" s="2" t="s">
        <v>1781</v>
      </c>
      <c r="K1851" s="2" t="s">
        <v>2868</v>
      </c>
      <c r="L1851" s="2" t="s">
        <v>35</v>
      </c>
    </row>
    <row r="1852" spans="1:12" ht="43.5">
      <c r="A1852" s="2" t="s">
        <v>1737</v>
      </c>
      <c r="B1852" s="2" t="s">
        <v>1729</v>
      </c>
      <c r="C1852" s="2" t="s">
        <v>1734</v>
      </c>
      <c r="D1852" s="2" t="s">
        <v>222</v>
      </c>
      <c r="E1852" s="7" t="s">
        <v>525</v>
      </c>
      <c r="F1852" s="7" t="s">
        <v>1764</v>
      </c>
      <c r="G1852" s="2" t="s">
        <v>1735</v>
      </c>
      <c r="H1852" s="2" t="s">
        <v>1759</v>
      </c>
      <c r="I1852" s="2" t="s">
        <v>2864</v>
      </c>
      <c r="J1852" s="2" t="s">
        <v>2865</v>
      </c>
      <c r="K1852" s="2" t="s">
        <v>2866</v>
      </c>
      <c r="L1852" s="2" t="s">
        <v>35</v>
      </c>
    </row>
    <row r="1853" spans="1:12" ht="14.5">
      <c r="A1853" s="2" t="s">
        <v>1737</v>
      </c>
      <c r="B1853" s="2" t="s">
        <v>1729</v>
      </c>
      <c r="C1853" s="2" t="s">
        <v>1734</v>
      </c>
      <c r="D1853" s="2" t="s">
        <v>1765</v>
      </c>
      <c r="E1853" s="7" t="s">
        <v>117</v>
      </c>
      <c r="F1853" s="7" t="s">
        <v>1766</v>
      </c>
      <c r="G1853" s="2" t="s">
        <v>1735</v>
      </c>
      <c r="H1853" s="2" t="s">
        <v>1759</v>
      </c>
      <c r="I1853" s="2" t="s">
        <v>1767</v>
      </c>
      <c r="J1853" s="2"/>
      <c r="K1853" t="s">
        <v>1817</v>
      </c>
    </row>
    <row r="1854" spans="1:12" ht="43.5">
      <c r="A1854" s="2" t="s">
        <v>1741</v>
      </c>
      <c r="B1854" s="2" t="s">
        <v>1729</v>
      </c>
      <c r="C1854" s="2" t="s">
        <v>1740</v>
      </c>
      <c r="D1854" s="2" t="s">
        <v>1757</v>
      </c>
      <c r="E1854" s="4">
        <v>0.5</v>
      </c>
      <c r="F1854" s="7" t="s">
        <v>1758</v>
      </c>
      <c r="G1854" s="2" t="s">
        <v>663</v>
      </c>
      <c r="H1854" s="2" t="s">
        <v>1759</v>
      </c>
      <c r="I1854" s="2" t="s">
        <v>2543</v>
      </c>
      <c r="J1854" s="2" t="s">
        <v>1781</v>
      </c>
      <c r="K1854" s="2" t="s">
        <v>2869</v>
      </c>
      <c r="L1854" s="2" t="s">
        <v>122</v>
      </c>
    </row>
    <row r="1855" spans="1:12" ht="43.5">
      <c r="A1855" s="2" t="s">
        <v>1741</v>
      </c>
      <c r="B1855" s="2" t="s">
        <v>1729</v>
      </c>
      <c r="C1855" s="2" t="s">
        <v>1740</v>
      </c>
      <c r="D1855" s="2" t="s">
        <v>254</v>
      </c>
      <c r="E1855" s="4">
        <v>0.1</v>
      </c>
      <c r="F1855" s="7" t="s">
        <v>1758</v>
      </c>
      <c r="G1855" s="2" t="s">
        <v>663</v>
      </c>
      <c r="H1855" s="2" t="s">
        <v>1759</v>
      </c>
      <c r="I1855" s="2" t="s">
        <v>2543</v>
      </c>
      <c r="J1855" s="2" t="s">
        <v>1781</v>
      </c>
      <c r="K1855" s="2" t="s">
        <v>2869</v>
      </c>
      <c r="L1855" s="2" t="s">
        <v>122</v>
      </c>
    </row>
    <row r="1856" spans="1:12" ht="72.5">
      <c r="A1856" s="2" t="s">
        <v>1741</v>
      </c>
      <c r="B1856" s="2" t="s">
        <v>1729</v>
      </c>
      <c r="C1856" s="2" t="s">
        <v>1740</v>
      </c>
      <c r="D1856" s="2" t="s">
        <v>124</v>
      </c>
      <c r="E1856" s="11">
        <v>1</v>
      </c>
      <c r="F1856" s="20" t="s">
        <v>1763</v>
      </c>
      <c r="G1856" s="21" t="s">
        <v>663</v>
      </c>
      <c r="H1856" s="21" t="s">
        <v>1779</v>
      </c>
      <c r="I1856" s="2" t="s">
        <v>2855</v>
      </c>
      <c r="J1856" s="2" t="s">
        <v>1781</v>
      </c>
      <c r="K1856" s="2" t="s">
        <v>2870</v>
      </c>
      <c r="L1856" s="2" t="s">
        <v>122</v>
      </c>
    </row>
    <row r="1857" spans="1:12" ht="72.5">
      <c r="A1857" s="2" t="s">
        <v>1741</v>
      </c>
      <c r="B1857" s="2" t="s">
        <v>1729</v>
      </c>
      <c r="C1857" s="2" t="s">
        <v>1740</v>
      </c>
      <c r="D1857" s="2" t="s">
        <v>65</v>
      </c>
      <c r="E1857" s="11">
        <v>0</v>
      </c>
      <c r="F1857" s="20" t="s">
        <v>1763</v>
      </c>
      <c r="G1857" s="21" t="s">
        <v>663</v>
      </c>
      <c r="H1857" s="21" t="s">
        <v>1779</v>
      </c>
      <c r="I1857" s="2" t="s">
        <v>2855</v>
      </c>
      <c r="J1857" s="2" t="s">
        <v>1781</v>
      </c>
      <c r="K1857" s="2" t="s">
        <v>2871</v>
      </c>
      <c r="L1857" s="2" t="s">
        <v>122</v>
      </c>
    </row>
    <row r="1858" spans="1:12" ht="43.5">
      <c r="A1858" s="2" t="s">
        <v>1741</v>
      </c>
      <c r="B1858" s="2" t="s">
        <v>1729</v>
      </c>
      <c r="C1858" s="2" t="s">
        <v>1740</v>
      </c>
      <c r="D1858" s="2" t="s">
        <v>222</v>
      </c>
      <c r="E1858" s="5">
        <v>7.0000000000000007E-2</v>
      </c>
      <c r="F1858" s="7" t="s">
        <v>1764</v>
      </c>
      <c r="G1858" s="2" t="s">
        <v>663</v>
      </c>
      <c r="H1858" s="2" t="s">
        <v>1759</v>
      </c>
      <c r="I1858" s="2" t="s">
        <v>2543</v>
      </c>
      <c r="J1858" s="2" t="s">
        <v>1781</v>
      </c>
      <c r="K1858" s="2" t="s">
        <v>2869</v>
      </c>
      <c r="L1858" s="2" t="s">
        <v>122</v>
      </c>
    </row>
    <row r="1859" spans="1:12" ht="29">
      <c r="A1859" s="2" t="s">
        <v>1741</v>
      </c>
      <c r="B1859" s="2" t="s">
        <v>1729</v>
      </c>
      <c r="C1859" s="2" t="s">
        <v>1740</v>
      </c>
      <c r="D1859" s="2" t="s">
        <v>1765</v>
      </c>
      <c r="E1859" s="5" t="s">
        <v>883</v>
      </c>
      <c r="F1859" s="7" t="s">
        <v>1766</v>
      </c>
      <c r="G1859" s="2" t="s">
        <v>663</v>
      </c>
      <c r="H1859" s="2" t="s">
        <v>1759</v>
      </c>
      <c r="I1859" s="2" t="s">
        <v>1767</v>
      </c>
      <c r="J1859" s="2"/>
      <c r="K1859" t="s">
        <v>2872</v>
      </c>
    </row>
    <row r="1860" spans="1:12" ht="43.5">
      <c r="A1860" s="2" t="s">
        <v>1746</v>
      </c>
      <c r="B1860" s="2" t="s">
        <v>1729</v>
      </c>
      <c r="C1860" s="2" t="s">
        <v>1742</v>
      </c>
      <c r="D1860" s="2" t="s">
        <v>1757</v>
      </c>
      <c r="E1860" s="5">
        <v>0.44</v>
      </c>
      <c r="F1860" s="7" t="s">
        <v>1758</v>
      </c>
      <c r="G1860" s="2" t="s">
        <v>1743</v>
      </c>
      <c r="H1860" s="2" t="s">
        <v>1759</v>
      </c>
      <c r="I1860" s="2" t="s">
        <v>2873</v>
      </c>
      <c r="J1860" s="2" t="s">
        <v>2874</v>
      </c>
      <c r="K1860" s="2" t="s">
        <v>2875</v>
      </c>
      <c r="L1860" s="2" t="s">
        <v>45</v>
      </c>
    </row>
    <row r="1861" spans="1:12" ht="43.5">
      <c r="A1861" s="2" t="s">
        <v>1746</v>
      </c>
      <c r="B1861" s="2" t="s">
        <v>1729</v>
      </c>
      <c r="C1861" s="2" t="s">
        <v>1742</v>
      </c>
      <c r="D1861" s="2" t="s">
        <v>254</v>
      </c>
      <c r="E1861" s="8">
        <v>0.105</v>
      </c>
      <c r="F1861" s="7" t="s">
        <v>1758</v>
      </c>
      <c r="G1861" s="2" t="s">
        <v>1743</v>
      </c>
      <c r="H1861" s="2" t="s">
        <v>1759</v>
      </c>
      <c r="I1861" s="2" t="s">
        <v>2873</v>
      </c>
      <c r="J1861" s="2" t="s">
        <v>2874</v>
      </c>
      <c r="K1861" s="2" t="s">
        <v>2875</v>
      </c>
      <c r="L1861" s="2" t="s">
        <v>45</v>
      </c>
    </row>
    <row r="1862" spans="1:12" ht="72.5">
      <c r="A1862" s="2" t="s">
        <v>1746</v>
      </c>
      <c r="B1862" s="2" t="s">
        <v>1729</v>
      </c>
      <c r="C1862" s="2" t="s">
        <v>1742</v>
      </c>
      <c r="D1862" s="2" t="s">
        <v>124</v>
      </c>
      <c r="E1862" s="11">
        <v>1</v>
      </c>
      <c r="F1862" s="20" t="s">
        <v>1763</v>
      </c>
      <c r="G1862" s="21" t="s">
        <v>1743</v>
      </c>
      <c r="H1862" s="21" t="s">
        <v>1779</v>
      </c>
      <c r="I1862" s="2" t="s">
        <v>2299</v>
      </c>
      <c r="J1862" s="2" t="s">
        <v>1781</v>
      </c>
      <c r="K1862" s="2" t="s">
        <v>2876</v>
      </c>
      <c r="L1862" s="2" t="s">
        <v>45</v>
      </c>
    </row>
    <row r="1863" spans="1:12" ht="72.5">
      <c r="A1863" s="2" t="s">
        <v>1746</v>
      </c>
      <c r="B1863" s="2" t="s">
        <v>1729</v>
      </c>
      <c r="C1863" s="2" t="s">
        <v>1742</v>
      </c>
      <c r="D1863" s="2" t="s">
        <v>65</v>
      </c>
      <c r="E1863" s="11">
        <v>0</v>
      </c>
      <c r="F1863" s="20" t="s">
        <v>1763</v>
      </c>
      <c r="G1863" s="21" t="s">
        <v>1743</v>
      </c>
      <c r="H1863" s="21" t="s">
        <v>1779</v>
      </c>
      <c r="I1863" s="2" t="s">
        <v>2299</v>
      </c>
      <c r="J1863" s="2" t="s">
        <v>1781</v>
      </c>
      <c r="K1863" s="2" t="s">
        <v>2877</v>
      </c>
      <c r="L1863" s="2" t="s">
        <v>45</v>
      </c>
    </row>
    <row r="1864" spans="1:12" ht="43.5">
      <c r="A1864" s="2" t="s">
        <v>1746</v>
      </c>
      <c r="B1864" s="2" t="s">
        <v>1729</v>
      </c>
      <c r="C1864" s="2" t="s">
        <v>1742</v>
      </c>
      <c r="D1864" s="2" t="s">
        <v>222</v>
      </c>
      <c r="E1864" s="5">
        <v>0.02</v>
      </c>
      <c r="F1864" s="7" t="s">
        <v>1764</v>
      </c>
      <c r="G1864" s="2" t="s">
        <v>1743</v>
      </c>
      <c r="H1864" s="2" t="s">
        <v>1759</v>
      </c>
      <c r="I1864" s="2" t="s">
        <v>2873</v>
      </c>
      <c r="J1864" s="2" t="s">
        <v>2874</v>
      </c>
      <c r="K1864" s="2" t="s">
        <v>2875</v>
      </c>
      <c r="L1864" s="2" t="s">
        <v>45</v>
      </c>
    </row>
    <row r="1865" spans="1:12" ht="14.5">
      <c r="A1865" s="2" t="s">
        <v>1746</v>
      </c>
      <c r="B1865" s="2" t="s">
        <v>1729</v>
      </c>
      <c r="C1865" s="2" t="s">
        <v>1742</v>
      </c>
      <c r="D1865" s="2" t="s">
        <v>1765</v>
      </c>
      <c r="E1865" s="5" t="s">
        <v>662</v>
      </c>
      <c r="F1865" s="7" t="s">
        <v>1766</v>
      </c>
      <c r="G1865" s="2" t="s">
        <v>1743</v>
      </c>
      <c r="H1865" s="2" t="s">
        <v>1759</v>
      </c>
      <c r="I1865" s="2" t="s">
        <v>1767</v>
      </c>
      <c r="J1865" s="2"/>
      <c r="K1865" t="s">
        <v>1817</v>
      </c>
    </row>
  </sheetData>
  <mergeCells count="2">
    <mergeCell ref="A1:I1"/>
    <mergeCell ref="A2:I2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7F8C"/>
  </sheetPr>
  <dimension ref="A1:J24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3.1640625" customWidth="1"/>
    <col min="2" max="2" width="56.25" customWidth="1"/>
    <col min="3" max="3" width="38.75" customWidth="1"/>
    <col min="4" max="4" width="11.9140625" customWidth="1"/>
    <col min="5" max="5" width="18.1640625" customWidth="1"/>
    <col min="6" max="6" width="16.9140625" customWidth="1"/>
    <col min="7" max="7" width="76.25" customWidth="1"/>
    <col min="8" max="8" width="34.4140625" customWidth="1"/>
    <col min="9" max="9" width="76.25" customWidth="1"/>
    <col min="10" max="10" width="28.1640625" customWidth="1"/>
  </cols>
  <sheetData>
    <row r="1" spans="1:10" ht="38" customHeight="1">
      <c r="A1" s="34" t="s">
        <v>2878</v>
      </c>
      <c r="B1" s="32"/>
      <c r="C1" s="32"/>
      <c r="D1" s="32"/>
      <c r="E1" s="32"/>
      <c r="F1" s="32"/>
    </row>
    <row r="2" spans="1:10" ht="34" customHeight="1">
      <c r="A2" s="33" t="s">
        <v>2879</v>
      </c>
      <c r="B2" s="32"/>
      <c r="C2" s="32"/>
      <c r="D2" s="32"/>
      <c r="E2" s="32"/>
      <c r="F2" s="32"/>
    </row>
    <row r="3" spans="1:10" ht="16.5">
      <c r="A3" s="1"/>
      <c r="B3" s="1"/>
      <c r="C3" s="1"/>
      <c r="D3" s="1"/>
      <c r="E3" s="1"/>
      <c r="F3" s="1"/>
    </row>
    <row r="5" spans="1:10" ht="32" customHeight="1">
      <c r="A5" s="3" t="s">
        <v>16</v>
      </c>
      <c r="B5" s="3" t="s">
        <v>2880</v>
      </c>
      <c r="C5" s="3" t="s">
        <v>2881</v>
      </c>
      <c r="D5" s="3" t="s">
        <v>2882</v>
      </c>
      <c r="E5" s="3" t="s">
        <v>2883</v>
      </c>
      <c r="F5" s="3" t="s">
        <v>2884</v>
      </c>
      <c r="G5" s="3" t="s">
        <v>1755</v>
      </c>
      <c r="H5" s="3" t="s">
        <v>2885</v>
      </c>
      <c r="I5" s="3" t="s">
        <v>2886</v>
      </c>
      <c r="J5" s="3" t="s">
        <v>2887</v>
      </c>
    </row>
    <row r="6" spans="1:10" ht="34" customHeight="1">
      <c r="A6" s="2" t="s">
        <v>181</v>
      </c>
      <c r="B6" s="2" t="s">
        <v>2888</v>
      </c>
      <c r="C6" s="2" t="s">
        <v>2889</v>
      </c>
      <c r="D6" s="2">
        <v>2022</v>
      </c>
      <c r="E6" s="2" t="s">
        <v>2890</v>
      </c>
      <c r="F6" s="2" t="s">
        <v>2891</v>
      </c>
      <c r="G6" s="2" t="s">
        <v>1855</v>
      </c>
      <c r="H6" s="2"/>
      <c r="I6" s="2" t="s">
        <v>2892</v>
      </c>
      <c r="J6" s="2" t="s">
        <v>2893</v>
      </c>
    </row>
    <row r="7" spans="1:10" ht="37" customHeight="1">
      <c r="A7" s="2" t="s">
        <v>206</v>
      </c>
      <c r="B7" s="2" t="s">
        <v>2894</v>
      </c>
      <c r="C7" s="2" t="s">
        <v>2895</v>
      </c>
      <c r="D7" s="2">
        <v>2005</v>
      </c>
      <c r="E7" s="2" t="s">
        <v>2896</v>
      </c>
      <c r="F7" s="2" t="s">
        <v>2891</v>
      </c>
      <c r="G7" s="2" t="s">
        <v>1777</v>
      </c>
      <c r="H7" s="2" t="s">
        <v>2897</v>
      </c>
      <c r="I7" s="2" t="s">
        <v>2898</v>
      </c>
      <c r="J7" s="2" t="s">
        <v>2899</v>
      </c>
    </row>
    <row r="8" spans="1:10" ht="34" customHeight="1">
      <c r="A8" s="2" t="s">
        <v>120</v>
      </c>
      <c r="B8" s="2" t="s">
        <v>2900</v>
      </c>
      <c r="C8" s="2" t="s">
        <v>2901</v>
      </c>
      <c r="D8" s="2">
        <v>2012</v>
      </c>
      <c r="E8" s="2" t="s">
        <v>2902</v>
      </c>
      <c r="F8" s="2" t="s">
        <v>2891</v>
      </c>
      <c r="G8" s="2" t="s">
        <v>1781</v>
      </c>
      <c r="H8" s="2"/>
      <c r="I8" s="2" t="s">
        <v>2903</v>
      </c>
      <c r="J8" s="2" t="s">
        <v>2904</v>
      </c>
    </row>
    <row r="9" spans="1:10" ht="34" customHeight="1">
      <c r="A9" s="2" t="s">
        <v>2905</v>
      </c>
      <c r="B9" s="2" t="s">
        <v>2906</v>
      </c>
      <c r="C9" s="2"/>
      <c r="D9" s="2">
        <v>2016</v>
      </c>
      <c r="E9" s="2" t="s">
        <v>2907</v>
      </c>
      <c r="F9" s="2" t="s">
        <v>2908</v>
      </c>
      <c r="G9" s="2" t="s">
        <v>1785</v>
      </c>
      <c r="H9" s="2" t="s">
        <v>2909</v>
      </c>
      <c r="I9" s="2" t="s">
        <v>2910</v>
      </c>
      <c r="J9" s="2" t="s">
        <v>2911</v>
      </c>
    </row>
    <row r="10" spans="1:10" ht="34" customHeight="1">
      <c r="A10" s="2" t="s">
        <v>2912</v>
      </c>
      <c r="B10" s="2" t="s">
        <v>2913</v>
      </c>
      <c r="C10" s="2" t="s">
        <v>2914</v>
      </c>
      <c r="D10" s="2">
        <v>2020</v>
      </c>
      <c r="E10" s="2" t="s">
        <v>2915</v>
      </c>
      <c r="F10" s="2" t="s">
        <v>2908</v>
      </c>
      <c r="G10" s="2" t="s">
        <v>2916</v>
      </c>
      <c r="H10" s="2"/>
      <c r="I10" s="2" t="s">
        <v>2917</v>
      </c>
      <c r="J10" s="2" t="s">
        <v>2918</v>
      </c>
    </row>
    <row r="11" spans="1:10" ht="34" customHeight="1">
      <c r="A11" s="2" t="s">
        <v>2919</v>
      </c>
      <c r="B11" s="2" t="s">
        <v>2920</v>
      </c>
      <c r="C11" s="2" t="s">
        <v>2921</v>
      </c>
      <c r="D11" s="2">
        <v>1998</v>
      </c>
      <c r="E11" s="2" t="s">
        <v>2907</v>
      </c>
      <c r="F11" s="2" t="s">
        <v>2891</v>
      </c>
      <c r="G11" s="2" t="s">
        <v>2077</v>
      </c>
      <c r="H11" s="2"/>
      <c r="I11" s="2" t="s">
        <v>2922</v>
      </c>
      <c r="J11" s="2" t="s">
        <v>2923</v>
      </c>
    </row>
    <row r="12" spans="1:10" ht="34" customHeight="1">
      <c r="A12" s="2" t="s">
        <v>545</v>
      </c>
      <c r="B12" s="2" t="s">
        <v>2924</v>
      </c>
      <c r="C12" s="2" t="s">
        <v>553</v>
      </c>
      <c r="D12" s="2">
        <v>2017</v>
      </c>
      <c r="E12" s="2" t="s">
        <v>2925</v>
      </c>
      <c r="F12" s="2" t="s">
        <v>2908</v>
      </c>
      <c r="G12" s="2" t="s">
        <v>2111</v>
      </c>
      <c r="H12" s="2"/>
      <c r="I12" s="2" t="s">
        <v>2926</v>
      </c>
      <c r="J12" s="2" t="s">
        <v>2927</v>
      </c>
    </row>
    <row r="13" spans="1:10" ht="37" customHeight="1">
      <c r="A13" s="2" t="s">
        <v>2928</v>
      </c>
      <c r="B13" s="2" t="s">
        <v>2929</v>
      </c>
      <c r="C13" s="2" t="s">
        <v>2930</v>
      </c>
      <c r="D13" s="2">
        <v>2015</v>
      </c>
      <c r="E13" s="2" t="s">
        <v>2907</v>
      </c>
      <c r="F13" s="2" t="s">
        <v>2891</v>
      </c>
      <c r="G13" s="2" t="s">
        <v>1975</v>
      </c>
      <c r="H13" s="2"/>
      <c r="I13" s="2" t="s">
        <v>2931</v>
      </c>
      <c r="J13" s="2" t="s">
        <v>2932</v>
      </c>
    </row>
    <row r="14" spans="1:10" ht="34" customHeight="1">
      <c r="A14" s="2" t="s">
        <v>2933</v>
      </c>
      <c r="B14" s="2" t="s">
        <v>2934</v>
      </c>
      <c r="C14" s="2" t="s">
        <v>2935</v>
      </c>
      <c r="D14" s="2">
        <v>2026</v>
      </c>
      <c r="E14" s="2" t="s">
        <v>2925</v>
      </c>
      <c r="F14" s="2" t="s">
        <v>2908</v>
      </c>
      <c r="G14" s="2" t="s">
        <v>2936</v>
      </c>
      <c r="H14" s="2"/>
      <c r="I14" s="2" t="s">
        <v>2937</v>
      </c>
      <c r="J14" s="2" t="s">
        <v>2938</v>
      </c>
    </row>
    <row r="15" spans="1:10" ht="34" customHeight="1">
      <c r="A15" s="2" t="s">
        <v>2939</v>
      </c>
      <c r="B15" s="2" t="s">
        <v>2940</v>
      </c>
      <c r="C15" s="2" t="s">
        <v>334</v>
      </c>
      <c r="D15" s="2">
        <v>2026</v>
      </c>
      <c r="E15" s="2" t="s">
        <v>2925</v>
      </c>
      <c r="F15" s="2" t="s">
        <v>2908</v>
      </c>
      <c r="G15" s="2" t="s">
        <v>2941</v>
      </c>
      <c r="H15" s="2"/>
      <c r="I15" s="2" t="s">
        <v>1578</v>
      </c>
      <c r="J15" s="2" t="s">
        <v>2942</v>
      </c>
    </row>
    <row r="16" spans="1:10" ht="34" customHeight="1">
      <c r="A16" s="2" t="s">
        <v>2943</v>
      </c>
      <c r="B16" s="2" t="s">
        <v>2944</v>
      </c>
      <c r="C16" s="2"/>
      <c r="D16" s="2">
        <v>2025</v>
      </c>
      <c r="E16" s="2" t="s">
        <v>2907</v>
      </c>
      <c r="F16" s="2" t="s">
        <v>2908</v>
      </c>
      <c r="G16" s="2" t="s">
        <v>2945</v>
      </c>
      <c r="H16" s="2" t="s">
        <v>2946</v>
      </c>
      <c r="I16" s="2" t="s">
        <v>2947</v>
      </c>
      <c r="J16" s="2" t="s">
        <v>2948</v>
      </c>
    </row>
    <row r="17" spans="1:10" ht="34" customHeight="1">
      <c r="A17" s="2" t="s">
        <v>2949</v>
      </c>
      <c r="B17" s="2" t="s">
        <v>2950</v>
      </c>
      <c r="C17" s="2" t="s">
        <v>2951</v>
      </c>
      <c r="D17" s="2">
        <v>2023</v>
      </c>
      <c r="E17" s="2" t="s">
        <v>2925</v>
      </c>
      <c r="F17" s="2" t="s">
        <v>2908</v>
      </c>
      <c r="G17" s="2" t="s">
        <v>2952</v>
      </c>
      <c r="H17" s="2"/>
      <c r="I17" s="2" t="s">
        <v>2953</v>
      </c>
      <c r="J17" s="2" t="s">
        <v>2954</v>
      </c>
    </row>
    <row r="18" spans="1:10" ht="34" customHeight="1">
      <c r="A18" s="2" t="s">
        <v>96</v>
      </c>
      <c r="B18" s="2" t="s">
        <v>2955</v>
      </c>
      <c r="C18" s="2"/>
      <c r="D18" s="2">
        <v>2025</v>
      </c>
      <c r="E18" s="2" t="s">
        <v>2907</v>
      </c>
      <c r="F18" s="2" t="s">
        <v>2908</v>
      </c>
      <c r="G18" s="2" t="s">
        <v>1797</v>
      </c>
      <c r="H18" s="2" t="s">
        <v>2956</v>
      </c>
      <c r="I18" s="2" t="s">
        <v>2957</v>
      </c>
      <c r="J18" s="2" t="s">
        <v>2958</v>
      </c>
    </row>
    <row r="19" spans="1:10" ht="37" customHeight="1">
      <c r="A19" s="2" t="s">
        <v>139</v>
      </c>
      <c r="B19" s="2" t="s">
        <v>2959</v>
      </c>
      <c r="C19" s="2" t="s">
        <v>2960</v>
      </c>
      <c r="D19" s="2">
        <v>2024</v>
      </c>
      <c r="E19" s="2" t="s">
        <v>2907</v>
      </c>
      <c r="F19" s="2" t="s">
        <v>2908</v>
      </c>
      <c r="G19" s="2" t="s">
        <v>1823</v>
      </c>
      <c r="H19" s="2" t="s">
        <v>2961</v>
      </c>
      <c r="I19" s="2" t="s">
        <v>2962</v>
      </c>
      <c r="J19" s="2" t="s">
        <v>2963</v>
      </c>
    </row>
    <row r="20" spans="1:10" ht="37" customHeight="1">
      <c r="A20" s="2" t="s">
        <v>2964</v>
      </c>
      <c r="B20" s="2" t="s">
        <v>2965</v>
      </c>
      <c r="C20" s="2"/>
      <c r="D20" s="2">
        <v>2026</v>
      </c>
      <c r="E20" s="2" t="s">
        <v>2907</v>
      </c>
      <c r="F20" s="2" t="s">
        <v>2908</v>
      </c>
      <c r="G20" s="2" t="s">
        <v>1761</v>
      </c>
      <c r="H20" s="2"/>
      <c r="I20" s="2" t="s">
        <v>2966</v>
      </c>
      <c r="J20" s="2" t="s">
        <v>2967</v>
      </c>
    </row>
    <row r="21" spans="1:10" ht="34" customHeight="1">
      <c r="A21" s="2" t="s">
        <v>2968</v>
      </c>
      <c r="B21" s="2" t="s">
        <v>2969</v>
      </c>
      <c r="C21" s="2" t="s">
        <v>2970</v>
      </c>
      <c r="D21" s="2">
        <v>2026</v>
      </c>
      <c r="E21" s="2" t="s">
        <v>2925</v>
      </c>
      <c r="F21" s="2" t="s">
        <v>2908</v>
      </c>
      <c r="G21" s="2" t="s">
        <v>2971</v>
      </c>
      <c r="H21" s="2"/>
      <c r="I21" s="2" t="s">
        <v>31</v>
      </c>
      <c r="J21" s="2" t="s">
        <v>2972</v>
      </c>
    </row>
    <row r="22" spans="1:10" ht="37" customHeight="1">
      <c r="A22" s="2" t="s">
        <v>200</v>
      </c>
      <c r="B22" s="2" t="s">
        <v>2973</v>
      </c>
      <c r="C22" s="2" t="s">
        <v>2974</v>
      </c>
      <c r="D22" s="2">
        <v>2025</v>
      </c>
      <c r="E22" s="2" t="s">
        <v>2907</v>
      </c>
      <c r="F22" s="2" t="s">
        <v>2891</v>
      </c>
      <c r="G22" s="2" t="s">
        <v>1864</v>
      </c>
      <c r="H22" s="2"/>
      <c r="I22" s="2" t="s">
        <v>2975</v>
      </c>
      <c r="J22" s="2" t="s">
        <v>2976</v>
      </c>
    </row>
    <row r="23" spans="1:10" ht="37" customHeight="1">
      <c r="A23" s="2" t="s">
        <v>2977</v>
      </c>
      <c r="B23" s="2" t="s">
        <v>2978</v>
      </c>
      <c r="C23" s="2"/>
      <c r="D23" s="2">
        <v>2025</v>
      </c>
      <c r="E23" s="2" t="s">
        <v>2907</v>
      </c>
      <c r="F23" s="2" t="s">
        <v>2908</v>
      </c>
      <c r="G23" s="2" t="s">
        <v>2120</v>
      </c>
      <c r="H23" s="2" t="s">
        <v>2979</v>
      </c>
      <c r="I23" s="2" t="s">
        <v>2947</v>
      </c>
      <c r="J23" s="2" t="s">
        <v>2980</v>
      </c>
    </row>
    <row r="24" spans="1:10" ht="34" customHeight="1">
      <c r="A24" s="2" t="s">
        <v>220</v>
      </c>
      <c r="B24" s="2" t="s">
        <v>2981</v>
      </c>
      <c r="C24" s="2" t="s">
        <v>2982</v>
      </c>
      <c r="D24" s="2">
        <v>2025</v>
      </c>
      <c r="E24" s="2" t="s">
        <v>2907</v>
      </c>
      <c r="F24" s="2" t="s">
        <v>2983</v>
      </c>
      <c r="G24" s="2" t="s">
        <v>1875</v>
      </c>
      <c r="H24" s="2"/>
      <c r="I24" s="2" t="s">
        <v>2984</v>
      </c>
      <c r="J24" s="2" t="s">
        <v>2985</v>
      </c>
    </row>
    <row r="25" spans="1:10" ht="34" customHeight="1">
      <c r="A25" s="2" t="s">
        <v>274</v>
      </c>
      <c r="B25" s="2" t="s">
        <v>2986</v>
      </c>
      <c r="C25" s="2" t="s">
        <v>2987</v>
      </c>
      <c r="D25" s="2">
        <v>2026</v>
      </c>
      <c r="E25" s="2" t="s">
        <v>2925</v>
      </c>
      <c r="F25" s="2" t="s">
        <v>2988</v>
      </c>
      <c r="G25" s="2" t="s">
        <v>1921</v>
      </c>
      <c r="H25" s="2"/>
      <c r="I25" s="2" t="s">
        <v>2989</v>
      </c>
      <c r="J25" s="2" t="s">
        <v>2990</v>
      </c>
    </row>
    <row r="26" spans="1:10" ht="34" customHeight="1">
      <c r="A26" s="2" t="s">
        <v>2991</v>
      </c>
      <c r="B26" s="2" t="s">
        <v>2992</v>
      </c>
      <c r="C26" s="2"/>
      <c r="D26" s="2">
        <v>2016</v>
      </c>
      <c r="E26" s="2" t="s">
        <v>2907</v>
      </c>
      <c r="F26" s="2" t="s">
        <v>2908</v>
      </c>
      <c r="G26" s="2" t="s">
        <v>2993</v>
      </c>
      <c r="H26" s="2"/>
      <c r="I26" s="2" t="s">
        <v>2931</v>
      </c>
      <c r="J26" s="2" t="s">
        <v>2994</v>
      </c>
    </row>
    <row r="27" spans="1:10" ht="37" customHeight="1">
      <c r="A27" s="2" t="s">
        <v>488</v>
      </c>
      <c r="B27" s="2" t="s">
        <v>2995</v>
      </c>
      <c r="C27" s="2" t="s">
        <v>470</v>
      </c>
      <c r="D27" s="2">
        <v>2025</v>
      </c>
      <c r="E27" s="2" t="s">
        <v>2915</v>
      </c>
      <c r="F27" s="2" t="s">
        <v>2908</v>
      </c>
      <c r="G27" s="2" t="s">
        <v>2073</v>
      </c>
      <c r="H27" s="2"/>
      <c r="I27" s="2" t="s">
        <v>2996</v>
      </c>
      <c r="J27" s="2" t="s">
        <v>2997</v>
      </c>
    </row>
    <row r="28" spans="1:10" ht="37" customHeight="1">
      <c r="A28" s="2" t="s">
        <v>2998</v>
      </c>
      <c r="B28" s="2" t="s">
        <v>2999</v>
      </c>
      <c r="C28" s="2" t="s">
        <v>3000</v>
      </c>
      <c r="D28" s="2">
        <v>2002</v>
      </c>
      <c r="E28" s="2" t="s">
        <v>2907</v>
      </c>
      <c r="F28" s="2" t="s">
        <v>2891</v>
      </c>
      <c r="G28" s="2" t="s">
        <v>1956</v>
      </c>
      <c r="H28" s="2"/>
      <c r="I28" s="2" t="s">
        <v>3001</v>
      </c>
      <c r="J28" s="2" t="s">
        <v>3002</v>
      </c>
    </row>
    <row r="29" spans="1:10" ht="34" customHeight="1">
      <c r="A29" s="2" t="s">
        <v>3003</v>
      </c>
      <c r="B29" s="2" t="s">
        <v>3004</v>
      </c>
      <c r="C29" s="2" t="s">
        <v>2935</v>
      </c>
      <c r="D29" s="2">
        <v>2025</v>
      </c>
      <c r="E29" s="2" t="s">
        <v>2925</v>
      </c>
      <c r="F29" s="2" t="s">
        <v>2988</v>
      </c>
      <c r="G29" s="2" t="s">
        <v>3005</v>
      </c>
      <c r="H29" s="2"/>
      <c r="I29" s="2" t="s">
        <v>3006</v>
      </c>
      <c r="J29" s="2" t="s">
        <v>3007</v>
      </c>
    </row>
    <row r="30" spans="1:10" ht="34" customHeight="1">
      <c r="A30" s="2" t="s">
        <v>353</v>
      </c>
      <c r="B30" s="2" t="s">
        <v>3008</v>
      </c>
      <c r="C30" s="2" t="s">
        <v>3009</v>
      </c>
      <c r="D30" s="2">
        <v>2004</v>
      </c>
      <c r="E30" s="2" t="s">
        <v>2925</v>
      </c>
      <c r="F30" s="2" t="s">
        <v>2988</v>
      </c>
      <c r="G30" s="2" t="s">
        <v>1983</v>
      </c>
      <c r="H30" s="2"/>
      <c r="I30" s="2" t="s">
        <v>3010</v>
      </c>
      <c r="J30" s="2" t="s">
        <v>3011</v>
      </c>
    </row>
    <row r="31" spans="1:10" ht="34" customHeight="1">
      <c r="A31" s="2" t="s">
        <v>3012</v>
      </c>
      <c r="B31" s="2" t="s">
        <v>3013</v>
      </c>
      <c r="C31" s="2" t="s">
        <v>3014</v>
      </c>
      <c r="D31" s="2"/>
      <c r="E31" s="2" t="s">
        <v>2925</v>
      </c>
      <c r="F31" s="2" t="s">
        <v>2908</v>
      </c>
      <c r="G31" s="2" t="s">
        <v>1966</v>
      </c>
      <c r="H31" s="2"/>
      <c r="I31" s="2" t="s">
        <v>327</v>
      </c>
      <c r="J31" s="2" t="s">
        <v>3015</v>
      </c>
    </row>
    <row r="32" spans="1:10" ht="34" customHeight="1">
      <c r="A32" s="2" t="s">
        <v>52</v>
      </c>
      <c r="B32" s="2" t="s">
        <v>3016</v>
      </c>
      <c r="C32" s="2"/>
      <c r="D32" s="2">
        <v>2018</v>
      </c>
      <c r="E32" s="2" t="s">
        <v>2896</v>
      </c>
      <c r="F32" s="2" t="s">
        <v>2908</v>
      </c>
      <c r="G32" s="2" t="s">
        <v>3017</v>
      </c>
      <c r="H32" s="2"/>
      <c r="I32" s="2" t="s">
        <v>3018</v>
      </c>
      <c r="J32" s="2" t="s">
        <v>3019</v>
      </c>
    </row>
    <row r="33" spans="1:10" ht="34" customHeight="1">
      <c r="A33" s="2" t="s">
        <v>447</v>
      </c>
      <c r="B33" s="2" t="s">
        <v>3020</v>
      </c>
      <c r="C33" s="2" t="s">
        <v>3021</v>
      </c>
      <c r="D33" s="2">
        <v>1999</v>
      </c>
      <c r="E33" s="2" t="s">
        <v>2925</v>
      </c>
      <c r="F33" s="2" t="s">
        <v>2988</v>
      </c>
      <c r="G33" s="2" t="s">
        <v>2045</v>
      </c>
      <c r="H33" s="2"/>
      <c r="I33" s="2" t="s">
        <v>3022</v>
      </c>
      <c r="J33" s="2" t="s">
        <v>3023</v>
      </c>
    </row>
    <row r="34" spans="1:10" ht="34" customHeight="1">
      <c r="A34" s="2" t="s">
        <v>245</v>
      </c>
      <c r="B34" s="2" t="s">
        <v>3024</v>
      </c>
      <c r="C34" s="2" t="s">
        <v>3025</v>
      </c>
      <c r="D34" s="2">
        <v>2007</v>
      </c>
      <c r="E34" s="2" t="s">
        <v>2907</v>
      </c>
      <c r="F34" s="2" t="s">
        <v>2891</v>
      </c>
      <c r="G34" s="2" t="s">
        <v>1887</v>
      </c>
      <c r="H34" s="2" t="s">
        <v>3026</v>
      </c>
      <c r="I34" s="2" t="s">
        <v>3027</v>
      </c>
      <c r="J34" s="2" t="s">
        <v>3028</v>
      </c>
    </row>
    <row r="35" spans="1:10" ht="34" customHeight="1">
      <c r="A35" s="2" t="s">
        <v>108</v>
      </c>
      <c r="B35" s="2" t="s">
        <v>3029</v>
      </c>
      <c r="C35" s="2" t="s">
        <v>3030</v>
      </c>
      <c r="D35" s="2">
        <v>2005</v>
      </c>
      <c r="E35" s="2" t="s">
        <v>2915</v>
      </c>
      <c r="F35" s="2" t="s">
        <v>2891</v>
      </c>
      <c r="G35" s="2" t="s">
        <v>1806</v>
      </c>
      <c r="H35" s="2"/>
      <c r="I35" s="2" t="s">
        <v>3031</v>
      </c>
      <c r="J35" s="2" t="s">
        <v>3032</v>
      </c>
    </row>
    <row r="36" spans="1:10" ht="34" customHeight="1">
      <c r="A36" s="2" t="s">
        <v>382</v>
      </c>
      <c r="B36" s="2" t="s">
        <v>3033</v>
      </c>
      <c r="C36" s="2" t="s">
        <v>3034</v>
      </c>
      <c r="D36" s="2">
        <v>2008</v>
      </c>
      <c r="E36" s="2" t="s">
        <v>2907</v>
      </c>
      <c r="F36" s="2" t="s">
        <v>2891</v>
      </c>
      <c r="G36" s="2" t="s">
        <v>2000</v>
      </c>
      <c r="H36" s="2"/>
      <c r="I36" s="2" t="s">
        <v>3035</v>
      </c>
      <c r="J36" s="2" t="s">
        <v>3036</v>
      </c>
    </row>
    <row r="37" spans="1:10" ht="34" customHeight="1">
      <c r="A37" s="2" t="s">
        <v>527</v>
      </c>
      <c r="B37" s="2" t="s">
        <v>3037</v>
      </c>
      <c r="C37" s="2" t="s">
        <v>3038</v>
      </c>
      <c r="D37" s="2">
        <v>2026</v>
      </c>
      <c r="E37" s="2" t="s">
        <v>2907</v>
      </c>
      <c r="F37" s="2" t="s">
        <v>2983</v>
      </c>
      <c r="G37" s="2" t="s">
        <v>2099</v>
      </c>
      <c r="H37" s="2" t="s">
        <v>3039</v>
      </c>
      <c r="I37" s="2" t="s">
        <v>3040</v>
      </c>
      <c r="J37" s="2" t="s">
        <v>3041</v>
      </c>
    </row>
    <row r="38" spans="1:10" ht="34" customHeight="1">
      <c r="A38" s="2" t="s">
        <v>3042</v>
      </c>
      <c r="B38" s="2" t="s">
        <v>3043</v>
      </c>
      <c r="C38" s="2" t="s">
        <v>3044</v>
      </c>
      <c r="D38" s="2"/>
      <c r="E38" s="2" t="s">
        <v>2925</v>
      </c>
      <c r="F38" s="2" t="s">
        <v>2988</v>
      </c>
      <c r="G38" s="2" t="s">
        <v>3045</v>
      </c>
      <c r="H38" s="2"/>
      <c r="I38" s="2" t="s">
        <v>3046</v>
      </c>
      <c r="J38" s="2" t="s">
        <v>3047</v>
      </c>
    </row>
    <row r="39" spans="1:10" ht="34" customHeight="1">
      <c r="A39" s="2" t="s">
        <v>128</v>
      </c>
      <c r="B39" s="2" t="s">
        <v>3048</v>
      </c>
      <c r="C39" s="2" t="s">
        <v>3049</v>
      </c>
      <c r="D39" s="2"/>
      <c r="E39" s="2" t="s">
        <v>2925</v>
      </c>
      <c r="F39" s="2" t="s">
        <v>2988</v>
      </c>
      <c r="G39" s="2" t="s">
        <v>1819</v>
      </c>
      <c r="H39" s="2"/>
      <c r="I39" s="2" t="s">
        <v>3050</v>
      </c>
      <c r="J39" s="2" t="s">
        <v>3051</v>
      </c>
    </row>
    <row r="40" spans="1:10" ht="34" customHeight="1">
      <c r="A40" s="2" t="s">
        <v>503</v>
      </c>
      <c r="B40" s="2" t="s">
        <v>3052</v>
      </c>
      <c r="C40" s="2"/>
      <c r="D40" s="2">
        <v>1996</v>
      </c>
      <c r="E40" s="2" t="s">
        <v>2915</v>
      </c>
      <c r="F40" s="2" t="s">
        <v>2891</v>
      </c>
      <c r="G40" s="2" t="s">
        <v>2082</v>
      </c>
      <c r="H40" s="2"/>
      <c r="I40" s="2" t="s">
        <v>3053</v>
      </c>
      <c r="J40" s="2" t="s">
        <v>3054</v>
      </c>
    </row>
    <row r="41" spans="1:10" ht="34" customHeight="1">
      <c r="A41" s="2" t="s">
        <v>468</v>
      </c>
      <c r="B41" s="2" t="s">
        <v>3055</v>
      </c>
      <c r="C41" s="2" t="s">
        <v>3056</v>
      </c>
      <c r="D41" s="2">
        <v>2025</v>
      </c>
      <c r="E41" s="2" t="s">
        <v>2915</v>
      </c>
      <c r="F41" s="2" t="s">
        <v>2891</v>
      </c>
      <c r="G41" s="2" t="s">
        <v>2064</v>
      </c>
      <c r="H41" s="2"/>
      <c r="I41" s="2" t="s">
        <v>3057</v>
      </c>
      <c r="J41" s="2" t="s">
        <v>3058</v>
      </c>
    </row>
    <row r="42" spans="1:10" ht="37" customHeight="1">
      <c r="A42" s="2" t="s">
        <v>228</v>
      </c>
      <c r="B42" s="2" t="s">
        <v>3059</v>
      </c>
      <c r="C42" s="2" t="s">
        <v>3060</v>
      </c>
      <c r="D42" s="2">
        <v>2013</v>
      </c>
      <c r="E42" s="2" t="s">
        <v>2896</v>
      </c>
      <c r="F42" s="2" t="s">
        <v>2908</v>
      </c>
      <c r="G42" s="2" t="s">
        <v>1879</v>
      </c>
      <c r="H42" s="2" t="s">
        <v>3061</v>
      </c>
      <c r="I42" s="2" t="s">
        <v>3062</v>
      </c>
      <c r="J42" s="2" t="s">
        <v>3063</v>
      </c>
    </row>
    <row r="43" spans="1:10" ht="34" customHeight="1">
      <c r="A43" s="2" t="s">
        <v>3064</v>
      </c>
      <c r="B43" s="2" t="s">
        <v>3065</v>
      </c>
      <c r="C43" s="2" t="s">
        <v>3066</v>
      </c>
      <c r="D43" s="2">
        <v>2021</v>
      </c>
      <c r="E43" s="2" t="s">
        <v>2915</v>
      </c>
      <c r="F43" s="2" t="s">
        <v>2891</v>
      </c>
      <c r="G43" s="2" t="s">
        <v>1793</v>
      </c>
      <c r="H43" s="2"/>
      <c r="I43" s="2" t="s">
        <v>3067</v>
      </c>
      <c r="J43" s="2" t="s">
        <v>3068</v>
      </c>
    </row>
    <row r="44" spans="1:10" ht="34" customHeight="1">
      <c r="A44" s="2" t="s">
        <v>282</v>
      </c>
      <c r="B44" s="2" t="s">
        <v>3069</v>
      </c>
      <c r="C44" s="2" t="s">
        <v>3070</v>
      </c>
      <c r="D44" s="2">
        <v>2012</v>
      </c>
      <c r="E44" s="2" t="s">
        <v>2915</v>
      </c>
      <c r="F44" s="2" t="s">
        <v>2891</v>
      </c>
      <c r="G44" s="2" t="s">
        <v>1927</v>
      </c>
      <c r="H44" s="2"/>
      <c r="I44" s="2" t="s">
        <v>3071</v>
      </c>
      <c r="J44" s="2" t="s">
        <v>3072</v>
      </c>
    </row>
    <row r="45" spans="1:10" ht="37" customHeight="1">
      <c r="A45" s="2" t="s">
        <v>3073</v>
      </c>
      <c r="B45" s="2" t="s">
        <v>3074</v>
      </c>
      <c r="C45" s="2" t="s">
        <v>3075</v>
      </c>
      <c r="D45" s="2">
        <v>2026</v>
      </c>
      <c r="E45" s="2" t="s">
        <v>2907</v>
      </c>
      <c r="F45" s="2" t="s">
        <v>2891</v>
      </c>
      <c r="G45" s="2" t="s">
        <v>3076</v>
      </c>
      <c r="H45" s="2" t="s">
        <v>3077</v>
      </c>
      <c r="I45" s="2" t="s">
        <v>3078</v>
      </c>
      <c r="J45" s="2" t="s">
        <v>3079</v>
      </c>
    </row>
    <row r="46" spans="1:10" ht="34" customHeight="1">
      <c r="A46" s="2" t="s">
        <v>3080</v>
      </c>
      <c r="B46" s="2" t="s">
        <v>3081</v>
      </c>
      <c r="C46" s="2" t="s">
        <v>3082</v>
      </c>
      <c r="D46" s="2">
        <v>2026</v>
      </c>
      <c r="E46" s="2" t="s">
        <v>2925</v>
      </c>
      <c r="F46" s="2" t="s">
        <v>2988</v>
      </c>
      <c r="G46" s="2" t="s">
        <v>3083</v>
      </c>
      <c r="H46" s="2"/>
      <c r="I46" s="2" t="s">
        <v>3084</v>
      </c>
      <c r="J46" s="2" t="s">
        <v>3085</v>
      </c>
    </row>
    <row r="47" spans="1:10" ht="34" customHeight="1">
      <c r="A47" s="2" t="s">
        <v>3086</v>
      </c>
      <c r="B47" s="2" t="s">
        <v>3087</v>
      </c>
      <c r="C47" s="2" t="s">
        <v>3088</v>
      </c>
      <c r="D47" s="2"/>
      <c r="E47" s="2" t="s">
        <v>2925</v>
      </c>
      <c r="F47" s="2" t="s">
        <v>2988</v>
      </c>
      <c r="G47" s="2" t="s">
        <v>3089</v>
      </c>
      <c r="H47" s="2"/>
      <c r="I47" s="2" t="s">
        <v>3090</v>
      </c>
      <c r="J47" s="2" t="s">
        <v>3091</v>
      </c>
    </row>
    <row r="48" spans="1:10" ht="34" customHeight="1">
      <c r="A48" s="2" t="s">
        <v>3092</v>
      </c>
      <c r="B48" s="2" t="s">
        <v>3093</v>
      </c>
      <c r="C48" s="2" t="s">
        <v>3094</v>
      </c>
      <c r="D48" s="2">
        <v>2020</v>
      </c>
      <c r="E48" s="2" t="s">
        <v>2907</v>
      </c>
      <c r="F48" s="2" t="s">
        <v>2891</v>
      </c>
      <c r="G48" s="2" t="s">
        <v>2069</v>
      </c>
      <c r="H48" s="2" t="s">
        <v>3095</v>
      </c>
      <c r="I48" s="2" t="s">
        <v>3096</v>
      </c>
      <c r="J48" s="2" t="s">
        <v>3097</v>
      </c>
    </row>
    <row r="49" spans="1:10" ht="34" customHeight="1">
      <c r="A49" s="2" t="s">
        <v>3098</v>
      </c>
      <c r="B49" s="2" t="s">
        <v>3099</v>
      </c>
      <c r="C49" s="2" t="s">
        <v>3100</v>
      </c>
      <c r="D49" s="2">
        <v>2025</v>
      </c>
      <c r="E49" s="2" t="s">
        <v>2907</v>
      </c>
      <c r="F49" s="2" t="s">
        <v>2891</v>
      </c>
      <c r="G49" s="2" t="s">
        <v>1871</v>
      </c>
      <c r="H49" s="2"/>
      <c r="I49" s="2" t="s">
        <v>3101</v>
      </c>
      <c r="J49" s="2" t="s">
        <v>3102</v>
      </c>
    </row>
    <row r="50" spans="1:10" ht="34" customHeight="1">
      <c r="A50" s="2" t="s">
        <v>3103</v>
      </c>
      <c r="B50" s="2" t="s">
        <v>3104</v>
      </c>
      <c r="C50" s="2" t="s">
        <v>3105</v>
      </c>
      <c r="D50" s="2">
        <v>2025</v>
      </c>
      <c r="E50" s="2" t="s">
        <v>2915</v>
      </c>
      <c r="F50" s="2" t="s">
        <v>2891</v>
      </c>
      <c r="G50" s="2" t="s">
        <v>1942</v>
      </c>
      <c r="H50" s="2"/>
      <c r="I50" s="2" t="s">
        <v>3106</v>
      </c>
      <c r="J50" s="2" t="s">
        <v>3107</v>
      </c>
    </row>
    <row r="51" spans="1:10" ht="34" customHeight="1">
      <c r="A51" s="2" t="s">
        <v>3108</v>
      </c>
      <c r="B51" s="2" t="s">
        <v>3109</v>
      </c>
      <c r="C51" s="2" t="s">
        <v>3110</v>
      </c>
      <c r="D51" s="2">
        <v>2012</v>
      </c>
      <c r="E51" s="2" t="s">
        <v>2915</v>
      </c>
      <c r="F51" s="2" t="s">
        <v>2891</v>
      </c>
      <c r="G51" s="2" t="s">
        <v>1840</v>
      </c>
      <c r="H51" s="2"/>
      <c r="I51" s="2" t="s">
        <v>3035</v>
      </c>
      <c r="J51" s="2" t="s">
        <v>3111</v>
      </c>
    </row>
    <row r="52" spans="1:10" ht="34" customHeight="1">
      <c r="A52" s="2" t="s">
        <v>3112</v>
      </c>
      <c r="B52" s="2" t="s">
        <v>3113</v>
      </c>
      <c r="C52" s="2"/>
      <c r="D52" s="2"/>
      <c r="E52" s="2" t="s">
        <v>2915</v>
      </c>
      <c r="F52" s="2" t="s">
        <v>2891</v>
      </c>
      <c r="G52" s="2" t="s">
        <v>1801</v>
      </c>
      <c r="H52" s="2"/>
      <c r="I52" s="2" t="s">
        <v>3114</v>
      </c>
      <c r="J52" s="2" t="s">
        <v>3115</v>
      </c>
    </row>
    <row r="53" spans="1:10" ht="34" customHeight="1">
      <c r="A53" s="2" t="s">
        <v>3116</v>
      </c>
      <c r="B53" s="2" t="s">
        <v>3117</v>
      </c>
      <c r="C53" s="2"/>
      <c r="D53" s="2">
        <v>2019</v>
      </c>
      <c r="E53" s="2" t="s">
        <v>2915</v>
      </c>
      <c r="F53" s="2" t="s">
        <v>2891</v>
      </c>
      <c r="G53" s="2" t="s">
        <v>2114</v>
      </c>
      <c r="H53" s="2" t="s">
        <v>3118</v>
      </c>
      <c r="I53" s="2" t="s">
        <v>3119</v>
      </c>
      <c r="J53" s="2" t="s">
        <v>3120</v>
      </c>
    </row>
    <row r="54" spans="1:10" ht="34" customHeight="1">
      <c r="A54" s="2" t="s">
        <v>3121</v>
      </c>
      <c r="B54" s="2" t="s">
        <v>3122</v>
      </c>
      <c r="C54" s="2"/>
      <c r="D54" s="2">
        <v>2004</v>
      </c>
      <c r="E54" s="2" t="s">
        <v>2915</v>
      </c>
      <c r="F54" s="2" t="s">
        <v>2891</v>
      </c>
      <c r="G54" s="2" t="s">
        <v>1891</v>
      </c>
      <c r="H54" s="2"/>
      <c r="I54" s="2" t="s">
        <v>3123</v>
      </c>
      <c r="J54" s="2" t="s">
        <v>3124</v>
      </c>
    </row>
    <row r="55" spans="1:10" ht="37" customHeight="1">
      <c r="A55" s="2" t="s">
        <v>3125</v>
      </c>
      <c r="B55" s="2" t="s">
        <v>3126</v>
      </c>
      <c r="C55" s="2"/>
      <c r="D55" s="2">
        <v>2000</v>
      </c>
      <c r="E55" s="2" t="s">
        <v>2907</v>
      </c>
      <c r="F55" s="2" t="s">
        <v>2891</v>
      </c>
      <c r="G55" s="2" t="s">
        <v>1836</v>
      </c>
      <c r="H55" s="2" t="s">
        <v>3127</v>
      </c>
      <c r="I55" s="2" t="s">
        <v>3128</v>
      </c>
      <c r="J55" s="2" t="s">
        <v>3129</v>
      </c>
    </row>
    <row r="56" spans="1:10" ht="37" customHeight="1">
      <c r="A56" s="2" t="s">
        <v>3130</v>
      </c>
      <c r="B56" s="2" t="s">
        <v>3131</v>
      </c>
      <c r="C56" s="2"/>
      <c r="D56" s="2"/>
      <c r="E56" s="2" t="s">
        <v>2907</v>
      </c>
      <c r="F56" s="2" t="s">
        <v>2891</v>
      </c>
      <c r="G56" s="2" t="s">
        <v>2093</v>
      </c>
      <c r="H56" s="2"/>
      <c r="I56" s="2" t="s">
        <v>3132</v>
      </c>
      <c r="J56" s="2" t="s">
        <v>3133</v>
      </c>
    </row>
    <row r="57" spans="1:10" ht="34" customHeight="1">
      <c r="A57" s="2" t="s">
        <v>3134</v>
      </c>
      <c r="B57" s="2" t="s">
        <v>3135</v>
      </c>
      <c r="C57" s="2"/>
      <c r="D57" s="2">
        <v>2001</v>
      </c>
      <c r="E57" s="2" t="s">
        <v>2915</v>
      </c>
      <c r="F57" s="2" t="s">
        <v>2891</v>
      </c>
      <c r="G57" s="2" t="s">
        <v>2089</v>
      </c>
      <c r="H57" s="2"/>
      <c r="I57" s="2" t="s">
        <v>3136</v>
      </c>
      <c r="J57" s="2" t="s">
        <v>3137</v>
      </c>
    </row>
    <row r="58" spans="1:10" ht="34" customHeight="1">
      <c r="A58" s="2" t="s">
        <v>3138</v>
      </c>
      <c r="B58" s="2" t="s">
        <v>3139</v>
      </c>
      <c r="C58" s="2"/>
      <c r="D58" s="2">
        <v>1992</v>
      </c>
      <c r="E58" s="2" t="s">
        <v>2915</v>
      </c>
      <c r="F58" s="2" t="s">
        <v>2891</v>
      </c>
      <c r="G58" s="2" t="s">
        <v>2005</v>
      </c>
      <c r="H58" s="2"/>
      <c r="I58" s="2" t="s">
        <v>3140</v>
      </c>
      <c r="J58" s="2" t="s">
        <v>3141</v>
      </c>
    </row>
    <row r="59" spans="1:10" ht="34" customHeight="1">
      <c r="A59" s="2" t="s">
        <v>3142</v>
      </c>
      <c r="B59" s="2" t="s">
        <v>3143</v>
      </c>
      <c r="C59" s="2" t="s">
        <v>3144</v>
      </c>
      <c r="D59" s="2">
        <v>2005</v>
      </c>
      <c r="E59" s="2" t="s">
        <v>2907</v>
      </c>
      <c r="F59" s="2" t="s">
        <v>2891</v>
      </c>
      <c r="G59" s="2" t="s">
        <v>1979</v>
      </c>
      <c r="H59" s="2"/>
      <c r="I59" s="2" t="s">
        <v>3145</v>
      </c>
      <c r="J59" s="2" t="s">
        <v>3146</v>
      </c>
    </row>
    <row r="60" spans="1:10" ht="37" customHeight="1">
      <c r="A60" s="2" t="s">
        <v>3147</v>
      </c>
      <c r="B60" s="2" t="s">
        <v>3148</v>
      </c>
      <c r="C60" s="2" t="s">
        <v>3149</v>
      </c>
      <c r="D60" s="2">
        <v>2012</v>
      </c>
      <c r="E60" s="2" t="s">
        <v>2907</v>
      </c>
      <c r="F60" s="2" t="s">
        <v>2891</v>
      </c>
      <c r="G60" s="2" t="s">
        <v>1935</v>
      </c>
      <c r="H60" s="2"/>
      <c r="I60" s="2" t="s">
        <v>3150</v>
      </c>
      <c r="J60" s="2" t="s">
        <v>3151</v>
      </c>
    </row>
    <row r="61" spans="1:10" ht="34" customHeight="1">
      <c r="A61" s="2" t="s">
        <v>3152</v>
      </c>
      <c r="B61" s="2" t="s">
        <v>3153</v>
      </c>
      <c r="C61" s="2" t="s">
        <v>3154</v>
      </c>
      <c r="D61" s="2">
        <v>2009</v>
      </c>
      <c r="E61" s="2" t="s">
        <v>2907</v>
      </c>
      <c r="F61" s="2" t="s">
        <v>2891</v>
      </c>
      <c r="G61" s="2" t="s">
        <v>1883</v>
      </c>
      <c r="H61" s="2"/>
      <c r="I61" s="2" t="s">
        <v>3155</v>
      </c>
      <c r="J61" s="2" t="s">
        <v>3156</v>
      </c>
    </row>
    <row r="62" spans="1:10" ht="37" customHeight="1">
      <c r="A62" s="2" t="s">
        <v>3157</v>
      </c>
      <c r="B62" s="2" t="s">
        <v>3158</v>
      </c>
      <c r="C62" s="2"/>
      <c r="D62" s="2">
        <v>2010</v>
      </c>
      <c r="E62" s="2" t="s">
        <v>2907</v>
      </c>
      <c r="F62" s="2" t="s">
        <v>2891</v>
      </c>
      <c r="G62" s="2" t="s">
        <v>2022</v>
      </c>
      <c r="H62" s="2" t="s">
        <v>3159</v>
      </c>
      <c r="I62" s="2" t="s">
        <v>3160</v>
      </c>
      <c r="J62" s="2" t="s">
        <v>3161</v>
      </c>
    </row>
    <row r="63" spans="1:10" ht="34" customHeight="1">
      <c r="A63" s="2" t="s">
        <v>3162</v>
      </c>
      <c r="B63" s="2" t="s">
        <v>3163</v>
      </c>
      <c r="C63" s="2"/>
      <c r="D63" s="2">
        <v>2021</v>
      </c>
      <c r="E63" s="2" t="s">
        <v>2907</v>
      </c>
      <c r="F63" s="2" t="s">
        <v>2891</v>
      </c>
      <c r="G63" s="2" t="s">
        <v>1990</v>
      </c>
      <c r="H63" s="2"/>
      <c r="I63" s="2" t="s">
        <v>3164</v>
      </c>
      <c r="J63" s="2" t="s">
        <v>3165</v>
      </c>
    </row>
    <row r="64" spans="1:10" ht="37" customHeight="1">
      <c r="A64" s="2" t="s">
        <v>3166</v>
      </c>
      <c r="B64" s="2" t="s">
        <v>3167</v>
      </c>
      <c r="C64" s="2"/>
      <c r="D64" s="2">
        <v>2025</v>
      </c>
      <c r="E64" s="2" t="s">
        <v>2907</v>
      </c>
      <c r="F64" s="2" t="s">
        <v>2891</v>
      </c>
      <c r="G64" s="2" t="s">
        <v>2123</v>
      </c>
      <c r="H64" s="2" t="s">
        <v>3168</v>
      </c>
      <c r="I64" s="2" t="s">
        <v>3169</v>
      </c>
      <c r="J64" s="2" t="s">
        <v>3170</v>
      </c>
    </row>
    <row r="65" spans="1:10" ht="34" customHeight="1">
      <c r="A65" s="2" t="s">
        <v>716</v>
      </c>
      <c r="B65" s="2" t="s">
        <v>3171</v>
      </c>
      <c r="C65" s="2"/>
      <c r="D65" s="2">
        <v>1997</v>
      </c>
      <c r="E65" s="2" t="s">
        <v>2907</v>
      </c>
      <c r="F65" s="2" t="s">
        <v>2891</v>
      </c>
      <c r="G65" s="2" t="s">
        <v>1833</v>
      </c>
      <c r="H65" s="2"/>
      <c r="I65" s="2" t="s">
        <v>3172</v>
      </c>
      <c r="J65" s="2" t="s">
        <v>3173</v>
      </c>
    </row>
    <row r="66" spans="1:10" ht="37" customHeight="1">
      <c r="A66" s="2" t="s">
        <v>3174</v>
      </c>
      <c r="B66" s="2" t="s">
        <v>3175</v>
      </c>
      <c r="C66" s="2"/>
      <c r="D66" s="2">
        <v>2021</v>
      </c>
      <c r="E66" s="2" t="s">
        <v>2907</v>
      </c>
      <c r="F66" s="2" t="s">
        <v>2891</v>
      </c>
      <c r="G66" s="2" t="s">
        <v>1770</v>
      </c>
      <c r="H66" s="2"/>
      <c r="I66" s="2" t="s">
        <v>3176</v>
      </c>
      <c r="J66" s="2" t="s">
        <v>3177</v>
      </c>
    </row>
    <row r="67" spans="1:10" ht="37" customHeight="1">
      <c r="A67" s="2" t="s">
        <v>3178</v>
      </c>
      <c r="B67" s="2" t="s">
        <v>3179</v>
      </c>
      <c r="C67" s="2"/>
      <c r="D67" s="2">
        <v>1988</v>
      </c>
      <c r="E67" s="2" t="s">
        <v>2907</v>
      </c>
      <c r="F67" s="2" t="s">
        <v>2983</v>
      </c>
      <c r="G67" s="2" t="s">
        <v>1859</v>
      </c>
      <c r="H67" s="2"/>
      <c r="I67" s="2" t="s">
        <v>3180</v>
      </c>
      <c r="J67" s="2" t="s">
        <v>3181</v>
      </c>
    </row>
    <row r="68" spans="1:10" ht="37" customHeight="1">
      <c r="A68" s="2" t="s">
        <v>3182</v>
      </c>
      <c r="B68" s="2" t="s">
        <v>3183</v>
      </c>
      <c r="C68" s="2"/>
      <c r="D68" s="2">
        <v>2006</v>
      </c>
      <c r="E68" s="2" t="s">
        <v>2907</v>
      </c>
      <c r="F68" s="2" t="s">
        <v>2891</v>
      </c>
      <c r="G68" s="2" t="s">
        <v>1997</v>
      </c>
      <c r="H68" s="2" t="s">
        <v>3184</v>
      </c>
      <c r="I68" s="2" t="s">
        <v>3185</v>
      </c>
      <c r="J68" s="2" t="s">
        <v>3186</v>
      </c>
    </row>
    <row r="69" spans="1:10" ht="37" customHeight="1">
      <c r="A69" s="2" t="s">
        <v>3187</v>
      </c>
      <c r="B69" s="2" t="s">
        <v>3188</v>
      </c>
      <c r="C69" s="2"/>
      <c r="D69" s="2">
        <v>1990</v>
      </c>
      <c r="E69" s="2" t="s">
        <v>2907</v>
      </c>
      <c r="F69" s="2" t="s">
        <v>2891</v>
      </c>
      <c r="G69" s="2" t="s">
        <v>1972</v>
      </c>
      <c r="H69" s="2"/>
      <c r="I69" s="2" t="s">
        <v>3189</v>
      </c>
      <c r="J69" s="2" t="s">
        <v>3190</v>
      </c>
    </row>
    <row r="70" spans="1:10" ht="34" customHeight="1">
      <c r="A70" s="2" t="s">
        <v>3191</v>
      </c>
      <c r="B70" s="2" t="s">
        <v>3192</v>
      </c>
      <c r="C70" s="2"/>
      <c r="D70" s="2">
        <v>1975</v>
      </c>
      <c r="E70" s="2" t="s">
        <v>2907</v>
      </c>
      <c r="F70" s="2" t="s">
        <v>2891</v>
      </c>
      <c r="G70" s="2" t="s">
        <v>1953</v>
      </c>
      <c r="H70" s="2"/>
      <c r="I70" s="2" t="s">
        <v>3193</v>
      </c>
      <c r="J70" s="2" t="s">
        <v>3194</v>
      </c>
    </row>
    <row r="71" spans="1:10" ht="37" customHeight="1">
      <c r="A71" s="2" t="s">
        <v>3195</v>
      </c>
      <c r="B71" s="2" t="s">
        <v>3196</v>
      </c>
      <c r="C71" s="2" t="s">
        <v>3197</v>
      </c>
      <c r="D71" s="2">
        <v>2025</v>
      </c>
      <c r="E71" s="2" t="s">
        <v>2907</v>
      </c>
      <c r="F71" s="2" t="s">
        <v>2891</v>
      </c>
      <c r="G71" s="2" t="s">
        <v>1789</v>
      </c>
      <c r="H71" s="2" t="s">
        <v>3198</v>
      </c>
      <c r="I71" s="2" t="s">
        <v>3199</v>
      </c>
      <c r="J71" s="2" t="s">
        <v>3200</v>
      </c>
    </row>
    <row r="72" spans="1:10" ht="34" customHeight="1">
      <c r="A72" s="2" t="s">
        <v>911</v>
      </c>
      <c r="B72" s="2" t="s">
        <v>3201</v>
      </c>
      <c r="C72" s="2"/>
      <c r="D72" s="2">
        <v>2025</v>
      </c>
      <c r="E72" s="2" t="s">
        <v>2890</v>
      </c>
      <c r="F72" s="2" t="s">
        <v>2891</v>
      </c>
      <c r="G72" s="2" t="s">
        <v>2368</v>
      </c>
      <c r="H72" s="2"/>
      <c r="I72" s="2" t="s">
        <v>3202</v>
      </c>
      <c r="J72" s="2" t="s">
        <v>3203</v>
      </c>
    </row>
    <row r="73" spans="1:10" ht="34" customHeight="1">
      <c r="A73" s="2" t="s">
        <v>3204</v>
      </c>
      <c r="B73" s="2" t="s">
        <v>3205</v>
      </c>
      <c r="C73" s="2"/>
      <c r="D73" s="2"/>
      <c r="E73" s="2" t="s">
        <v>2925</v>
      </c>
      <c r="F73" s="2" t="s">
        <v>2988</v>
      </c>
      <c r="G73" s="2" t="s">
        <v>3206</v>
      </c>
      <c r="H73" s="2"/>
      <c r="I73" s="2" t="s">
        <v>3207</v>
      </c>
      <c r="J73" s="2" t="s">
        <v>3208</v>
      </c>
    </row>
    <row r="74" spans="1:10" ht="34" customHeight="1">
      <c r="A74" s="2" t="s">
        <v>3209</v>
      </c>
      <c r="B74" s="2" t="s">
        <v>3210</v>
      </c>
      <c r="C74" s="2"/>
      <c r="D74" s="2">
        <v>2026</v>
      </c>
      <c r="E74" s="2" t="s">
        <v>2925</v>
      </c>
      <c r="F74" s="2" t="s">
        <v>2988</v>
      </c>
      <c r="G74" s="2" t="s">
        <v>3211</v>
      </c>
      <c r="H74" s="2"/>
      <c r="I74" s="2" t="s">
        <v>3212</v>
      </c>
      <c r="J74" s="2" t="s">
        <v>3213</v>
      </c>
    </row>
    <row r="75" spans="1:10" ht="34" customHeight="1">
      <c r="A75" s="2" t="s">
        <v>3214</v>
      </c>
      <c r="B75" s="2" t="s">
        <v>3215</v>
      </c>
      <c r="C75" s="2"/>
      <c r="D75" s="2">
        <v>2007</v>
      </c>
      <c r="E75" s="2" t="s">
        <v>2925</v>
      </c>
      <c r="F75" s="2" t="s">
        <v>2988</v>
      </c>
      <c r="G75" s="2" t="s">
        <v>3216</v>
      </c>
      <c r="H75" s="2"/>
      <c r="I75" s="2" t="s">
        <v>3217</v>
      </c>
      <c r="J75" s="2" t="s">
        <v>3218</v>
      </c>
    </row>
    <row r="76" spans="1:10" ht="34" customHeight="1">
      <c r="A76" s="2" t="s">
        <v>3219</v>
      </c>
      <c r="B76" s="2" t="s">
        <v>3220</v>
      </c>
      <c r="C76" s="2"/>
      <c r="D76" s="2">
        <v>2000</v>
      </c>
      <c r="E76" s="2" t="s">
        <v>2907</v>
      </c>
      <c r="F76" s="2" t="s">
        <v>2908</v>
      </c>
      <c r="G76" s="2" t="s">
        <v>2409</v>
      </c>
      <c r="H76" s="2"/>
      <c r="I76" s="2" t="s">
        <v>3221</v>
      </c>
      <c r="J76" s="2" t="s">
        <v>3222</v>
      </c>
    </row>
    <row r="77" spans="1:10" ht="34" customHeight="1">
      <c r="A77" s="2" t="s">
        <v>3223</v>
      </c>
      <c r="B77" s="2" t="s">
        <v>3224</v>
      </c>
      <c r="C77" s="2"/>
      <c r="D77" s="2">
        <v>2015</v>
      </c>
      <c r="E77" s="2" t="s">
        <v>2907</v>
      </c>
      <c r="F77" s="2" t="s">
        <v>2908</v>
      </c>
      <c r="G77" s="2" t="s">
        <v>2439</v>
      </c>
      <c r="H77" s="2"/>
      <c r="I77" s="2" t="s">
        <v>3225</v>
      </c>
      <c r="J77" s="2" t="s">
        <v>3226</v>
      </c>
    </row>
    <row r="78" spans="1:10" ht="34" customHeight="1">
      <c r="A78" s="2" t="s">
        <v>3227</v>
      </c>
      <c r="B78" s="2" t="s">
        <v>3228</v>
      </c>
      <c r="C78" s="2" t="s">
        <v>3229</v>
      </c>
      <c r="D78" s="2">
        <v>2022</v>
      </c>
      <c r="E78" s="2" t="s">
        <v>2896</v>
      </c>
      <c r="F78" s="2" t="s">
        <v>2891</v>
      </c>
      <c r="G78" s="2" t="s">
        <v>2364</v>
      </c>
      <c r="H78" s="2"/>
      <c r="I78" s="2" t="s">
        <v>3230</v>
      </c>
      <c r="J78" s="2" t="s">
        <v>3231</v>
      </c>
    </row>
    <row r="79" spans="1:10" ht="34" customHeight="1">
      <c r="A79" s="2" t="s">
        <v>1148</v>
      </c>
      <c r="B79" s="2" t="s">
        <v>3232</v>
      </c>
      <c r="C79" s="2"/>
      <c r="D79" s="2">
        <v>2025</v>
      </c>
      <c r="E79" s="2" t="s">
        <v>2925</v>
      </c>
      <c r="F79" s="2" t="s">
        <v>2891</v>
      </c>
      <c r="G79" s="2" t="s">
        <v>2497</v>
      </c>
      <c r="H79" s="2"/>
      <c r="I79" s="2" t="s">
        <v>3233</v>
      </c>
      <c r="J79" s="2" t="s">
        <v>3234</v>
      </c>
    </row>
    <row r="80" spans="1:10" ht="34" customHeight="1">
      <c r="A80" s="2" t="s">
        <v>3235</v>
      </c>
      <c r="B80" s="2" t="s">
        <v>3236</v>
      </c>
      <c r="C80" s="2"/>
      <c r="D80" s="2">
        <v>2023</v>
      </c>
      <c r="E80" s="2" t="s">
        <v>2925</v>
      </c>
      <c r="F80" s="2" t="s">
        <v>2988</v>
      </c>
      <c r="G80" s="2" t="s">
        <v>3237</v>
      </c>
      <c r="H80" s="2"/>
      <c r="I80" s="2" t="s">
        <v>3238</v>
      </c>
      <c r="J80" s="2" t="s">
        <v>3239</v>
      </c>
    </row>
    <row r="81" spans="1:10" ht="34" customHeight="1">
      <c r="A81" s="2" t="s">
        <v>3240</v>
      </c>
      <c r="B81" s="2" t="s">
        <v>3241</v>
      </c>
      <c r="C81" s="2"/>
      <c r="D81" s="2">
        <v>2021</v>
      </c>
      <c r="E81" s="2" t="s">
        <v>2907</v>
      </c>
      <c r="F81" s="2" t="s">
        <v>2908</v>
      </c>
      <c r="G81" s="2" t="s">
        <v>3242</v>
      </c>
      <c r="H81" s="2"/>
      <c r="I81" s="2" t="s">
        <v>3243</v>
      </c>
      <c r="J81" s="2" t="s">
        <v>3244</v>
      </c>
    </row>
    <row r="82" spans="1:10" ht="34" customHeight="1">
      <c r="A82" s="2" t="s">
        <v>1076</v>
      </c>
      <c r="B82" s="2" t="s">
        <v>3245</v>
      </c>
      <c r="C82" s="2" t="s">
        <v>3246</v>
      </c>
      <c r="D82" s="2">
        <v>2004</v>
      </c>
      <c r="E82" s="2" t="s">
        <v>2907</v>
      </c>
      <c r="F82" s="2" t="s">
        <v>2891</v>
      </c>
      <c r="G82" s="2" t="s">
        <v>2463</v>
      </c>
      <c r="H82" s="2"/>
      <c r="I82" s="2" t="s">
        <v>3247</v>
      </c>
      <c r="J82" s="2" t="s">
        <v>3248</v>
      </c>
    </row>
    <row r="83" spans="1:10" ht="37" customHeight="1">
      <c r="A83" s="2" t="s">
        <v>1071</v>
      </c>
      <c r="B83" s="2" t="s">
        <v>3249</v>
      </c>
      <c r="C83" s="2"/>
      <c r="D83" s="2">
        <v>2008</v>
      </c>
      <c r="E83" s="2" t="s">
        <v>2907</v>
      </c>
      <c r="F83" s="2" t="s">
        <v>2891</v>
      </c>
      <c r="G83" s="2" t="s">
        <v>2460</v>
      </c>
      <c r="H83" s="2"/>
      <c r="I83" s="2" t="s">
        <v>3250</v>
      </c>
      <c r="J83" s="2" t="s">
        <v>3251</v>
      </c>
    </row>
    <row r="84" spans="1:10" ht="34" customHeight="1">
      <c r="A84" s="2" t="s">
        <v>3252</v>
      </c>
      <c r="B84" s="2" t="s">
        <v>3253</v>
      </c>
      <c r="C84" s="2"/>
      <c r="D84" s="2"/>
      <c r="E84" s="2" t="s">
        <v>2925</v>
      </c>
      <c r="F84" s="2" t="s">
        <v>2988</v>
      </c>
      <c r="G84" s="2" t="s">
        <v>3254</v>
      </c>
      <c r="H84" s="2"/>
      <c r="I84" s="2" t="s">
        <v>3253</v>
      </c>
      <c r="J84" s="2" t="s">
        <v>3255</v>
      </c>
    </row>
    <row r="85" spans="1:10" ht="37" customHeight="1">
      <c r="A85" s="2" t="s">
        <v>1058</v>
      </c>
      <c r="B85" s="2" t="s">
        <v>3256</v>
      </c>
      <c r="C85" s="2"/>
      <c r="D85" s="2">
        <v>2019</v>
      </c>
      <c r="E85" s="2" t="s">
        <v>2915</v>
      </c>
      <c r="F85" s="2" t="s">
        <v>2891</v>
      </c>
      <c r="G85" s="2" t="s">
        <v>2453</v>
      </c>
      <c r="H85" s="2"/>
      <c r="I85" s="2" t="s">
        <v>3257</v>
      </c>
      <c r="J85" s="2" t="s">
        <v>3258</v>
      </c>
    </row>
    <row r="86" spans="1:10" ht="34" customHeight="1">
      <c r="A86" s="2" t="s">
        <v>3259</v>
      </c>
      <c r="B86" s="2" t="s">
        <v>3260</v>
      </c>
      <c r="C86" s="2"/>
      <c r="D86" s="2">
        <v>2023</v>
      </c>
      <c r="E86" s="2" t="s">
        <v>2907</v>
      </c>
      <c r="F86" s="2" t="s">
        <v>2983</v>
      </c>
      <c r="G86" s="2" t="s">
        <v>2511</v>
      </c>
      <c r="H86" s="2" t="s">
        <v>3261</v>
      </c>
      <c r="I86" s="2" t="s">
        <v>2962</v>
      </c>
      <c r="J86" s="2" t="s">
        <v>3262</v>
      </c>
    </row>
    <row r="87" spans="1:10" ht="37" customHeight="1">
      <c r="A87" s="2" t="s">
        <v>3263</v>
      </c>
      <c r="B87" s="2" t="s">
        <v>3264</v>
      </c>
      <c r="C87" s="2"/>
      <c r="D87" s="2">
        <v>2025</v>
      </c>
      <c r="E87" s="2" t="s">
        <v>2925</v>
      </c>
      <c r="F87" s="2" t="s">
        <v>2988</v>
      </c>
      <c r="G87" s="2" t="s">
        <v>3265</v>
      </c>
      <c r="H87" s="2"/>
      <c r="I87" s="2" t="s">
        <v>1166</v>
      </c>
      <c r="J87" s="2" t="s">
        <v>3266</v>
      </c>
    </row>
    <row r="88" spans="1:10" ht="34" customHeight="1">
      <c r="A88" s="2" t="s">
        <v>3267</v>
      </c>
      <c r="B88" s="2" t="s">
        <v>3268</v>
      </c>
      <c r="C88" s="2"/>
      <c r="D88" s="2">
        <v>2024</v>
      </c>
      <c r="E88" s="2" t="s">
        <v>2907</v>
      </c>
      <c r="F88" s="2" t="s">
        <v>2908</v>
      </c>
      <c r="G88" s="2" t="s">
        <v>2392</v>
      </c>
      <c r="H88" s="2"/>
      <c r="I88" s="2" t="s">
        <v>3269</v>
      </c>
      <c r="J88" s="2" t="s">
        <v>3270</v>
      </c>
    </row>
    <row r="89" spans="1:10" ht="37" customHeight="1">
      <c r="A89" s="2" t="s">
        <v>3271</v>
      </c>
      <c r="B89" s="2" t="s">
        <v>3272</v>
      </c>
      <c r="C89" s="2"/>
      <c r="D89" s="2">
        <v>2025</v>
      </c>
      <c r="E89" s="2" t="s">
        <v>2907</v>
      </c>
      <c r="F89" s="2" t="s">
        <v>2908</v>
      </c>
      <c r="G89" s="2" t="s">
        <v>2395</v>
      </c>
      <c r="H89" s="2" t="s">
        <v>3273</v>
      </c>
      <c r="I89" s="2" t="s">
        <v>3274</v>
      </c>
      <c r="J89" s="2" t="s">
        <v>3275</v>
      </c>
    </row>
    <row r="90" spans="1:10" ht="34" customHeight="1">
      <c r="A90" s="2" t="s">
        <v>1235</v>
      </c>
      <c r="B90" s="2" t="s">
        <v>3276</v>
      </c>
      <c r="C90" s="2"/>
      <c r="D90" s="2">
        <v>2022</v>
      </c>
      <c r="E90" s="2" t="s">
        <v>2907</v>
      </c>
      <c r="F90" s="2" t="s">
        <v>2908</v>
      </c>
      <c r="G90" s="2" t="s">
        <v>2550</v>
      </c>
      <c r="H90" s="2" t="s">
        <v>3277</v>
      </c>
      <c r="I90" s="2" t="s">
        <v>3278</v>
      </c>
      <c r="J90" s="2" t="s">
        <v>3279</v>
      </c>
    </row>
    <row r="91" spans="1:10" ht="37" customHeight="1">
      <c r="A91" s="2" t="s">
        <v>3280</v>
      </c>
      <c r="B91" s="2" t="s">
        <v>3281</v>
      </c>
      <c r="C91" s="2"/>
      <c r="D91" s="2">
        <v>2013</v>
      </c>
      <c r="E91" s="2" t="s">
        <v>2915</v>
      </c>
      <c r="F91" s="2" t="s">
        <v>2891</v>
      </c>
      <c r="G91" s="2" t="s">
        <v>2381</v>
      </c>
      <c r="H91" s="2"/>
      <c r="I91" s="2" t="s">
        <v>3282</v>
      </c>
      <c r="J91" s="2" t="s">
        <v>3283</v>
      </c>
    </row>
    <row r="92" spans="1:10" ht="34" customHeight="1">
      <c r="A92" s="2" t="s">
        <v>3284</v>
      </c>
      <c r="B92" s="2" t="s">
        <v>3285</v>
      </c>
      <c r="C92" s="2"/>
      <c r="D92" s="2">
        <v>2023</v>
      </c>
      <c r="E92" s="2" t="s">
        <v>2925</v>
      </c>
      <c r="F92" s="2" t="s">
        <v>2908</v>
      </c>
      <c r="G92" s="2" t="s">
        <v>3286</v>
      </c>
      <c r="H92" s="2"/>
      <c r="I92" s="2" t="s">
        <v>3287</v>
      </c>
      <c r="J92" s="2" t="s">
        <v>3288</v>
      </c>
    </row>
    <row r="93" spans="1:10" ht="34" customHeight="1">
      <c r="A93" s="2" t="s">
        <v>3289</v>
      </c>
      <c r="B93" s="2" t="s">
        <v>3290</v>
      </c>
      <c r="C93" s="2"/>
      <c r="D93" s="2">
        <v>2026</v>
      </c>
      <c r="E93" s="2" t="s">
        <v>2925</v>
      </c>
      <c r="F93" s="2" t="s">
        <v>2988</v>
      </c>
      <c r="G93" s="2" t="s">
        <v>3291</v>
      </c>
      <c r="H93" s="2"/>
      <c r="I93" s="2" t="s">
        <v>3292</v>
      </c>
      <c r="J93" s="2" t="s">
        <v>3293</v>
      </c>
    </row>
    <row r="94" spans="1:10" ht="34" customHeight="1">
      <c r="A94" s="2" t="s">
        <v>3294</v>
      </c>
      <c r="B94" s="2" t="s">
        <v>3295</v>
      </c>
      <c r="C94" s="2"/>
      <c r="D94" s="2">
        <v>2019</v>
      </c>
      <c r="E94" s="2" t="s">
        <v>2907</v>
      </c>
      <c r="F94" s="2" t="s">
        <v>2908</v>
      </c>
      <c r="G94" s="2" t="s">
        <v>2480</v>
      </c>
      <c r="H94" s="2"/>
      <c r="I94" s="2" t="s">
        <v>3296</v>
      </c>
      <c r="J94" s="2" t="s">
        <v>3297</v>
      </c>
    </row>
    <row r="95" spans="1:10" ht="37" customHeight="1">
      <c r="A95" s="2" t="s">
        <v>1101</v>
      </c>
      <c r="B95" s="2" t="s">
        <v>3298</v>
      </c>
      <c r="C95" s="2" t="s">
        <v>3299</v>
      </c>
      <c r="D95" s="2">
        <v>2022</v>
      </c>
      <c r="E95" s="2" t="s">
        <v>2907</v>
      </c>
      <c r="F95" s="2" t="s">
        <v>2891</v>
      </c>
      <c r="G95" s="2" t="s">
        <v>2477</v>
      </c>
      <c r="H95" s="2" t="s">
        <v>3300</v>
      </c>
      <c r="I95" s="2" t="s">
        <v>3301</v>
      </c>
      <c r="J95" s="2" t="s">
        <v>3302</v>
      </c>
    </row>
    <row r="96" spans="1:10" ht="34" customHeight="1">
      <c r="A96" s="2" t="s">
        <v>3303</v>
      </c>
      <c r="B96" s="2" t="s">
        <v>3304</v>
      </c>
      <c r="C96" s="2"/>
      <c r="D96" s="2">
        <v>2001</v>
      </c>
      <c r="E96" s="2" t="s">
        <v>2915</v>
      </c>
      <c r="F96" s="2" t="s">
        <v>2891</v>
      </c>
      <c r="G96" s="2" t="s">
        <v>2473</v>
      </c>
      <c r="H96" s="2"/>
      <c r="I96" s="2" t="s">
        <v>3305</v>
      </c>
      <c r="J96" s="2" t="s">
        <v>3306</v>
      </c>
    </row>
    <row r="97" spans="1:10" ht="37" customHeight="1">
      <c r="A97" s="2" t="s">
        <v>3307</v>
      </c>
      <c r="B97" s="2" t="s">
        <v>3308</v>
      </c>
      <c r="C97" s="2"/>
      <c r="D97" s="2">
        <v>2024</v>
      </c>
      <c r="E97" s="2" t="s">
        <v>2907</v>
      </c>
      <c r="F97" s="2" t="s">
        <v>2908</v>
      </c>
      <c r="G97" s="2" t="s">
        <v>3309</v>
      </c>
      <c r="H97" s="2" t="s">
        <v>3310</v>
      </c>
      <c r="I97" s="2" t="s">
        <v>3207</v>
      </c>
      <c r="J97" s="2" t="s">
        <v>3311</v>
      </c>
    </row>
    <row r="98" spans="1:10" ht="37" customHeight="1">
      <c r="A98" s="2" t="s">
        <v>922</v>
      </c>
      <c r="B98" s="2" t="s">
        <v>3312</v>
      </c>
      <c r="C98" s="2" t="s">
        <v>3313</v>
      </c>
      <c r="D98" s="2">
        <v>2025</v>
      </c>
      <c r="E98" s="2" t="s">
        <v>2907</v>
      </c>
      <c r="F98" s="2" t="s">
        <v>2891</v>
      </c>
      <c r="G98" s="2" t="s">
        <v>2372</v>
      </c>
      <c r="H98" s="2"/>
      <c r="I98" s="2" t="s">
        <v>3314</v>
      </c>
      <c r="J98" s="2" t="s">
        <v>3315</v>
      </c>
    </row>
    <row r="99" spans="1:10" ht="34" customHeight="1">
      <c r="A99" s="2" t="s">
        <v>1228</v>
      </c>
      <c r="B99" s="2" t="s">
        <v>3316</v>
      </c>
      <c r="C99" s="2" t="s">
        <v>3317</v>
      </c>
      <c r="D99" s="2">
        <v>2025</v>
      </c>
      <c r="E99" s="2" t="s">
        <v>2907</v>
      </c>
      <c r="F99" s="2" t="s">
        <v>2891</v>
      </c>
      <c r="G99" s="2" t="s">
        <v>2546</v>
      </c>
      <c r="H99" s="2"/>
      <c r="I99" s="2" t="s">
        <v>3318</v>
      </c>
      <c r="J99" s="2" t="s">
        <v>3319</v>
      </c>
    </row>
    <row r="100" spans="1:10" ht="34" customHeight="1">
      <c r="A100" s="2" t="s">
        <v>3320</v>
      </c>
      <c r="B100" s="2" t="s">
        <v>3321</v>
      </c>
      <c r="C100" s="2"/>
      <c r="D100" s="2"/>
      <c r="E100" s="2" t="s">
        <v>2907</v>
      </c>
      <c r="F100" s="2" t="s">
        <v>2908</v>
      </c>
      <c r="G100" s="2" t="s">
        <v>2431</v>
      </c>
      <c r="H100" s="2"/>
      <c r="I100" s="2" t="s">
        <v>3322</v>
      </c>
      <c r="J100" s="2" t="s">
        <v>3323</v>
      </c>
    </row>
    <row r="101" spans="1:10" ht="37" customHeight="1">
      <c r="A101" s="2" t="s">
        <v>3324</v>
      </c>
      <c r="B101" s="2" t="s">
        <v>3325</v>
      </c>
      <c r="C101" s="2"/>
      <c r="D101" s="2">
        <v>2023</v>
      </c>
      <c r="E101" s="2" t="s">
        <v>2925</v>
      </c>
      <c r="F101" s="2" t="s">
        <v>2988</v>
      </c>
      <c r="G101" s="2" t="s">
        <v>3326</v>
      </c>
      <c r="H101" s="2"/>
      <c r="I101" s="2" t="s">
        <v>3327</v>
      </c>
      <c r="J101" s="2" t="s">
        <v>3328</v>
      </c>
    </row>
    <row r="102" spans="1:10" ht="34" customHeight="1">
      <c r="A102" s="2" t="s">
        <v>3329</v>
      </c>
      <c r="B102" s="2" t="s">
        <v>3330</v>
      </c>
      <c r="C102" s="2" t="s">
        <v>3331</v>
      </c>
      <c r="D102" s="2"/>
      <c r="E102" s="2" t="s">
        <v>2925</v>
      </c>
      <c r="F102" s="2" t="s">
        <v>2988</v>
      </c>
      <c r="G102" s="2" t="s">
        <v>2504</v>
      </c>
      <c r="H102" s="2"/>
      <c r="I102" s="2" t="s">
        <v>3207</v>
      </c>
      <c r="J102" s="2" t="s">
        <v>3332</v>
      </c>
    </row>
    <row r="103" spans="1:10" ht="34" customHeight="1">
      <c r="A103" s="2" t="s">
        <v>3333</v>
      </c>
      <c r="B103" s="2" t="s">
        <v>3334</v>
      </c>
      <c r="C103" s="2" t="s">
        <v>3335</v>
      </c>
      <c r="D103" s="2"/>
      <c r="E103" s="2" t="s">
        <v>2925</v>
      </c>
      <c r="F103" s="2" t="s">
        <v>2988</v>
      </c>
      <c r="G103" s="2" t="s">
        <v>3336</v>
      </c>
      <c r="H103" s="2"/>
      <c r="I103" s="2" t="s">
        <v>3337</v>
      </c>
      <c r="J103" s="2" t="s">
        <v>3338</v>
      </c>
    </row>
    <row r="104" spans="1:10" ht="34" customHeight="1">
      <c r="A104" s="2" t="s">
        <v>3339</v>
      </c>
      <c r="B104" s="2" t="s">
        <v>3340</v>
      </c>
      <c r="C104" s="2" t="s">
        <v>3341</v>
      </c>
      <c r="D104" s="2">
        <v>2025</v>
      </c>
      <c r="E104" s="2" t="s">
        <v>2907</v>
      </c>
      <c r="F104" s="2" t="s">
        <v>2891</v>
      </c>
      <c r="G104" s="2" t="s">
        <v>2515</v>
      </c>
      <c r="H104" s="2"/>
      <c r="I104" s="2" t="s">
        <v>3342</v>
      </c>
      <c r="J104" s="2" t="s">
        <v>3343</v>
      </c>
    </row>
    <row r="105" spans="1:10" ht="37" customHeight="1">
      <c r="A105" s="2" t="s">
        <v>3344</v>
      </c>
      <c r="B105" s="2" t="s">
        <v>3345</v>
      </c>
      <c r="C105" s="2" t="s">
        <v>3346</v>
      </c>
      <c r="D105" s="2">
        <v>1990</v>
      </c>
      <c r="E105" s="2" t="s">
        <v>2896</v>
      </c>
      <c r="F105" s="2" t="s">
        <v>2891</v>
      </c>
      <c r="G105" s="2" t="s">
        <v>3347</v>
      </c>
      <c r="H105" s="2"/>
      <c r="I105" s="2" t="s">
        <v>3348</v>
      </c>
      <c r="J105" s="2" t="s">
        <v>3349</v>
      </c>
    </row>
    <row r="106" spans="1:10" ht="37" customHeight="1">
      <c r="A106" s="2" t="s">
        <v>3350</v>
      </c>
      <c r="B106" s="2" t="s">
        <v>3351</v>
      </c>
      <c r="C106" s="2" t="s">
        <v>3352</v>
      </c>
      <c r="D106" s="2"/>
      <c r="E106" s="2" t="s">
        <v>2925</v>
      </c>
      <c r="F106" s="2" t="s">
        <v>2908</v>
      </c>
      <c r="G106" s="2" t="s">
        <v>3353</v>
      </c>
      <c r="H106" s="2"/>
      <c r="I106" s="2" t="s">
        <v>3351</v>
      </c>
      <c r="J106" s="2" t="s">
        <v>3354</v>
      </c>
    </row>
    <row r="107" spans="1:10" ht="37" customHeight="1">
      <c r="A107" s="2" t="s">
        <v>3355</v>
      </c>
      <c r="B107" s="2" t="s">
        <v>3356</v>
      </c>
      <c r="C107" s="2" t="s">
        <v>3357</v>
      </c>
      <c r="D107" s="2">
        <v>1976</v>
      </c>
      <c r="E107" s="2" t="s">
        <v>2907</v>
      </c>
      <c r="F107" s="2" t="s">
        <v>2891</v>
      </c>
      <c r="G107" s="2" t="s">
        <v>3358</v>
      </c>
      <c r="H107" s="2"/>
      <c r="I107" s="2" t="s">
        <v>3359</v>
      </c>
      <c r="J107" s="2" t="s">
        <v>3360</v>
      </c>
    </row>
    <row r="108" spans="1:10" ht="34" customHeight="1">
      <c r="A108" s="2" t="s">
        <v>1249</v>
      </c>
      <c r="B108" s="2" t="s">
        <v>3361</v>
      </c>
      <c r="C108" s="2" t="s">
        <v>3362</v>
      </c>
      <c r="D108" s="2">
        <v>2005</v>
      </c>
      <c r="E108" s="2" t="s">
        <v>2915</v>
      </c>
      <c r="F108" s="2" t="s">
        <v>2891</v>
      </c>
      <c r="G108" s="2" t="s">
        <v>2558</v>
      </c>
      <c r="H108" s="2"/>
      <c r="I108" s="2" t="s">
        <v>3363</v>
      </c>
      <c r="J108" s="2" t="s">
        <v>3364</v>
      </c>
    </row>
    <row r="109" spans="1:10" ht="34" customHeight="1">
      <c r="A109" s="2" t="s">
        <v>981</v>
      </c>
      <c r="B109" s="2" t="s">
        <v>3365</v>
      </c>
      <c r="C109" s="2" t="s">
        <v>3366</v>
      </c>
      <c r="D109" s="2">
        <v>1998</v>
      </c>
      <c r="E109" s="2" t="s">
        <v>2915</v>
      </c>
      <c r="F109" s="2" t="s">
        <v>2891</v>
      </c>
      <c r="G109" s="2" t="s">
        <v>2403</v>
      </c>
      <c r="H109" s="2"/>
      <c r="I109" s="2" t="s">
        <v>3367</v>
      </c>
      <c r="J109" s="2" t="s">
        <v>3368</v>
      </c>
    </row>
    <row r="110" spans="1:10" ht="34" customHeight="1">
      <c r="A110" s="2" t="s">
        <v>3369</v>
      </c>
      <c r="B110" s="2" t="s">
        <v>3370</v>
      </c>
      <c r="C110" s="2" t="s">
        <v>3371</v>
      </c>
      <c r="D110" s="2">
        <v>2025</v>
      </c>
      <c r="E110" s="2" t="s">
        <v>2925</v>
      </c>
      <c r="F110" s="2" t="s">
        <v>2988</v>
      </c>
      <c r="G110" s="2" t="s">
        <v>3372</v>
      </c>
      <c r="H110" s="2"/>
      <c r="I110" s="2" t="s">
        <v>3373</v>
      </c>
      <c r="J110" s="2" t="s">
        <v>3374</v>
      </c>
    </row>
    <row r="111" spans="1:10" ht="34" customHeight="1">
      <c r="A111" s="2" t="s">
        <v>3375</v>
      </c>
      <c r="B111" s="2" t="s">
        <v>3376</v>
      </c>
      <c r="C111" s="2" t="s">
        <v>3377</v>
      </c>
      <c r="D111" s="2"/>
      <c r="E111" s="2" t="s">
        <v>2925</v>
      </c>
      <c r="F111" s="2" t="s">
        <v>2908</v>
      </c>
      <c r="G111" s="2" t="s">
        <v>3378</v>
      </c>
      <c r="H111" s="2"/>
      <c r="I111" s="2" t="s">
        <v>3379</v>
      </c>
      <c r="J111" s="2" t="s">
        <v>3380</v>
      </c>
    </row>
    <row r="112" spans="1:10" ht="34" customHeight="1">
      <c r="A112" s="2" t="s">
        <v>3381</v>
      </c>
      <c r="B112" s="2" t="s">
        <v>3382</v>
      </c>
      <c r="C112" s="2" t="s">
        <v>3383</v>
      </c>
      <c r="D112" s="2">
        <v>2024</v>
      </c>
      <c r="E112" s="2" t="s">
        <v>2907</v>
      </c>
      <c r="F112" s="2" t="s">
        <v>2891</v>
      </c>
      <c r="G112" s="2" t="s">
        <v>2457</v>
      </c>
      <c r="H112" s="2" t="s">
        <v>3384</v>
      </c>
      <c r="I112" s="2" t="s">
        <v>3385</v>
      </c>
      <c r="J112" s="2" t="s">
        <v>3386</v>
      </c>
    </row>
    <row r="113" spans="1:10" ht="37" customHeight="1">
      <c r="A113" s="2" t="s">
        <v>3387</v>
      </c>
      <c r="B113" s="2" t="s">
        <v>3388</v>
      </c>
      <c r="C113" s="2" t="s">
        <v>3389</v>
      </c>
      <c r="D113" s="2">
        <v>2022</v>
      </c>
      <c r="E113" s="2" t="s">
        <v>2907</v>
      </c>
      <c r="F113" s="2" t="s">
        <v>2891</v>
      </c>
      <c r="G113" s="2" t="s">
        <v>2541</v>
      </c>
      <c r="H113" s="2" t="s">
        <v>3390</v>
      </c>
      <c r="I113" s="2" t="s">
        <v>3391</v>
      </c>
      <c r="J113" s="2" t="s">
        <v>3392</v>
      </c>
    </row>
    <row r="114" spans="1:10" ht="37" customHeight="1">
      <c r="A114" s="2" t="s">
        <v>3393</v>
      </c>
      <c r="B114" s="2" t="s">
        <v>3394</v>
      </c>
      <c r="C114" s="2" t="s">
        <v>3395</v>
      </c>
      <c r="D114" s="2">
        <v>1998</v>
      </c>
      <c r="E114" s="2" t="s">
        <v>2890</v>
      </c>
      <c r="F114" s="2" t="s">
        <v>2988</v>
      </c>
      <c r="G114" s="2" t="s">
        <v>3396</v>
      </c>
      <c r="H114" s="2"/>
      <c r="I114" s="2" t="s">
        <v>3397</v>
      </c>
      <c r="J114" s="2" t="s">
        <v>3398</v>
      </c>
    </row>
    <row r="115" spans="1:10" ht="34" customHeight="1">
      <c r="A115" s="2" t="s">
        <v>3399</v>
      </c>
      <c r="B115" s="2" t="s">
        <v>3400</v>
      </c>
      <c r="C115" s="2" t="s">
        <v>3401</v>
      </c>
      <c r="D115" s="2">
        <v>1998</v>
      </c>
      <c r="E115" s="2" t="s">
        <v>2890</v>
      </c>
      <c r="F115" s="2" t="s">
        <v>2891</v>
      </c>
      <c r="G115" s="2" t="s">
        <v>2467</v>
      </c>
      <c r="H115" s="2"/>
      <c r="I115" s="2" t="s">
        <v>3402</v>
      </c>
      <c r="J115" s="2" t="s">
        <v>3403</v>
      </c>
    </row>
    <row r="116" spans="1:10" ht="34" customHeight="1">
      <c r="A116" s="2" t="s">
        <v>3404</v>
      </c>
      <c r="B116" s="2" t="s">
        <v>3405</v>
      </c>
      <c r="C116" s="2" t="s">
        <v>3406</v>
      </c>
      <c r="D116" s="2">
        <v>1998</v>
      </c>
      <c r="E116" s="2" t="s">
        <v>2890</v>
      </c>
      <c r="F116" s="2" t="s">
        <v>2891</v>
      </c>
      <c r="G116" s="2" t="s">
        <v>2360</v>
      </c>
      <c r="H116" s="2"/>
      <c r="I116" s="2" t="s">
        <v>3407</v>
      </c>
      <c r="J116" s="2" t="s">
        <v>3408</v>
      </c>
    </row>
    <row r="117" spans="1:10" ht="34" customHeight="1">
      <c r="A117" s="2" t="s">
        <v>3409</v>
      </c>
      <c r="B117" s="2" t="s">
        <v>3410</v>
      </c>
      <c r="C117" s="2" t="s">
        <v>3411</v>
      </c>
      <c r="D117" s="2">
        <v>1998</v>
      </c>
      <c r="E117" s="2" t="s">
        <v>2890</v>
      </c>
      <c r="F117" s="2" t="s">
        <v>2891</v>
      </c>
      <c r="G117" s="2" t="s">
        <v>2522</v>
      </c>
      <c r="H117" s="2"/>
      <c r="I117" s="2" t="s">
        <v>3412</v>
      </c>
      <c r="J117" s="2" t="s">
        <v>3413</v>
      </c>
    </row>
    <row r="118" spans="1:10" ht="34" customHeight="1">
      <c r="A118" s="2" t="s">
        <v>3414</v>
      </c>
      <c r="B118" s="2" t="s">
        <v>3415</v>
      </c>
      <c r="C118" s="2" t="s">
        <v>3416</v>
      </c>
      <c r="D118" s="2">
        <v>1998</v>
      </c>
      <c r="E118" s="2" t="s">
        <v>2890</v>
      </c>
      <c r="F118" s="2" t="s">
        <v>2891</v>
      </c>
      <c r="G118" s="2" t="s">
        <v>2421</v>
      </c>
      <c r="H118" s="2"/>
      <c r="I118" s="2" t="s">
        <v>3417</v>
      </c>
      <c r="J118" s="2" t="s">
        <v>3418</v>
      </c>
    </row>
    <row r="119" spans="1:10" ht="34" customHeight="1">
      <c r="A119" s="2" t="s">
        <v>3419</v>
      </c>
      <c r="B119" s="2" t="s">
        <v>3420</v>
      </c>
      <c r="C119" s="2" t="s">
        <v>3421</v>
      </c>
      <c r="D119" s="2">
        <v>1998</v>
      </c>
      <c r="E119" s="2" t="s">
        <v>2890</v>
      </c>
      <c r="F119" s="2" t="s">
        <v>2891</v>
      </c>
      <c r="G119" s="2" t="s">
        <v>2448</v>
      </c>
      <c r="H119" s="2"/>
      <c r="I119" s="2" t="s">
        <v>3422</v>
      </c>
      <c r="J119" s="2" t="s">
        <v>3423</v>
      </c>
    </row>
    <row r="120" spans="1:10" ht="37" customHeight="1">
      <c r="A120" s="2" t="s">
        <v>3424</v>
      </c>
      <c r="B120" s="2" t="s">
        <v>3425</v>
      </c>
      <c r="C120" s="2" t="s">
        <v>3426</v>
      </c>
      <c r="D120" s="2">
        <v>1988</v>
      </c>
      <c r="E120" s="2" t="s">
        <v>2915</v>
      </c>
      <c r="F120" s="2" t="s">
        <v>2891</v>
      </c>
      <c r="G120" s="2" t="s">
        <v>2554</v>
      </c>
      <c r="H120" s="2"/>
      <c r="I120" s="2" t="s">
        <v>3427</v>
      </c>
      <c r="J120" s="2" t="s">
        <v>3428</v>
      </c>
    </row>
    <row r="121" spans="1:10" ht="37" customHeight="1">
      <c r="A121" s="2" t="s">
        <v>3429</v>
      </c>
      <c r="B121" s="2" t="s">
        <v>3430</v>
      </c>
      <c r="C121" s="2" t="s">
        <v>3431</v>
      </c>
      <c r="D121" s="2">
        <v>1989</v>
      </c>
      <c r="E121" s="2" t="s">
        <v>2907</v>
      </c>
      <c r="F121" s="2" t="s">
        <v>2891</v>
      </c>
      <c r="G121" s="2" t="s">
        <v>2527</v>
      </c>
      <c r="H121" s="2"/>
      <c r="I121" s="2" t="s">
        <v>3432</v>
      </c>
      <c r="J121" s="2" t="s">
        <v>3433</v>
      </c>
    </row>
    <row r="122" spans="1:10" ht="34" customHeight="1">
      <c r="A122" s="2" t="s">
        <v>3434</v>
      </c>
      <c r="B122" s="2" t="s">
        <v>3435</v>
      </c>
      <c r="C122" s="2" t="s">
        <v>3436</v>
      </c>
      <c r="D122" s="2">
        <v>1998</v>
      </c>
      <c r="E122" s="2" t="s">
        <v>2896</v>
      </c>
      <c r="F122" s="2" t="s">
        <v>2891</v>
      </c>
      <c r="G122" s="2" t="s">
        <v>2347</v>
      </c>
      <c r="H122" s="2"/>
      <c r="I122" s="2" t="s">
        <v>3437</v>
      </c>
      <c r="J122" s="2" t="s">
        <v>3438</v>
      </c>
    </row>
    <row r="123" spans="1:10" ht="34" customHeight="1">
      <c r="A123" s="2" t="s">
        <v>3439</v>
      </c>
      <c r="B123" s="2" t="s">
        <v>3440</v>
      </c>
      <c r="C123" s="2" t="s">
        <v>3441</v>
      </c>
      <c r="D123" s="2"/>
      <c r="E123" s="2" t="s">
        <v>3442</v>
      </c>
      <c r="F123" s="2" t="s">
        <v>2891</v>
      </c>
      <c r="G123" s="2" t="s">
        <v>2493</v>
      </c>
      <c r="H123" s="2"/>
      <c r="I123" s="2" t="s">
        <v>3443</v>
      </c>
      <c r="J123" s="2" t="s">
        <v>3444</v>
      </c>
    </row>
    <row r="124" spans="1:10" ht="37" customHeight="1">
      <c r="A124" s="2" t="s">
        <v>3445</v>
      </c>
      <c r="B124" s="2" t="s">
        <v>3446</v>
      </c>
      <c r="C124" s="2" t="s">
        <v>3447</v>
      </c>
      <c r="D124" s="2">
        <v>2002</v>
      </c>
      <c r="E124" s="2" t="s">
        <v>2907</v>
      </c>
      <c r="F124" s="2" t="s">
        <v>2891</v>
      </c>
      <c r="G124" s="2" t="s">
        <v>2351</v>
      </c>
      <c r="H124" s="2"/>
      <c r="I124" s="2" t="s">
        <v>3448</v>
      </c>
      <c r="J124" s="2" t="s">
        <v>3449</v>
      </c>
    </row>
    <row r="125" spans="1:10" ht="37" customHeight="1">
      <c r="A125" s="2" t="s">
        <v>3450</v>
      </c>
      <c r="B125" s="2" t="s">
        <v>3451</v>
      </c>
      <c r="C125" s="2" t="s">
        <v>3452</v>
      </c>
      <c r="D125" s="2">
        <v>1977</v>
      </c>
      <c r="E125" s="2" t="s">
        <v>2907</v>
      </c>
      <c r="F125" s="2" t="s">
        <v>2891</v>
      </c>
      <c r="G125" s="2" t="s">
        <v>2398</v>
      </c>
      <c r="H125" s="2"/>
      <c r="I125" s="2" t="s">
        <v>3453</v>
      </c>
      <c r="J125" s="2" t="s">
        <v>3454</v>
      </c>
    </row>
    <row r="126" spans="1:10" ht="37" customHeight="1">
      <c r="A126" s="2" t="s">
        <v>3455</v>
      </c>
      <c r="B126" s="2" t="s">
        <v>3456</v>
      </c>
      <c r="C126" s="2" t="s">
        <v>3457</v>
      </c>
      <c r="D126" s="2">
        <v>2013</v>
      </c>
      <c r="E126" s="2" t="s">
        <v>2907</v>
      </c>
      <c r="F126" s="2" t="s">
        <v>2891</v>
      </c>
      <c r="G126" s="2" t="s">
        <v>3458</v>
      </c>
      <c r="H126" s="2" t="s">
        <v>3459</v>
      </c>
      <c r="I126" s="2" t="s">
        <v>3460</v>
      </c>
      <c r="J126" s="2" t="s">
        <v>3461</v>
      </c>
    </row>
    <row r="127" spans="1:10" ht="34" customHeight="1">
      <c r="A127" s="2" t="s">
        <v>3462</v>
      </c>
      <c r="B127" s="2" t="s">
        <v>3463</v>
      </c>
      <c r="C127" s="2" t="s">
        <v>3464</v>
      </c>
      <c r="D127" s="2">
        <v>2018</v>
      </c>
      <c r="E127" s="2" t="s">
        <v>2907</v>
      </c>
      <c r="F127" s="2" t="s">
        <v>2891</v>
      </c>
      <c r="G127" s="2" t="s">
        <v>2385</v>
      </c>
      <c r="H127" s="2"/>
      <c r="I127" s="2" t="s">
        <v>3465</v>
      </c>
      <c r="J127" s="2" t="s">
        <v>3466</v>
      </c>
    </row>
    <row r="128" spans="1:10" ht="37" customHeight="1">
      <c r="A128" s="2" t="s">
        <v>3467</v>
      </c>
      <c r="B128" s="2" t="s">
        <v>3468</v>
      </c>
      <c r="C128" s="2" t="s">
        <v>3469</v>
      </c>
      <c r="D128" s="2">
        <v>2020</v>
      </c>
      <c r="E128" s="2" t="s">
        <v>2907</v>
      </c>
      <c r="F128" s="2" t="s">
        <v>3470</v>
      </c>
      <c r="G128" s="2" t="s">
        <v>2483</v>
      </c>
      <c r="H128" s="2" t="s">
        <v>3471</v>
      </c>
      <c r="I128" s="2" t="s">
        <v>3472</v>
      </c>
      <c r="J128" s="2" t="s">
        <v>3473</v>
      </c>
    </row>
    <row r="129" spans="1:10" ht="34" customHeight="1">
      <c r="A129" s="2" t="s">
        <v>3474</v>
      </c>
      <c r="B129" s="2" t="s">
        <v>3475</v>
      </c>
      <c r="C129" s="2"/>
      <c r="D129" s="2"/>
      <c r="E129" s="2" t="s">
        <v>2925</v>
      </c>
      <c r="F129" s="2" t="s">
        <v>2988</v>
      </c>
      <c r="G129" s="2" t="s">
        <v>2807</v>
      </c>
      <c r="H129" s="2"/>
      <c r="I129" s="2" t="s">
        <v>3476</v>
      </c>
      <c r="J129" s="2" t="s">
        <v>3477</v>
      </c>
    </row>
    <row r="130" spans="1:10" ht="34" customHeight="1">
      <c r="A130" s="2" t="s">
        <v>3478</v>
      </c>
      <c r="B130" s="2" t="s">
        <v>3479</v>
      </c>
      <c r="C130" s="2"/>
      <c r="D130" s="2"/>
      <c r="E130" s="2" t="s">
        <v>2925</v>
      </c>
      <c r="F130" s="2" t="s">
        <v>2988</v>
      </c>
      <c r="G130" s="2" t="s">
        <v>2678</v>
      </c>
      <c r="H130" s="2"/>
      <c r="I130" s="2" t="s">
        <v>3480</v>
      </c>
      <c r="J130" s="2" t="s">
        <v>3481</v>
      </c>
    </row>
    <row r="131" spans="1:10" ht="34" customHeight="1">
      <c r="A131" s="2" t="s">
        <v>3482</v>
      </c>
      <c r="B131" s="2" t="s">
        <v>3483</v>
      </c>
      <c r="C131" s="2"/>
      <c r="D131" s="2"/>
      <c r="E131" s="2" t="s">
        <v>2925</v>
      </c>
      <c r="F131" s="2" t="s">
        <v>2908</v>
      </c>
      <c r="G131" s="2" t="s">
        <v>2584</v>
      </c>
      <c r="H131" s="2"/>
      <c r="I131" s="2" t="s">
        <v>3484</v>
      </c>
      <c r="J131" s="2" t="s">
        <v>3485</v>
      </c>
    </row>
    <row r="132" spans="1:10" ht="34" customHeight="1">
      <c r="A132" s="2" t="s">
        <v>3486</v>
      </c>
      <c r="B132" s="2" t="s">
        <v>3487</v>
      </c>
      <c r="C132" s="2"/>
      <c r="D132" s="2">
        <v>2011</v>
      </c>
      <c r="E132" s="2" t="s">
        <v>2902</v>
      </c>
      <c r="F132" s="2" t="s">
        <v>2908</v>
      </c>
      <c r="G132" s="2" t="s">
        <v>2572</v>
      </c>
      <c r="H132" s="2"/>
      <c r="I132" s="2" t="s">
        <v>3488</v>
      </c>
      <c r="J132" s="2" t="s">
        <v>3489</v>
      </c>
    </row>
    <row r="133" spans="1:10" ht="34" customHeight="1">
      <c r="A133" s="2" t="s">
        <v>1403</v>
      </c>
      <c r="B133" s="2" t="s">
        <v>3490</v>
      </c>
      <c r="C133" s="2"/>
      <c r="D133" s="2">
        <v>2021</v>
      </c>
      <c r="E133" s="2" t="s">
        <v>2925</v>
      </c>
      <c r="F133" s="2" t="s">
        <v>2891</v>
      </c>
      <c r="G133" s="2" t="s">
        <v>2654</v>
      </c>
      <c r="H133" s="2"/>
      <c r="I133" s="2" t="s">
        <v>3491</v>
      </c>
      <c r="J133" s="2" t="s">
        <v>3492</v>
      </c>
    </row>
    <row r="134" spans="1:10" ht="37" customHeight="1">
      <c r="A134" s="2" t="s">
        <v>1304</v>
      </c>
      <c r="B134" s="2" t="s">
        <v>3493</v>
      </c>
      <c r="C134" s="2"/>
      <c r="D134" s="2">
        <v>2015</v>
      </c>
      <c r="E134" s="2" t="s">
        <v>2915</v>
      </c>
      <c r="F134" s="2" t="s">
        <v>2891</v>
      </c>
      <c r="G134" s="2" t="s">
        <v>2592</v>
      </c>
      <c r="H134" s="2"/>
      <c r="I134" s="2" t="s">
        <v>3494</v>
      </c>
      <c r="J134" s="2" t="s">
        <v>3495</v>
      </c>
    </row>
    <row r="135" spans="1:10" ht="34" customHeight="1">
      <c r="A135" s="2" t="s">
        <v>1320</v>
      </c>
      <c r="B135" s="2" t="s">
        <v>3496</v>
      </c>
      <c r="C135" s="2"/>
      <c r="D135" s="2">
        <v>2001</v>
      </c>
      <c r="E135" s="2" t="s">
        <v>2915</v>
      </c>
      <c r="F135" s="2" t="s">
        <v>2891</v>
      </c>
      <c r="G135" s="2" t="s">
        <v>2604</v>
      </c>
      <c r="H135" s="2"/>
      <c r="I135" s="2" t="s">
        <v>3497</v>
      </c>
      <c r="J135" s="2" t="s">
        <v>3498</v>
      </c>
    </row>
    <row r="136" spans="1:10" ht="34" customHeight="1">
      <c r="A136" s="2" t="s">
        <v>1358</v>
      </c>
      <c r="B136" s="2" t="s">
        <v>3499</v>
      </c>
      <c r="C136" s="2"/>
      <c r="D136" s="2">
        <v>1998</v>
      </c>
      <c r="E136" s="2" t="s">
        <v>2915</v>
      </c>
      <c r="F136" s="2" t="s">
        <v>2891</v>
      </c>
      <c r="G136" s="2" t="s">
        <v>2631</v>
      </c>
      <c r="H136" s="2"/>
      <c r="I136" s="2" t="s">
        <v>3500</v>
      </c>
      <c r="J136" s="2" t="s">
        <v>3501</v>
      </c>
    </row>
    <row r="137" spans="1:10" ht="34" customHeight="1">
      <c r="A137" s="2" t="s">
        <v>3502</v>
      </c>
      <c r="B137" s="2" t="s">
        <v>3503</v>
      </c>
      <c r="C137" s="2"/>
      <c r="D137" s="2">
        <v>1996</v>
      </c>
      <c r="E137" s="2" t="s">
        <v>2915</v>
      </c>
      <c r="F137" s="2" t="s">
        <v>2891</v>
      </c>
      <c r="G137" s="2" t="s">
        <v>3504</v>
      </c>
      <c r="H137" s="2"/>
      <c r="I137" s="2" t="s">
        <v>2931</v>
      </c>
      <c r="J137" s="2" t="s">
        <v>3505</v>
      </c>
    </row>
    <row r="138" spans="1:10" ht="34" customHeight="1">
      <c r="A138" s="2" t="s">
        <v>1363</v>
      </c>
      <c r="B138" s="2" t="s">
        <v>3506</v>
      </c>
      <c r="C138" s="2"/>
      <c r="D138" s="2">
        <v>2003</v>
      </c>
      <c r="E138" s="2" t="s">
        <v>2907</v>
      </c>
      <c r="F138" s="2" t="s">
        <v>2983</v>
      </c>
      <c r="G138" s="2" t="s">
        <v>3507</v>
      </c>
      <c r="H138" s="2" t="s">
        <v>3508</v>
      </c>
      <c r="I138" s="2" t="s">
        <v>3509</v>
      </c>
      <c r="J138" s="2" t="s">
        <v>3510</v>
      </c>
    </row>
    <row r="139" spans="1:10" ht="34" customHeight="1">
      <c r="A139" s="2" t="s">
        <v>3511</v>
      </c>
      <c r="B139" s="2" t="s">
        <v>3512</v>
      </c>
      <c r="C139" s="2"/>
      <c r="D139" s="2">
        <v>2020</v>
      </c>
      <c r="E139" s="2" t="s">
        <v>2915</v>
      </c>
      <c r="F139" s="2" t="s">
        <v>2908</v>
      </c>
      <c r="G139" s="2" t="s">
        <v>3513</v>
      </c>
      <c r="H139" s="2"/>
      <c r="I139" s="2" t="s">
        <v>3514</v>
      </c>
      <c r="J139" s="2" t="s">
        <v>3515</v>
      </c>
    </row>
    <row r="140" spans="1:10" ht="34" customHeight="1">
      <c r="A140" s="2" t="s">
        <v>3516</v>
      </c>
      <c r="B140" s="2" t="s">
        <v>3517</v>
      </c>
      <c r="C140" s="2"/>
      <c r="D140" s="2">
        <v>2026</v>
      </c>
      <c r="E140" s="2" t="s">
        <v>2925</v>
      </c>
      <c r="F140" s="2" t="s">
        <v>2988</v>
      </c>
      <c r="G140" s="2" t="s">
        <v>3518</v>
      </c>
      <c r="H140" s="2"/>
      <c r="I140" s="2" t="s">
        <v>1578</v>
      </c>
      <c r="J140" s="2" t="s">
        <v>3519</v>
      </c>
    </row>
    <row r="141" spans="1:10" ht="34" customHeight="1">
      <c r="A141" s="2" t="s">
        <v>3520</v>
      </c>
      <c r="B141" s="2" t="s">
        <v>3521</v>
      </c>
      <c r="C141" s="2"/>
      <c r="D141" s="2">
        <v>2026</v>
      </c>
      <c r="E141" s="2" t="s">
        <v>2925</v>
      </c>
      <c r="F141" s="2" t="s">
        <v>2988</v>
      </c>
      <c r="G141" s="2" t="s">
        <v>3522</v>
      </c>
      <c r="H141" s="2"/>
      <c r="I141" s="2" t="s">
        <v>1524</v>
      </c>
      <c r="J141" s="2" t="s">
        <v>3523</v>
      </c>
    </row>
    <row r="142" spans="1:10" ht="34" customHeight="1">
      <c r="A142" s="2" t="s">
        <v>3524</v>
      </c>
      <c r="B142" s="2" t="s">
        <v>3525</v>
      </c>
      <c r="C142" s="2"/>
      <c r="D142" s="2">
        <v>2010</v>
      </c>
      <c r="E142" s="2" t="s">
        <v>2907</v>
      </c>
      <c r="F142" s="2" t="s">
        <v>2908</v>
      </c>
      <c r="G142" s="2" t="s">
        <v>2724</v>
      </c>
      <c r="H142" s="2"/>
      <c r="I142" s="2" t="s">
        <v>3526</v>
      </c>
      <c r="J142" s="2" t="s">
        <v>3527</v>
      </c>
    </row>
    <row r="143" spans="1:10" ht="34" customHeight="1">
      <c r="A143" s="2" t="s">
        <v>3528</v>
      </c>
      <c r="B143" s="2" t="s">
        <v>3529</v>
      </c>
      <c r="C143" s="2"/>
      <c r="D143" s="2">
        <v>2013</v>
      </c>
      <c r="E143" s="2" t="s">
        <v>2907</v>
      </c>
      <c r="F143" s="2" t="s">
        <v>2983</v>
      </c>
      <c r="G143" s="2" t="s">
        <v>3530</v>
      </c>
      <c r="H143" s="2"/>
      <c r="I143" s="2" t="s">
        <v>3531</v>
      </c>
      <c r="J143" s="2" t="s">
        <v>3532</v>
      </c>
    </row>
    <row r="144" spans="1:10" ht="37" customHeight="1">
      <c r="A144" s="2" t="s">
        <v>1499</v>
      </c>
      <c r="B144" s="2" t="s">
        <v>3533</v>
      </c>
      <c r="C144" s="2"/>
      <c r="D144" s="2"/>
      <c r="E144" s="2" t="s">
        <v>2925</v>
      </c>
      <c r="F144" s="2" t="s">
        <v>2988</v>
      </c>
      <c r="G144" s="2" t="s">
        <v>2715</v>
      </c>
      <c r="H144" s="2"/>
      <c r="I144" s="2" t="s">
        <v>3534</v>
      </c>
      <c r="J144" s="2" t="s">
        <v>3535</v>
      </c>
    </row>
    <row r="145" spans="1:10" ht="34" customHeight="1">
      <c r="A145" s="2" t="s">
        <v>3536</v>
      </c>
      <c r="B145" s="2" t="s">
        <v>3537</v>
      </c>
      <c r="C145" s="2"/>
      <c r="D145" s="2">
        <v>2002</v>
      </c>
      <c r="E145" s="2" t="s">
        <v>2907</v>
      </c>
      <c r="F145" s="2" t="s">
        <v>2983</v>
      </c>
      <c r="G145" s="2" t="s">
        <v>2818</v>
      </c>
      <c r="H145" s="2" t="s">
        <v>3538</v>
      </c>
      <c r="I145" s="2" t="s">
        <v>2962</v>
      </c>
      <c r="J145" s="2" t="s">
        <v>3539</v>
      </c>
    </row>
    <row r="146" spans="1:10" ht="34" customHeight="1">
      <c r="A146" s="2" t="s">
        <v>1696</v>
      </c>
      <c r="B146" s="2" t="s">
        <v>3540</v>
      </c>
      <c r="C146" s="2"/>
      <c r="D146" s="2">
        <v>1995</v>
      </c>
      <c r="E146" s="2" t="s">
        <v>2907</v>
      </c>
      <c r="F146" s="2" t="s">
        <v>2891</v>
      </c>
      <c r="G146" s="2" t="s">
        <v>2843</v>
      </c>
      <c r="H146" s="2"/>
      <c r="I146" s="2" t="s">
        <v>3541</v>
      </c>
      <c r="J146" s="2" t="s">
        <v>3542</v>
      </c>
    </row>
    <row r="147" spans="1:10" ht="37" customHeight="1">
      <c r="A147" s="2" t="s">
        <v>1371</v>
      </c>
      <c r="B147" s="2" t="s">
        <v>3543</v>
      </c>
      <c r="C147" s="2"/>
      <c r="D147" s="2">
        <v>1974</v>
      </c>
      <c r="E147" s="2" t="s">
        <v>2896</v>
      </c>
      <c r="F147" s="2" t="s">
        <v>2891</v>
      </c>
      <c r="G147" s="2" t="s">
        <v>2280</v>
      </c>
      <c r="H147" s="2"/>
      <c r="I147" s="2" t="s">
        <v>3544</v>
      </c>
      <c r="J147" s="2" t="s">
        <v>3545</v>
      </c>
    </row>
    <row r="148" spans="1:10" ht="34" customHeight="1">
      <c r="A148" s="2" t="s">
        <v>1623</v>
      </c>
      <c r="B148" s="2" t="s">
        <v>3546</v>
      </c>
      <c r="C148" s="2"/>
      <c r="D148" s="2">
        <v>1995</v>
      </c>
      <c r="E148" s="2" t="s">
        <v>2907</v>
      </c>
      <c r="F148" s="2" t="s">
        <v>2891</v>
      </c>
      <c r="G148" s="2" t="s">
        <v>2793</v>
      </c>
      <c r="H148" s="2"/>
      <c r="I148" s="2" t="s">
        <v>3547</v>
      </c>
      <c r="J148" s="2" t="s">
        <v>3548</v>
      </c>
    </row>
    <row r="149" spans="1:10" ht="34" customHeight="1">
      <c r="A149" s="2" t="s">
        <v>1431</v>
      </c>
      <c r="B149" s="2" t="s">
        <v>3549</v>
      </c>
      <c r="C149" s="2"/>
      <c r="D149" s="2">
        <v>2002</v>
      </c>
      <c r="E149" s="2" t="s">
        <v>2915</v>
      </c>
      <c r="F149" s="2" t="s">
        <v>2891</v>
      </c>
      <c r="G149" s="2" t="s">
        <v>2670</v>
      </c>
      <c r="H149" s="2"/>
      <c r="I149" s="2" t="s">
        <v>3547</v>
      </c>
      <c r="J149" s="2" t="s">
        <v>3550</v>
      </c>
    </row>
    <row r="150" spans="1:10" ht="34" customHeight="1">
      <c r="A150" s="2" t="s">
        <v>1376</v>
      </c>
      <c r="B150" s="2" t="s">
        <v>3551</v>
      </c>
      <c r="C150" s="2"/>
      <c r="D150" s="2">
        <v>2020</v>
      </c>
      <c r="E150" s="2" t="s">
        <v>2896</v>
      </c>
      <c r="F150" s="2" t="s">
        <v>2891</v>
      </c>
      <c r="G150" s="2" t="s">
        <v>2641</v>
      </c>
      <c r="H150" s="2" t="s">
        <v>3552</v>
      </c>
      <c r="I150" s="2" t="s">
        <v>3553</v>
      </c>
      <c r="J150" s="2" t="s">
        <v>3554</v>
      </c>
    </row>
    <row r="151" spans="1:10" ht="34" customHeight="1">
      <c r="A151" s="2" t="s">
        <v>3555</v>
      </c>
      <c r="B151" s="2" t="s">
        <v>3556</v>
      </c>
      <c r="C151" s="2"/>
      <c r="D151" s="2">
        <v>1998</v>
      </c>
      <c r="E151" s="2" t="s">
        <v>2907</v>
      </c>
      <c r="F151" s="2" t="s">
        <v>2891</v>
      </c>
      <c r="G151" s="2" t="s">
        <v>2784</v>
      </c>
      <c r="H151" s="2"/>
      <c r="I151" s="2" t="s">
        <v>3557</v>
      </c>
      <c r="J151" s="2" t="s">
        <v>3558</v>
      </c>
    </row>
    <row r="152" spans="1:10" ht="34" customHeight="1">
      <c r="A152" s="2" t="s">
        <v>3559</v>
      </c>
      <c r="B152" s="2" t="s">
        <v>3560</v>
      </c>
      <c r="C152" s="2"/>
      <c r="D152" s="2">
        <v>1996</v>
      </c>
      <c r="E152" s="2" t="s">
        <v>2925</v>
      </c>
      <c r="F152" s="2" t="s">
        <v>2988</v>
      </c>
      <c r="G152" s="2" t="s">
        <v>3561</v>
      </c>
      <c r="H152" s="2"/>
      <c r="I152" s="2" t="s">
        <v>3562</v>
      </c>
      <c r="J152" s="2" t="s">
        <v>3563</v>
      </c>
    </row>
    <row r="153" spans="1:10" ht="34" customHeight="1">
      <c r="A153" s="2" t="s">
        <v>1436</v>
      </c>
      <c r="B153" s="2" t="s">
        <v>3564</v>
      </c>
      <c r="C153" s="2"/>
      <c r="D153" s="2">
        <v>1997</v>
      </c>
      <c r="E153" s="2" t="s">
        <v>2915</v>
      </c>
      <c r="F153" s="2" t="s">
        <v>2891</v>
      </c>
      <c r="G153" s="2" t="s">
        <v>2674</v>
      </c>
      <c r="H153" s="2"/>
      <c r="I153" s="2" t="s">
        <v>3565</v>
      </c>
      <c r="J153" s="2" t="s">
        <v>3566</v>
      </c>
    </row>
    <row r="154" spans="1:10" ht="34" customHeight="1">
      <c r="A154" s="2" t="s">
        <v>3567</v>
      </c>
      <c r="B154" s="2" t="s">
        <v>3568</v>
      </c>
      <c r="C154" s="2"/>
      <c r="D154" s="2">
        <v>1978</v>
      </c>
      <c r="E154" s="2" t="s">
        <v>2907</v>
      </c>
      <c r="F154" s="2" t="s">
        <v>2908</v>
      </c>
      <c r="G154" s="2" t="s">
        <v>3569</v>
      </c>
      <c r="H154" s="2"/>
      <c r="I154" s="2" t="s">
        <v>3553</v>
      </c>
      <c r="J154" s="2" t="s">
        <v>3570</v>
      </c>
    </row>
    <row r="155" spans="1:10" ht="34" customHeight="1">
      <c r="A155" s="2" t="s">
        <v>1465</v>
      </c>
      <c r="B155" s="2" t="s">
        <v>3571</v>
      </c>
      <c r="C155" s="2"/>
      <c r="D155" s="2">
        <v>1980</v>
      </c>
      <c r="E155" s="2" t="s">
        <v>2907</v>
      </c>
      <c r="F155" s="2" t="s">
        <v>2908</v>
      </c>
      <c r="G155" s="2" t="s">
        <v>2692</v>
      </c>
      <c r="H155" s="2"/>
      <c r="I155" s="2" t="s">
        <v>3572</v>
      </c>
      <c r="J155" s="2" t="s">
        <v>3573</v>
      </c>
    </row>
    <row r="156" spans="1:10" ht="34" customHeight="1">
      <c r="A156" s="2" t="s">
        <v>1640</v>
      </c>
      <c r="B156" s="2" t="s">
        <v>3574</v>
      </c>
      <c r="C156" s="2"/>
      <c r="D156" s="2">
        <v>1986</v>
      </c>
      <c r="E156" s="2" t="s">
        <v>2907</v>
      </c>
      <c r="F156" s="2" t="s">
        <v>2983</v>
      </c>
      <c r="G156" s="2" t="s">
        <v>2804</v>
      </c>
      <c r="H156" s="2"/>
      <c r="I156" s="2" t="s">
        <v>3575</v>
      </c>
      <c r="J156" s="2" t="s">
        <v>3576</v>
      </c>
    </row>
    <row r="157" spans="1:10" ht="34" customHeight="1">
      <c r="A157" s="2" t="s">
        <v>3577</v>
      </c>
      <c r="B157" s="2" t="s">
        <v>3578</v>
      </c>
      <c r="C157" s="2"/>
      <c r="D157" s="2">
        <v>1996</v>
      </c>
      <c r="E157" s="2" t="s">
        <v>2907</v>
      </c>
      <c r="F157" s="2" t="s">
        <v>2891</v>
      </c>
      <c r="G157" s="2" t="s">
        <v>2814</v>
      </c>
      <c r="H157" s="2"/>
      <c r="I157" s="2" t="s">
        <v>3579</v>
      </c>
      <c r="J157" s="2" t="s">
        <v>3580</v>
      </c>
    </row>
    <row r="158" spans="1:10" ht="37" customHeight="1">
      <c r="A158" s="2" t="s">
        <v>1481</v>
      </c>
      <c r="B158" s="2" t="s">
        <v>3581</v>
      </c>
      <c r="C158" s="2"/>
      <c r="D158" s="2">
        <v>2024</v>
      </c>
      <c r="E158" s="2" t="s">
        <v>2907</v>
      </c>
      <c r="F158" s="2" t="s">
        <v>2891</v>
      </c>
      <c r="G158" s="2" t="s">
        <v>2703</v>
      </c>
      <c r="H158" s="2" t="s">
        <v>3582</v>
      </c>
      <c r="I158" s="2" t="s">
        <v>3583</v>
      </c>
      <c r="J158" s="2" t="s">
        <v>3584</v>
      </c>
    </row>
    <row r="159" spans="1:10" ht="34" customHeight="1">
      <c r="A159" s="2" t="s">
        <v>1555</v>
      </c>
      <c r="B159" s="2" t="s">
        <v>3585</v>
      </c>
      <c r="C159" s="2"/>
      <c r="D159" s="2">
        <v>2025</v>
      </c>
      <c r="E159" s="2" t="s">
        <v>2907</v>
      </c>
      <c r="F159" s="2" t="s">
        <v>2908</v>
      </c>
      <c r="G159" s="2" t="s">
        <v>2745</v>
      </c>
      <c r="H159" s="2" t="s">
        <v>3586</v>
      </c>
      <c r="I159" s="2" t="s">
        <v>3207</v>
      </c>
      <c r="J159" s="2" t="s">
        <v>3587</v>
      </c>
    </row>
    <row r="160" spans="1:10" ht="37" customHeight="1">
      <c r="A160" s="2" t="s">
        <v>3588</v>
      </c>
      <c r="B160" s="2" t="s">
        <v>3589</v>
      </c>
      <c r="C160" s="2"/>
      <c r="D160" s="2">
        <v>2015</v>
      </c>
      <c r="E160" s="2" t="s">
        <v>2907</v>
      </c>
      <c r="F160" s="2" t="s">
        <v>2983</v>
      </c>
      <c r="G160" s="2" t="s">
        <v>3590</v>
      </c>
      <c r="H160" s="2"/>
      <c r="I160" s="2" t="s">
        <v>2962</v>
      </c>
      <c r="J160" s="2" t="s">
        <v>3591</v>
      </c>
    </row>
    <row r="161" spans="1:10" ht="37" customHeight="1">
      <c r="A161" s="2" t="s">
        <v>3592</v>
      </c>
      <c r="B161" s="2" t="s">
        <v>3593</v>
      </c>
      <c r="C161" s="2"/>
      <c r="D161" s="2">
        <v>2011</v>
      </c>
      <c r="E161" s="2" t="s">
        <v>2907</v>
      </c>
      <c r="F161" s="2" t="s">
        <v>2908</v>
      </c>
      <c r="G161" s="2" t="s">
        <v>3594</v>
      </c>
      <c r="H161" s="2"/>
      <c r="I161" s="2" t="s">
        <v>3595</v>
      </c>
      <c r="J161" s="2" t="s">
        <v>3596</v>
      </c>
    </row>
    <row r="162" spans="1:10" ht="34" customHeight="1">
      <c r="A162" s="2" t="s">
        <v>3597</v>
      </c>
      <c r="B162" s="2" t="s">
        <v>3598</v>
      </c>
      <c r="C162" s="2"/>
      <c r="D162" s="2">
        <v>1980</v>
      </c>
      <c r="E162" s="2" t="s">
        <v>2915</v>
      </c>
      <c r="F162" s="2" t="s">
        <v>2908</v>
      </c>
      <c r="G162" s="2" t="s">
        <v>3599</v>
      </c>
      <c r="H162" s="2"/>
      <c r="I162" s="2" t="s">
        <v>3269</v>
      </c>
      <c r="J162" s="2" t="s">
        <v>3600</v>
      </c>
    </row>
    <row r="163" spans="1:10" ht="34" customHeight="1">
      <c r="A163" s="2" t="s">
        <v>1629</v>
      </c>
      <c r="B163" s="2" t="s">
        <v>3601</v>
      </c>
      <c r="C163" s="2"/>
      <c r="D163" s="2"/>
      <c r="E163" s="2" t="s">
        <v>2907</v>
      </c>
      <c r="F163" s="2" t="s">
        <v>2908</v>
      </c>
      <c r="G163" s="2" t="s">
        <v>2797</v>
      </c>
      <c r="H163" s="2"/>
      <c r="I163" s="2" t="s">
        <v>3602</v>
      </c>
      <c r="J163" s="2" t="s">
        <v>3603</v>
      </c>
    </row>
    <row r="164" spans="1:10" ht="34" customHeight="1">
      <c r="A164" s="2" t="s">
        <v>3604</v>
      </c>
      <c r="B164" s="2" t="s">
        <v>3605</v>
      </c>
      <c r="C164" s="2"/>
      <c r="D164" s="2">
        <v>1991</v>
      </c>
      <c r="E164" s="2" t="s">
        <v>2907</v>
      </c>
      <c r="F164" s="2" t="s">
        <v>2983</v>
      </c>
      <c r="G164" s="2" t="s">
        <v>3606</v>
      </c>
      <c r="H164" s="2" t="s">
        <v>3607</v>
      </c>
      <c r="I164" s="2" t="s">
        <v>2962</v>
      </c>
      <c r="J164" s="2" t="s">
        <v>3608</v>
      </c>
    </row>
    <row r="165" spans="1:10" ht="34" customHeight="1">
      <c r="A165" s="2" t="s">
        <v>3609</v>
      </c>
      <c r="B165" s="2" t="s">
        <v>3610</v>
      </c>
      <c r="C165" s="2"/>
      <c r="D165" s="2">
        <v>1993</v>
      </c>
      <c r="E165" s="2" t="s">
        <v>2907</v>
      </c>
      <c r="F165" s="2" t="s">
        <v>2908</v>
      </c>
      <c r="G165" s="2" t="s">
        <v>3611</v>
      </c>
      <c r="H165" s="2"/>
      <c r="I165" s="2" t="s">
        <v>3612</v>
      </c>
      <c r="J165" s="2" t="s">
        <v>3613</v>
      </c>
    </row>
    <row r="166" spans="1:10" ht="34" customHeight="1">
      <c r="A166" s="2" t="s">
        <v>3614</v>
      </c>
      <c r="B166" s="2" t="s">
        <v>3615</v>
      </c>
      <c r="C166" s="2" t="s">
        <v>3616</v>
      </c>
      <c r="D166" s="2">
        <v>2013</v>
      </c>
      <c r="E166" s="2" t="s">
        <v>2902</v>
      </c>
      <c r="F166" s="2" t="s">
        <v>2891</v>
      </c>
      <c r="G166" s="2" t="s">
        <v>3617</v>
      </c>
      <c r="H166" s="2"/>
      <c r="I166" s="2" t="s">
        <v>3618</v>
      </c>
      <c r="J166" s="2" t="s">
        <v>3619</v>
      </c>
    </row>
    <row r="167" spans="1:10" ht="34" customHeight="1">
      <c r="A167" s="2" t="s">
        <v>1447</v>
      </c>
      <c r="B167" s="2" t="s">
        <v>3620</v>
      </c>
      <c r="C167" s="2" t="s">
        <v>3621</v>
      </c>
      <c r="D167" s="2">
        <v>2000</v>
      </c>
      <c r="E167" s="2" t="s">
        <v>2907</v>
      </c>
      <c r="F167" s="2" t="s">
        <v>2891</v>
      </c>
      <c r="G167" s="2" t="s">
        <v>2684</v>
      </c>
      <c r="H167" s="2"/>
      <c r="I167" s="2" t="s">
        <v>3622</v>
      </c>
      <c r="J167" s="2" t="s">
        <v>3623</v>
      </c>
    </row>
    <row r="168" spans="1:10" ht="37" customHeight="1">
      <c r="A168" s="2" t="s">
        <v>1452</v>
      </c>
      <c r="B168" s="2" t="s">
        <v>3624</v>
      </c>
      <c r="C168" s="2" t="s">
        <v>3625</v>
      </c>
      <c r="D168" s="2">
        <v>2002</v>
      </c>
      <c r="E168" s="2" t="s">
        <v>2907</v>
      </c>
      <c r="F168" s="2" t="s">
        <v>2983</v>
      </c>
      <c r="G168" s="2" t="s">
        <v>2688</v>
      </c>
      <c r="H168" s="2"/>
      <c r="I168" s="2" t="s">
        <v>3626</v>
      </c>
      <c r="J168" s="2" t="s">
        <v>3627</v>
      </c>
    </row>
    <row r="169" spans="1:10" ht="37" customHeight="1">
      <c r="A169" s="2" t="s">
        <v>1510</v>
      </c>
      <c r="B169" s="2" t="s">
        <v>3628</v>
      </c>
      <c r="C169" s="2" t="s">
        <v>3629</v>
      </c>
      <c r="D169" s="2">
        <v>1987</v>
      </c>
      <c r="E169" s="2" t="s">
        <v>2915</v>
      </c>
      <c r="F169" s="2" t="s">
        <v>2891</v>
      </c>
      <c r="G169" s="2" t="s">
        <v>2721</v>
      </c>
      <c r="H169" s="2"/>
      <c r="I169" s="2" t="s">
        <v>3630</v>
      </c>
      <c r="J169" s="2" t="s">
        <v>3631</v>
      </c>
    </row>
    <row r="170" spans="1:10" ht="34" customHeight="1">
      <c r="A170" s="2" t="s">
        <v>1619</v>
      </c>
      <c r="B170" s="2" t="s">
        <v>3632</v>
      </c>
      <c r="C170" s="2" t="s">
        <v>3633</v>
      </c>
      <c r="D170" s="2">
        <v>1987</v>
      </c>
      <c r="E170" s="2" t="s">
        <v>2907</v>
      </c>
      <c r="F170" s="2" t="s">
        <v>2908</v>
      </c>
      <c r="G170" s="2" t="s">
        <v>2790</v>
      </c>
      <c r="H170" s="2"/>
      <c r="I170" s="2" t="s">
        <v>3634</v>
      </c>
      <c r="J170" s="2" t="s">
        <v>3635</v>
      </c>
    </row>
    <row r="171" spans="1:10" ht="34" customHeight="1">
      <c r="A171" s="2" t="s">
        <v>1418</v>
      </c>
      <c r="B171" s="2" t="s">
        <v>3636</v>
      </c>
      <c r="C171" s="2"/>
      <c r="D171" s="2">
        <v>1981</v>
      </c>
      <c r="E171" s="2" t="s">
        <v>2907</v>
      </c>
      <c r="F171" s="2" t="s">
        <v>2908</v>
      </c>
      <c r="G171" s="2" t="s">
        <v>2662</v>
      </c>
      <c r="H171" s="2"/>
      <c r="I171" s="2" t="s">
        <v>3637</v>
      </c>
      <c r="J171" s="2" t="s">
        <v>3638</v>
      </c>
    </row>
    <row r="172" spans="1:10" ht="34" customHeight="1">
      <c r="A172" s="2" t="s">
        <v>1603</v>
      </c>
      <c r="B172" s="2" t="s">
        <v>3639</v>
      </c>
      <c r="C172" s="2" t="s">
        <v>3640</v>
      </c>
      <c r="D172" s="2">
        <v>1996</v>
      </c>
      <c r="E172" s="2" t="s">
        <v>2907</v>
      </c>
      <c r="F172" s="2" t="s">
        <v>2891</v>
      </c>
      <c r="G172" s="2" t="s">
        <v>2645</v>
      </c>
      <c r="H172" s="2"/>
      <c r="I172" s="2" t="s">
        <v>3641</v>
      </c>
      <c r="J172" s="2" t="s">
        <v>3642</v>
      </c>
    </row>
    <row r="173" spans="1:10" ht="34" customHeight="1">
      <c r="A173" s="2" t="s">
        <v>3643</v>
      </c>
      <c r="B173" s="2" t="s">
        <v>3644</v>
      </c>
      <c r="C173" s="2" t="s">
        <v>3645</v>
      </c>
      <c r="D173" s="2">
        <v>2025</v>
      </c>
      <c r="E173" s="2" t="s">
        <v>2925</v>
      </c>
      <c r="F173" s="2" t="s">
        <v>2988</v>
      </c>
      <c r="G173" s="2" t="s">
        <v>3646</v>
      </c>
      <c r="H173" s="2"/>
      <c r="I173" s="2" t="s">
        <v>3647</v>
      </c>
      <c r="J173" s="2" t="s">
        <v>3648</v>
      </c>
    </row>
    <row r="174" spans="1:10" ht="34" customHeight="1">
      <c r="A174" s="2" t="s">
        <v>1532</v>
      </c>
      <c r="B174" s="2" t="s">
        <v>3649</v>
      </c>
      <c r="C174" s="2" t="s">
        <v>3650</v>
      </c>
      <c r="D174" s="2">
        <v>1996</v>
      </c>
      <c r="E174" s="2" t="s">
        <v>2907</v>
      </c>
      <c r="F174" s="2" t="s">
        <v>2908</v>
      </c>
      <c r="G174" s="2" t="s">
        <v>2732</v>
      </c>
      <c r="H174" s="2"/>
      <c r="I174" s="2" t="s">
        <v>3651</v>
      </c>
      <c r="J174" s="2" t="s">
        <v>3652</v>
      </c>
    </row>
    <row r="175" spans="1:10" ht="34" customHeight="1">
      <c r="A175" s="2" t="s">
        <v>1427</v>
      </c>
      <c r="B175" s="2" t="s">
        <v>3653</v>
      </c>
      <c r="C175" s="2" t="s">
        <v>3654</v>
      </c>
      <c r="D175" s="2">
        <v>1985</v>
      </c>
      <c r="E175" s="2" t="s">
        <v>2907</v>
      </c>
      <c r="F175" s="2" t="s">
        <v>2908</v>
      </c>
      <c r="G175" s="2" t="s">
        <v>2667</v>
      </c>
      <c r="H175" s="2"/>
      <c r="I175" s="2" t="s">
        <v>3655</v>
      </c>
      <c r="J175" s="2" t="s">
        <v>3656</v>
      </c>
    </row>
    <row r="176" spans="1:10" ht="37" customHeight="1">
      <c r="A176" s="2" t="s">
        <v>1564</v>
      </c>
      <c r="B176" s="2" t="s">
        <v>3657</v>
      </c>
      <c r="C176" s="2"/>
      <c r="D176" s="2">
        <v>1981</v>
      </c>
      <c r="E176" s="2" t="s">
        <v>2907</v>
      </c>
      <c r="F176" s="2" t="s">
        <v>2908</v>
      </c>
      <c r="G176" s="2" t="s">
        <v>2751</v>
      </c>
      <c r="H176" s="2"/>
      <c r="I176" s="2" t="s">
        <v>3658</v>
      </c>
      <c r="J176" s="2" t="s">
        <v>3659</v>
      </c>
    </row>
    <row r="177" spans="1:10" ht="34" customHeight="1">
      <c r="A177" s="2" t="s">
        <v>1413</v>
      </c>
      <c r="B177" s="2" t="s">
        <v>3660</v>
      </c>
      <c r="C177" s="2"/>
      <c r="D177" s="2"/>
      <c r="E177" s="2" t="s">
        <v>2902</v>
      </c>
      <c r="F177" s="2" t="s">
        <v>2908</v>
      </c>
      <c r="G177" s="2" t="s">
        <v>2659</v>
      </c>
      <c r="H177" s="2"/>
      <c r="I177" s="2" t="s">
        <v>3661</v>
      </c>
      <c r="J177" s="2" t="s">
        <v>3662</v>
      </c>
    </row>
    <row r="178" spans="1:10" ht="34" customHeight="1">
      <c r="A178" s="2" t="s">
        <v>1336</v>
      </c>
      <c r="B178" s="2" t="s">
        <v>3663</v>
      </c>
      <c r="C178" s="2" t="s">
        <v>3664</v>
      </c>
      <c r="D178" s="2"/>
      <c r="E178" s="2" t="s">
        <v>2915</v>
      </c>
      <c r="F178" s="2" t="s">
        <v>2891</v>
      </c>
      <c r="G178" s="2" t="s">
        <v>2613</v>
      </c>
      <c r="H178" s="2"/>
      <c r="I178" s="2" t="s">
        <v>3665</v>
      </c>
      <c r="J178" s="2" t="s">
        <v>3666</v>
      </c>
    </row>
    <row r="179" spans="1:10" ht="37" customHeight="1">
      <c r="A179" s="2" t="s">
        <v>1346</v>
      </c>
      <c r="B179" s="2" t="s">
        <v>3667</v>
      </c>
      <c r="C179" s="2" t="s">
        <v>3668</v>
      </c>
      <c r="D179" s="2">
        <v>1993</v>
      </c>
      <c r="E179" s="2" t="s">
        <v>2915</v>
      </c>
      <c r="F179" s="2" t="s">
        <v>2908</v>
      </c>
      <c r="G179" s="2" t="s">
        <v>2621</v>
      </c>
      <c r="H179" s="2"/>
      <c r="I179" s="2" t="s">
        <v>3669</v>
      </c>
      <c r="J179" s="2" t="s">
        <v>3670</v>
      </c>
    </row>
    <row r="180" spans="1:10" ht="37" customHeight="1">
      <c r="A180" s="2" t="s">
        <v>1559</v>
      </c>
      <c r="B180" s="2" t="s">
        <v>3671</v>
      </c>
      <c r="C180" s="2"/>
      <c r="D180" s="2">
        <v>1996</v>
      </c>
      <c r="E180" s="2" t="s">
        <v>2907</v>
      </c>
      <c r="F180" s="2" t="s">
        <v>2908</v>
      </c>
      <c r="G180" s="2" t="s">
        <v>2748</v>
      </c>
      <c r="H180" s="2"/>
      <c r="I180" s="2" t="s">
        <v>3672</v>
      </c>
      <c r="J180" s="2" t="s">
        <v>3673</v>
      </c>
    </row>
    <row r="181" spans="1:10" ht="37" customHeight="1">
      <c r="A181" s="2" t="s">
        <v>1674</v>
      </c>
      <c r="B181" s="2" t="s">
        <v>3674</v>
      </c>
      <c r="C181" s="2" t="s">
        <v>3675</v>
      </c>
      <c r="D181" s="2">
        <v>2024</v>
      </c>
      <c r="E181" s="2" t="s">
        <v>2907</v>
      </c>
      <c r="F181" s="2" t="s">
        <v>2891</v>
      </c>
      <c r="G181" s="2" t="s">
        <v>2830</v>
      </c>
      <c r="H181" s="2"/>
      <c r="I181" s="2" t="s">
        <v>3676</v>
      </c>
      <c r="J181" s="2" t="s">
        <v>3677</v>
      </c>
    </row>
    <row r="182" spans="1:10" ht="37" customHeight="1">
      <c r="A182" s="2" t="s">
        <v>1666</v>
      </c>
      <c r="B182" s="2" t="s">
        <v>3678</v>
      </c>
      <c r="C182" s="2" t="s">
        <v>3679</v>
      </c>
      <c r="D182" s="2">
        <v>2019</v>
      </c>
      <c r="E182" s="2" t="s">
        <v>2907</v>
      </c>
      <c r="F182" s="2" t="s">
        <v>2983</v>
      </c>
      <c r="G182" s="2" t="s">
        <v>3680</v>
      </c>
      <c r="H182" s="2" t="s">
        <v>3681</v>
      </c>
      <c r="I182" s="2" t="s">
        <v>2962</v>
      </c>
      <c r="J182" s="2" t="s">
        <v>3682</v>
      </c>
    </row>
    <row r="183" spans="1:10" ht="37" customHeight="1">
      <c r="A183" s="2" t="s">
        <v>1661</v>
      </c>
      <c r="B183" s="2" t="s">
        <v>3683</v>
      </c>
      <c r="C183" s="2" t="s">
        <v>3684</v>
      </c>
      <c r="D183" s="2">
        <v>2012</v>
      </c>
      <c r="E183" s="2" t="s">
        <v>2907</v>
      </c>
      <c r="F183" s="2" t="s">
        <v>2983</v>
      </c>
      <c r="G183" s="2" t="s">
        <v>2825</v>
      </c>
      <c r="H183" s="2"/>
      <c r="I183" s="2" t="s">
        <v>3685</v>
      </c>
      <c r="J183" s="2" t="s">
        <v>3686</v>
      </c>
    </row>
    <row r="184" spans="1:10" ht="34" customHeight="1">
      <c r="A184" s="2" t="s">
        <v>1490</v>
      </c>
      <c r="B184" s="2" t="s">
        <v>3687</v>
      </c>
      <c r="C184" s="2" t="s">
        <v>3688</v>
      </c>
      <c r="D184" s="2">
        <v>2024</v>
      </c>
      <c r="E184" s="2" t="s">
        <v>2915</v>
      </c>
      <c r="F184" s="2" t="s">
        <v>2891</v>
      </c>
      <c r="G184" s="2" t="s">
        <v>2711</v>
      </c>
      <c r="H184" s="2" t="s">
        <v>3689</v>
      </c>
      <c r="I184" s="2" t="s">
        <v>3690</v>
      </c>
      <c r="J184" s="2" t="s">
        <v>3691</v>
      </c>
    </row>
    <row r="185" spans="1:10" ht="37" customHeight="1">
      <c r="A185" s="2" t="s">
        <v>1315</v>
      </c>
      <c r="B185" s="2" t="s">
        <v>3692</v>
      </c>
      <c r="C185" s="2" t="s">
        <v>3693</v>
      </c>
      <c r="D185" s="2">
        <v>2014</v>
      </c>
      <c r="E185" s="2" t="s">
        <v>2915</v>
      </c>
      <c r="F185" s="2" t="s">
        <v>2891</v>
      </c>
      <c r="G185" s="2" t="s">
        <v>2600</v>
      </c>
      <c r="H185" s="2"/>
      <c r="I185" s="2" t="s">
        <v>3694</v>
      </c>
      <c r="J185" s="2" t="s">
        <v>3695</v>
      </c>
    </row>
    <row r="186" spans="1:10" ht="34" customHeight="1">
      <c r="A186" s="2" t="s">
        <v>1324</v>
      </c>
      <c r="B186" s="2" t="s">
        <v>3696</v>
      </c>
      <c r="C186" s="2" t="s">
        <v>3697</v>
      </c>
      <c r="D186" s="2">
        <v>2015</v>
      </c>
      <c r="E186" s="2" t="s">
        <v>2915</v>
      </c>
      <c r="F186" s="2" t="s">
        <v>2891</v>
      </c>
      <c r="G186" s="2" t="s">
        <v>2596</v>
      </c>
      <c r="H186" s="2"/>
      <c r="I186" s="2" t="s">
        <v>3698</v>
      </c>
      <c r="J186" s="2" t="s">
        <v>3699</v>
      </c>
    </row>
    <row r="187" spans="1:10" ht="34" customHeight="1">
      <c r="A187" s="2" t="s">
        <v>3700</v>
      </c>
      <c r="B187" s="2" t="s">
        <v>3701</v>
      </c>
      <c r="C187" s="2" t="s">
        <v>3702</v>
      </c>
      <c r="D187" s="2">
        <v>2017</v>
      </c>
      <c r="E187" s="2" t="s">
        <v>2925</v>
      </c>
      <c r="F187" s="2" t="s">
        <v>2988</v>
      </c>
      <c r="G187" s="2" t="s">
        <v>3703</v>
      </c>
      <c r="H187" s="2"/>
      <c r="I187" s="2" t="s">
        <v>3704</v>
      </c>
      <c r="J187" s="2" t="s">
        <v>3705</v>
      </c>
    </row>
    <row r="188" spans="1:10" ht="37" customHeight="1">
      <c r="A188" s="2" t="s">
        <v>3706</v>
      </c>
      <c r="B188" s="2" t="s">
        <v>3707</v>
      </c>
      <c r="C188" s="2" t="s">
        <v>3708</v>
      </c>
      <c r="D188" s="2">
        <v>2009</v>
      </c>
      <c r="E188" s="2" t="s">
        <v>2907</v>
      </c>
      <c r="F188" s="2" t="s">
        <v>2983</v>
      </c>
      <c r="G188" s="2" t="s">
        <v>3709</v>
      </c>
      <c r="H188" s="2" t="s">
        <v>3710</v>
      </c>
      <c r="I188" s="2" t="s">
        <v>3711</v>
      </c>
      <c r="J188" s="2" t="s">
        <v>3712</v>
      </c>
    </row>
    <row r="189" spans="1:10" ht="34" customHeight="1">
      <c r="A189" s="2" t="s">
        <v>3713</v>
      </c>
      <c r="B189" s="2" t="s">
        <v>3714</v>
      </c>
      <c r="C189" s="2" t="s">
        <v>3715</v>
      </c>
      <c r="D189" s="2">
        <v>2011</v>
      </c>
      <c r="E189" s="2" t="s">
        <v>2907</v>
      </c>
      <c r="F189" s="2" t="s">
        <v>2983</v>
      </c>
      <c r="G189" s="2" t="s">
        <v>3716</v>
      </c>
      <c r="H189" s="2"/>
      <c r="I189" s="2" t="s">
        <v>3717</v>
      </c>
      <c r="J189" s="2" t="s">
        <v>3718</v>
      </c>
    </row>
    <row r="190" spans="1:10" ht="34" customHeight="1">
      <c r="A190" s="2" t="s">
        <v>3719</v>
      </c>
      <c r="B190" s="2" t="s">
        <v>3720</v>
      </c>
      <c r="C190" s="2" t="s">
        <v>3721</v>
      </c>
      <c r="D190" s="2">
        <v>2026</v>
      </c>
      <c r="E190" s="2" t="s">
        <v>2925</v>
      </c>
      <c r="F190" s="2" t="s">
        <v>2988</v>
      </c>
      <c r="G190" s="2" t="s">
        <v>3722</v>
      </c>
      <c r="H190" s="2"/>
      <c r="I190" s="2" t="s">
        <v>3723</v>
      </c>
      <c r="J190" s="2" t="s">
        <v>3724</v>
      </c>
    </row>
    <row r="191" spans="1:10" ht="34" customHeight="1">
      <c r="A191" s="2" t="s">
        <v>3725</v>
      </c>
      <c r="B191" s="2" t="s">
        <v>3726</v>
      </c>
      <c r="C191" s="2" t="s">
        <v>1279</v>
      </c>
      <c r="D191" s="2">
        <v>2018</v>
      </c>
      <c r="E191" s="2" t="s">
        <v>2925</v>
      </c>
      <c r="F191" s="2" t="s">
        <v>2908</v>
      </c>
      <c r="G191" s="2" t="s">
        <v>3727</v>
      </c>
      <c r="H191" s="2"/>
      <c r="I191" s="2" t="s">
        <v>3728</v>
      </c>
      <c r="J191" s="2" t="s">
        <v>3729</v>
      </c>
    </row>
    <row r="192" spans="1:10" ht="34" customHeight="1">
      <c r="A192" s="2" t="s">
        <v>3730</v>
      </c>
      <c r="B192" s="2" t="s">
        <v>3731</v>
      </c>
      <c r="C192" s="2"/>
      <c r="D192" s="2">
        <v>1987</v>
      </c>
      <c r="E192" s="2" t="s">
        <v>2890</v>
      </c>
      <c r="F192" s="2" t="s">
        <v>2908</v>
      </c>
      <c r="G192" s="2" t="s">
        <v>3732</v>
      </c>
      <c r="H192" s="2"/>
      <c r="I192" s="2" t="s">
        <v>3733</v>
      </c>
      <c r="J192" s="2" t="s">
        <v>3734</v>
      </c>
    </row>
    <row r="193" spans="1:10" ht="34" customHeight="1">
      <c r="A193" s="2" t="s">
        <v>3735</v>
      </c>
      <c r="B193" s="2" t="s">
        <v>3736</v>
      </c>
      <c r="C193" s="2" t="s">
        <v>3737</v>
      </c>
      <c r="D193" s="2">
        <v>2005</v>
      </c>
      <c r="E193" s="2" t="s">
        <v>3738</v>
      </c>
      <c r="F193" s="2" t="s">
        <v>2891</v>
      </c>
      <c r="G193" s="2" t="s">
        <v>2780</v>
      </c>
      <c r="H193" s="2"/>
      <c r="I193" s="2" t="s">
        <v>3739</v>
      </c>
      <c r="J193" s="2" t="s">
        <v>3740</v>
      </c>
    </row>
    <row r="194" spans="1:10" ht="34" customHeight="1">
      <c r="A194" s="2" t="s">
        <v>3741</v>
      </c>
      <c r="B194" s="2" t="s">
        <v>3742</v>
      </c>
      <c r="C194" s="2" t="s">
        <v>3743</v>
      </c>
      <c r="D194" s="2">
        <v>2005</v>
      </c>
      <c r="E194" s="2" t="s">
        <v>3738</v>
      </c>
      <c r="F194" s="2" t="s">
        <v>2891</v>
      </c>
      <c r="G194" s="2" t="s">
        <v>3744</v>
      </c>
      <c r="H194" s="2"/>
      <c r="I194" s="2" t="s">
        <v>3745</v>
      </c>
      <c r="J194" s="2" t="s">
        <v>3746</v>
      </c>
    </row>
    <row r="195" spans="1:10" ht="34" customHeight="1">
      <c r="A195" s="2" t="s">
        <v>3747</v>
      </c>
      <c r="B195" s="2" t="s">
        <v>3748</v>
      </c>
      <c r="C195" s="2" t="s">
        <v>3749</v>
      </c>
      <c r="D195" s="2">
        <v>1992</v>
      </c>
      <c r="E195" s="2" t="s">
        <v>2915</v>
      </c>
      <c r="F195" s="2" t="s">
        <v>2891</v>
      </c>
      <c r="G195" s="2" t="s">
        <v>2617</v>
      </c>
      <c r="H195" s="2"/>
      <c r="I195" s="2" t="s">
        <v>3750</v>
      </c>
      <c r="J195" s="2" t="s">
        <v>3751</v>
      </c>
    </row>
    <row r="196" spans="1:10" ht="34" customHeight="1">
      <c r="A196" s="2" t="s">
        <v>3752</v>
      </c>
      <c r="B196" s="2" t="s">
        <v>3753</v>
      </c>
      <c r="C196" s="2" t="s">
        <v>3754</v>
      </c>
      <c r="D196" s="2">
        <v>2014</v>
      </c>
      <c r="E196" s="2" t="s">
        <v>2915</v>
      </c>
      <c r="F196" s="2" t="s">
        <v>2891</v>
      </c>
      <c r="G196" s="2" t="s">
        <v>2800</v>
      </c>
      <c r="H196" s="2"/>
      <c r="I196" s="2" t="s">
        <v>3755</v>
      </c>
      <c r="J196" s="2" t="s">
        <v>3756</v>
      </c>
    </row>
    <row r="197" spans="1:10" ht="34" customHeight="1">
      <c r="A197" s="2" t="s">
        <v>3757</v>
      </c>
      <c r="B197" s="2" t="s">
        <v>3758</v>
      </c>
      <c r="C197" s="2" t="s">
        <v>3759</v>
      </c>
      <c r="D197" s="2">
        <v>2010</v>
      </c>
      <c r="E197" s="2" t="s">
        <v>2907</v>
      </c>
      <c r="F197" s="2" t="s">
        <v>2891</v>
      </c>
      <c r="G197" s="2" t="s">
        <v>2700</v>
      </c>
      <c r="H197" s="2"/>
      <c r="I197" s="2" t="s">
        <v>3760</v>
      </c>
      <c r="J197" s="2" t="s">
        <v>3761</v>
      </c>
    </row>
    <row r="198" spans="1:10" ht="34" customHeight="1">
      <c r="A198" s="2" t="s">
        <v>3762</v>
      </c>
      <c r="B198" s="2" t="s">
        <v>3763</v>
      </c>
      <c r="C198" s="2"/>
      <c r="D198" s="2">
        <v>1994</v>
      </c>
      <c r="E198" s="2" t="s">
        <v>2925</v>
      </c>
      <c r="F198" s="2" t="s">
        <v>2988</v>
      </c>
      <c r="G198" s="2" t="s">
        <v>2787</v>
      </c>
      <c r="H198" s="2"/>
      <c r="I198" s="2" t="s">
        <v>3764</v>
      </c>
      <c r="J198" s="2" t="s">
        <v>3765</v>
      </c>
    </row>
    <row r="199" spans="1:10" ht="37" customHeight="1">
      <c r="A199" s="2" t="s">
        <v>3766</v>
      </c>
      <c r="B199" s="2" t="s">
        <v>3767</v>
      </c>
      <c r="C199" s="2" t="s">
        <v>3768</v>
      </c>
      <c r="D199" s="2">
        <v>2015</v>
      </c>
      <c r="E199" s="2" t="s">
        <v>2907</v>
      </c>
      <c r="F199" s="2" t="s">
        <v>2983</v>
      </c>
      <c r="G199" s="2" t="s">
        <v>2681</v>
      </c>
      <c r="H199" s="2"/>
      <c r="I199" s="2" t="s">
        <v>3769</v>
      </c>
      <c r="J199" s="2" t="s">
        <v>3770</v>
      </c>
    </row>
    <row r="200" spans="1:10" ht="34" customHeight="1">
      <c r="A200" s="2" t="s">
        <v>3771</v>
      </c>
      <c r="B200" s="2" t="s">
        <v>3772</v>
      </c>
      <c r="C200" s="2"/>
      <c r="D200" s="2">
        <v>2019</v>
      </c>
      <c r="E200" s="2" t="s">
        <v>2907</v>
      </c>
      <c r="F200" s="2" t="s">
        <v>2908</v>
      </c>
      <c r="G200" s="2" t="s">
        <v>2810</v>
      </c>
      <c r="H200" s="2"/>
      <c r="I200" s="2" t="s">
        <v>3773</v>
      </c>
      <c r="J200" s="2" t="s">
        <v>3774</v>
      </c>
    </row>
    <row r="201" spans="1:10" ht="50.5" customHeight="1">
      <c r="A201" s="2" t="s">
        <v>3775</v>
      </c>
      <c r="B201" s="2" t="s">
        <v>3776</v>
      </c>
      <c r="C201" s="2" t="s">
        <v>3777</v>
      </c>
      <c r="D201" s="2">
        <v>2007</v>
      </c>
      <c r="E201" s="2" t="s">
        <v>2907</v>
      </c>
      <c r="F201" s="2" t="s">
        <v>2891</v>
      </c>
      <c r="G201" s="2" t="s">
        <v>2848</v>
      </c>
      <c r="H201" s="2"/>
      <c r="I201" s="2" t="s">
        <v>3778</v>
      </c>
      <c r="J201" s="2" t="s">
        <v>3779</v>
      </c>
    </row>
    <row r="202" spans="1:10" ht="34" customHeight="1">
      <c r="A202" s="2" t="s">
        <v>3780</v>
      </c>
      <c r="B202" s="2" t="s">
        <v>3781</v>
      </c>
      <c r="C202" s="2"/>
      <c r="D202" s="2">
        <v>2001</v>
      </c>
      <c r="E202" s="2" t="s">
        <v>2907</v>
      </c>
      <c r="F202" s="2" t="s">
        <v>2983</v>
      </c>
      <c r="G202" s="2" t="s">
        <v>2821</v>
      </c>
      <c r="H202" s="2" t="s">
        <v>3782</v>
      </c>
      <c r="I202" s="2" t="s">
        <v>3783</v>
      </c>
      <c r="J202" s="2" t="s">
        <v>3784</v>
      </c>
    </row>
    <row r="203" spans="1:10" ht="34" customHeight="1">
      <c r="A203" s="2" t="s">
        <v>3785</v>
      </c>
      <c r="B203" s="2" t="s">
        <v>3786</v>
      </c>
      <c r="C203" s="2"/>
      <c r="D203" s="2">
        <v>1997</v>
      </c>
      <c r="E203" s="2" t="s">
        <v>2907</v>
      </c>
      <c r="F203" s="2" t="s">
        <v>2908</v>
      </c>
      <c r="G203" s="2" t="s">
        <v>2575</v>
      </c>
      <c r="H203" s="2"/>
      <c r="I203" s="2" t="s">
        <v>3787</v>
      </c>
      <c r="J203" s="2" t="s">
        <v>3788</v>
      </c>
    </row>
    <row r="204" spans="1:10" ht="34" customHeight="1">
      <c r="A204" s="2" t="s">
        <v>3789</v>
      </c>
      <c r="B204" s="2" t="s">
        <v>3790</v>
      </c>
      <c r="C204" s="2"/>
      <c r="D204" s="2">
        <v>1980</v>
      </c>
      <c r="E204" s="2" t="s">
        <v>2907</v>
      </c>
      <c r="F204" s="2" t="s">
        <v>2908</v>
      </c>
      <c r="G204" s="2" t="s">
        <v>2707</v>
      </c>
      <c r="H204" s="2"/>
      <c r="I204" s="2" t="s">
        <v>3791</v>
      </c>
      <c r="J204" s="2" t="s">
        <v>3792</v>
      </c>
    </row>
    <row r="205" spans="1:10" ht="34" customHeight="1">
      <c r="A205" s="2" t="s">
        <v>3793</v>
      </c>
      <c r="B205" s="2" t="s">
        <v>3794</v>
      </c>
      <c r="C205" s="2"/>
      <c r="D205" s="2">
        <v>1980</v>
      </c>
      <c r="E205" s="2" t="s">
        <v>2890</v>
      </c>
      <c r="F205" s="2" t="s">
        <v>2908</v>
      </c>
      <c r="G205" s="2" t="s">
        <v>2760</v>
      </c>
      <c r="H205" s="2"/>
      <c r="I205" s="2" t="s">
        <v>3795</v>
      </c>
      <c r="J205" s="2" t="s">
        <v>3796</v>
      </c>
    </row>
    <row r="206" spans="1:10" ht="34" customHeight="1">
      <c r="A206" s="2" t="s">
        <v>3797</v>
      </c>
      <c r="B206" s="2" t="s">
        <v>3798</v>
      </c>
      <c r="C206" s="2"/>
      <c r="D206" s="2">
        <v>2014</v>
      </c>
      <c r="E206" s="2" t="s">
        <v>2915</v>
      </c>
      <c r="F206" s="2" t="s">
        <v>2908</v>
      </c>
      <c r="G206" s="2" t="s">
        <v>2609</v>
      </c>
      <c r="H206" s="2"/>
      <c r="I206" s="2" t="s">
        <v>3799</v>
      </c>
      <c r="J206" s="2" t="s">
        <v>3800</v>
      </c>
    </row>
    <row r="207" spans="1:10" ht="37" customHeight="1">
      <c r="A207" s="2" t="s">
        <v>3801</v>
      </c>
      <c r="B207" s="2" t="s">
        <v>3802</v>
      </c>
      <c r="C207" s="2"/>
      <c r="D207" s="2">
        <v>2026</v>
      </c>
      <c r="E207" s="2" t="s">
        <v>2907</v>
      </c>
      <c r="F207" s="2" t="s">
        <v>2891</v>
      </c>
      <c r="G207" s="2" t="s">
        <v>2588</v>
      </c>
      <c r="H207" s="2" t="s">
        <v>3803</v>
      </c>
      <c r="I207" s="2" t="s">
        <v>3804</v>
      </c>
      <c r="J207" s="2" t="s">
        <v>3805</v>
      </c>
    </row>
    <row r="208" spans="1:10" ht="34" customHeight="1">
      <c r="A208" s="2" t="s">
        <v>3806</v>
      </c>
      <c r="B208" s="2" t="s">
        <v>3807</v>
      </c>
      <c r="C208" s="2"/>
      <c r="D208" s="2">
        <v>2004</v>
      </c>
      <c r="E208" s="2" t="s">
        <v>2907</v>
      </c>
      <c r="F208" s="2" t="s">
        <v>2891</v>
      </c>
      <c r="G208" s="2" t="s">
        <v>2648</v>
      </c>
      <c r="H208" s="2" t="s">
        <v>3808</v>
      </c>
      <c r="I208" s="2" t="s">
        <v>3809</v>
      </c>
      <c r="J208" s="2" t="s">
        <v>3810</v>
      </c>
    </row>
    <row r="209" spans="1:10" ht="34" customHeight="1">
      <c r="A209" s="2" t="s">
        <v>3811</v>
      </c>
      <c r="B209" s="2" t="s">
        <v>3812</v>
      </c>
      <c r="C209" s="2"/>
      <c r="D209" s="2">
        <v>1997</v>
      </c>
      <c r="E209" s="2" t="s">
        <v>2907</v>
      </c>
      <c r="F209" s="2" t="s">
        <v>2908</v>
      </c>
      <c r="G209" s="2" t="s">
        <v>2625</v>
      </c>
      <c r="H209" s="2" t="s">
        <v>3813</v>
      </c>
      <c r="I209" s="2" t="s">
        <v>3814</v>
      </c>
      <c r="J209" s="2" t="s">
        <v>3815</v>
      </c>
    </row>
    <row r="210" spans="1:10" ht="34" customHeight="1">
      <c r="A210" s="2" t="s">
        <v>3816</v>
      </c>
      <c r="B210" s="2" t="s">
        <v>3817</v>
      </c>
      <c r="C210" s="2"/>
      <c r="D210" s="2">
        <v>1997</v>
      </c>
      <c r="E210" s="2" t="s">
        <v>2907</v>
      </c>
      <c r="F210" s="2" t="s">
        <v>2983</v>
      </c>
      <c r="G210" s="2" t="s">
        <v>2628</v>
      </c>
      <c r="H210" s="2" t="s">
        <v>3818</v>
      </c>
      <c r="I210" s="2" t="s">
        <v>2962</v>
      </c>
      <c r="J210" s="2" t="s">
        <v>3819</v>
      </c>
    </row>
    <row r="211" spans="1:10" ht="37" customHeight="1">
      <c r="A211" s="2" t="s">
        <v>3820</v>
      </c>
      <c r="B211" s="2" t="s">
        <v>3821</v>
      </c>
      <c r="C211" s="2"/>
      <c r="D211" s="2"/>
      <c r="E211" s="2" t="s">
        <v>3822</v>
      </c>
      <c r="F211" s="2" t="s">
        <v>2908</v>
      </c>
      <c r="G211" s="2" t="s">
        <v>2834</v>
      </c>
      <c r="H211" s="2"/>
      <c r="I211" s="2" t="s">
        <v>3823</v>
      </c>
      <c r="J211" s="2" t="s">
        <v>3824</v>
      </c>
    </row>
    <row r="212" spans="1:10" ht="34" customHeight="1">
      <c r="A212" s="2" t="s">
        <v>3825</v>
      </c>
      <c r="B212" s="2" t="s">
        <v>3826</v>
      </c>
      <c r="C212" s="2"/>
      <c r="D212" s="2">
        <v>1982</v>
      </c>
      <c r="E212" s="2" t="s">
        <v>2907</v>
      </c>
      <c r="F212" s="2" t="s">
        <v>2983</v>
      </c>
      <c r="G212" s="2" t="s">
        <v>2739</v>
      </c>
      <c r="H212" s="2"/>
      <c r="I212" s="2" t="s">
        <v>3827</v>
      </c>
      <c r="J212" s="2" t="s">
        <v>3828</v>
      </c>
    </row>
    <row r="213" spans="1:10" ht="50.5" customHeight="1">
      <c r="A213" s="2" t="s">
        <v>3829</v>
      </c>
      <c r="B213" s="2" t="s">
        <v>3830</v>
      </c>
      <c r="C213" s="2" t="s">
        <v>3831</v>
      </c>
      <c r="D213" s="2">
        <v>1984</v>
      </c>
      <c r="E213" s="2" t="s">
        <v>2915</v>
      </c>
      <c r="F213" s="2" t="s">
        <v>2891</v>
      </c>
      <c r="G213" s="2" t="s">
        <v>2765</v>
      </c>
      <c r="H213" s="2"/>
      <c r="I213" s="2" t="s">
        <v>3832</v>
      </c>
      <c r="J213" s="2" t="s">
        <v>3833</v>
      </c>
    </row>
    <row r="214" spans="1:10" ht="34" customHeight="1">
      <c r="A214" s="2" t="s">
        <v>803</v>
      </c>
      <c r="B214" s="2" t="s">
        <v>3834</v>
      </c>
      <c r="C214" s="2" t="s">
        <v>3835</v>
      </c>
      <c r="D214" s="2">
        <v>2010</v>
      </c>
      <c r="E214" s="2" t="s">
        <v>2902</v>
      </c>
      <c r="F214" s="2" t="s">
        <v>2891</v>
      </c>
      <c r="G214" s="2" t="s">
        <v>2219</v>
      </c>
      <c r="H214" s="2" t="s">
        <v>3836</v>
      </c>
      <c r="I214" s="2" t="s">
        <v>3837</v>
      </c>
      <c r="J214" s="2" t="s">
        <v>3838</v>
      </c>
    </row>
    <row r="215" spans="1:10" ht="34" customHeight="1">
      <c r="A215" s="2" t="s">
        <v>3839</v>
      </c>
      <c r="B215" s="2" t="s">
        <v>3840</v>
      </c>
      <c r="C215" s="2"/>
      <c r="D215" s="2">
        <v>2025</v>
      </c>
      <c r="E215" s="2" t="s">
        <v>2907</v>
      </c>
      <c r="F215" s="2" t="s">
        <v>2908</v>
      </c>
      <c r="G215" s="2" t="s">
        <v>3841</v>
      </c>
      <c r="H215" s="2"/>
      <c r="I215" s="2" t="s">
        <v>3842</v>
      </c>
      <c r="J215" s="2" t="s">
        <v>3843</v>
      </c>
    </row>
    <row r="216" spans="1:10" ht="34" customHeight="1">
      <c r="A216" s="2" t="s">
        <v>3844</v>
      </c>
      <c r="B216" s="2" t="s">
        <v>3845</v>
      </c>
      <c r="C216" s="2"/>
      <c r="D216" s="2">
        <v>2021</v>
      </c>
      <c r="E216" s="2" t="s">
        <v>2915</v>
      </c>
      <c r="F216" s="2" t="s">
        <v>2891</v>
      </c>
      <c r="G216" s="2" t="s">
        <v>2245</v>
      </c>
      <c r="H216" s="2"/>
      <c r="I216" s="2" t="s">
        <v>3846</v>
      </c>
      <c r="J216" s="2" t="s">
        <v>3847</v>
      </c>
    </row>
    <row r="217" spans="1:10" ht="34" customHeight="1">
      <c r="A217" s="2" t="s">
        <v>3848</v>
      </c>
      <c r="B217" s="2" t="s">
        <v>3849</v>
      </c>
      <c r="C217" s="2"/>
      <c r="D217" s="2">
        <v>2008</v>
      </c>
      <c r="E217" s="2" t="s">
        <v>2915</v>
      </c>
      <c r="F217" s="2" t="s">
        <v>2891</v>
      </c>
      <c r="G217" s="2" t="s">
        <v>2168</v>
      </c>
      <c r="H217" s="2"/>
      <c r="I217" s="2" t="s">
        <v>3547</v>
      </c>
      <c r="J217" s="2" t="s">
        <v>3850</v>
      </c>
    </row>
    <row r="218" spans="1:10" ht="37" customHeight="1">
      <c r="A218" s="2" t="s">
        <v>3851</v>
      </c>
      <c r="B218" s="2" t="s">
        <v>3852</v>
      </c>
      <c r="C218" s="2"/>
      <c r="D218" s="2">
        <v>2021</v>
      </c>
      <c r="E218" s="2" t="s">
        <v>2907</v>
      </c>
      <c r="F218" s="2" t="s">
        <v>2988</v>
      </c>
      <c r="G218" s="2" t="s">
        <v>2203</v>
      </c>
      <c r="H218" s="2"/>
      <c r="I218" s="2" t="s">
        <v>3853</v>
      </c>
      <c r="J218" s="2" t="s">
        <v>3854</v>
      </c>
    </row>
    <row r="219" spans="1:10" ht="37" customHeight="1">
      <c r="A219" s="2" t="s">
        <v>708</v>
      </c>
      <c r="B219" s="2" t="s">
        <v>3855</v>
      </c>
      <c r="C219" s="2"/>
      <c r="D219" s="2">
        <v>2021</v>
      </c>
      <c r="E219" s="2" t="s">
        <v>2915</v>
      </c>
      <c r="F219" s="2" t="s">
        <v>2988</v>
      </c>
      <c r="G219" s="2" t="s">
        <v>2213</v>
      </c>
      <c r="H219" s="2"/>
      <c r="I219" s="2" t="s">
        <v>2931</v>
      </c>
      <c r="J219" s="2" t="s">
        <v>3856</v>
      </c>
    </row>
    <row r="220" spans="1:10" ht="34" customHeight="1">
      <c r="A220" s="2" t="s">
        <v>3857</v>
      </c>
      <c r="B220" s="2" t="s">
        <v>3858</v>
      </c>
      <c r="C220" s="2" t="s">
        <v>3859</v>
      </c>
      <c r="D220" s="2">
        <v>1972</v>
      </c>
      <c r="E220" s="2" t="s">
        <v>2907</v>
      </c>
      <c r="F220" s="2" t="s">
        <v>2891</v>
      </c>
      <c r="G220" s="2" t="s">
        <v>2274</v>
      </c>
      <c r="H220" s="2"/>
      <c r="I220" s="2" t="s">
        <v>3860</v>
      </c>
      <c r="J220" s="2" t="s">
        <v>3861</v>
      </c>
    </row>
    <row r="221" spans="1:10" ht="37" customHeight="1">
      <c r="A221" s="2" t="s">
        <v>3862</v>
      </c>
      <c r="B221" s="2" t="s">
        <v>3863</v>
      </c>
      <c r="C221" s="2" t="s">
        <v>3864</v>
      </c>
      <c r="D221" s="2">
        <v>1976</v>
      </c>
      <c r="E221" s="2" t="s">
        <v>2915</v>
      </c>
      <c r="F221" s="2" t="s">
        <v>2891</v>
      </c>
      <c r="G221" s="2" t="s">
        <v>2289</v>
      </c>
      <c r="H221" s="2"/>
      <c r="I221" s="2" t="s">
        <v>3865</v>
      </c>
      <c r="J221" s="2" t="s">
        <v>3866</v>
      </c>
    </row>
    <row r="222" spans="1:10" ht="37" customHeight="1">
      <c r="A222" s="2" t="s">
        <v>682</v>
      </c>
      <c r="B222" s="2" t="s">
        <v>3867</v>
      </c>
      <c r="C222" s="2"/>
      <c r="D222" s="2">
        <v>2022</v>
      </c>
      <c r="E222" s="2" t="s">
        <v>2915</v>
      </c>
      <c r="F222" s="2" t="s">
        <v>2891</v>
      </c>
      <c r="G222" s="2" t="s">
        <v>2199</v>
      </c>
      <c r="H222" s="2"/>
      <c r="I222" s="2" t="s">
        <v>3868</v>
      </c>
      <c r="J222" s="2" t="s">
        <v>3869</v>
      </c>
    </row>
    <row r="223" spans="1:10" ht="34" customHeight="1">
      <c r="A223" s="2" t="s">
        <v>833</v>
      </c>
      <c r="B223" s="2" t="s">
        <v>3870</v>
      </c>
      <c r="C223" s="2" t="s">
        <v>3871</v>
      </c>
      <c r="D223" s="2">
        <v>2025</v>
      </c>
      <c r="E223" s="2" t="s">
        <v>2915</v>
      </c>
      <c r="F223" s="2" t="s">
        <v>2891</v>
      </c>
      <c r="G223" s="2" t="s">
        <v>2310</v>
      </c>
      <c r="H223" s="2"/>
      <c r="I223" s="2" t="s">
        <v>3872</v>
      </c>
      <c r="J223" s="2" t="s">
        <v>3873</v>
      </c>
    </row>
    <row r="224" spans="1:10" ht="37" customHeight="1">
      <c r="A224" s="2" t="s">
        <v>643</v>
      </c>
      <c r="B224" s="2" t="s">
        <v>3874</v>
      </c>
      <c r="C224" s="2" t="s">
        <v>3875</v>
      </c>
      <c r="D224" s="2">
        <v>2016</v>
      </c>
      <c r="E224" s="2" t="s">
        <v>2915</v>
      </c>
      <c r="F224" s="2" t="s">
        <v>2891</v>
      </c>
      <c r="G224" s="2" t="s">
        <v>2175</v>
      </c>
      <c r="H224" s="2"/>
      <c r="I224" s="2" t="s">
        <v>3876</v>
      </c>
      <c r="J224" s="2" t="s">
        <v>3877</v>
      </c>
    </row>
    <row r="225" spans="1:10" ht="37" customHeight="1">
      <c r="A225" s="2" t="s">
        <v>586</v>
      </c>
      <c r="B225" s="2" t="s">
        <v>3878</v>
      </c>
      <c r="C225" s="2" t="s">
        <v>3879</v>
      </c>
      <c r="D225" s="2">
        <v>2025</v>
      </c>
      <c r="E225" s="2" t="s">
        <v>2907</v>
      </c>
      <c r="F225" s="2" t="s">
        <v>2891</v>
      </c>
      <c r="G225" s="2" t="s">
        <v>2138</v>
      </c>
      <c r="H225" s="2"/>
      <c r="I225" s="2" t="s">
        <v>3880</v>
      </c>
      <c r="J225" s="2" t="s">
        <v>3881</v>
      </c>
    </row>
    <row r="226" spans="1:10" ht="34" customHeight="1">
      <c r="A226" s="2" t="s">
        <v>574</v>
      </c>
      <c r="B226" s="2" t="s">
        <v>3882</v>
      </c>
      <c r="C226" s="2" t="s">
        <v>3883</v>
      </c>
      <c r="D226" s="2">
        <v>2018</v>
      </c>
      <c r="E226" s="2" t="s">
        <v>2907</v>
      </c>
      <c r="F226" s="2" t="s">
        <v>2988</v>
      </c>
      <c r="G226" s="2" t="s">
        <v>2132</v>
      </c>
      <c r="H226" s="2" t="s">
        <v>3884</v>
      </c>
      <c r="I226" s="2" t="s">
        <v>3885</v>
      </c>
      <c r="J226" s="2" t="s">
        <v>3886</v>
      </c>
    </row>
    <row r="227" spans="1:10" ht="37" customHeight="1">
      <c r="A227" s="2" t="s">
        <v>3887</v>
      </c>
      <c r="B227" s="2" t="s">
        <v>3888</v>
      </c>
      <c r="C227" s="2" t="s">
        <v>3889</v>
      </c>
      <c r="D227" s="2">
        <v>2023</v>
      </c>
      <c r="E227" s="2" t="s">
        <v>2907</v>
      </c>
      <c r="F227" s="2" t="s">
        <v>2983</v>
      </c>
      <c r="G227" s="2" t="s">
        <v>3890</v>
      </c>
      <c r="H227" s="2" t="s">
        <v>3891</v>
      </c>
      <c r="I227" s="2" t="s">
        <v>3892</v>
      </c>
      <c r="J227" s="2" t="s">
        <v>3893</v>
      </c>
    </row>
    <row r="228" spans="1:10" ht="37" customHeight="1">
      <c r="A228" s="2" t="s">
        <v>3894</v>
      </c>
      <c r="B228" s="2" t="s">
        <v>3895</v>
      </c>
      <c r="C228" s="2" t="s">
        <v>3896</v>
      </c>
      <c r="D228" s="2">
        <v>2021</v>
      </c>
      <c r="E228" s="2" t="s">
        <v>2915</v>
      </c>
      <c r="F228" s="2" t="s">
        <v>2908</v>
      </c>
      <c r="G228" s="2" t="s">
        <v>2148</v>
      </c>
      <c r="H228" s="2"/>
      <c r="I228" s="2" t="s">
        <v>3897</v>
      </c>
      <c r="J228" s="2" t="s">
        <v>3898</v>
      </c>
    </row>
    <row r="229" spans="1:10" ht="37" customHeight="1">
      <c r="A229" s="2" t="s">
        <v>1725</v>
      </c>
      <c r="B229" s="2" t="s">
        <v>3899</v>
      </c>
      <c r="C229" s="2" t="s">
        <v>3900</v>
      </c>
      <c r="D229" s="2">
        <v>1993</v>
      </c>
      <c r="E229" s="2" t="s">
        <v>2907</v>
      </c>
      <c r="F229" s="2" t="s">
        <v>2891</v>
      </c>
      <c r="G229" s="2" t="s">
        <v>2858</v>
      </c>
      <c r="H229" s="2"/>
      <c r="I229" s="2" t="s">
        <v>3901</v>
      </c>
      <c r="J229" s="2" t="s">
        <v>3902</v>
      </c>
    </row>
    <row r="230" spans="1:10" ht="34" customHeight="1">
      <c r="A230" s="2" t="s">
        <v>3903</v>
      </c>
      <c r="B230" s="2" t="s">
        <v>3904</v>
      </c>
      <c r="C230" s="2" t="s">
        <v>3905</v>
      </c>
      <c r="D230" s="2">
        <v>1975</v>
      </c>
      <c r="E230" s="2" t="s">
        <v>2907</v>
      </c>
      <c r="F230" s="2" t="s">
        <v>2908</v>
      </c>
      <c r="G230" s="2" t="s">
        <v>2865</v>
      </c>
      <c r="H230" s="2"/>
      <c r="I230" s="2" t="s">
        <v>3906</v>
      </c>
      <c r="J230" s="2" t="s">
        <v>3907</v>
      </c>
    </row>
    <row r="231" spans="1:10" ht="37" customHeight="1">
      <c r="A231" s="2" t="s">
        <v>3908</v>
      </c>
      <c r="B231" s="2" t="s">
        <v>3909</v>
      </c>
      <c r="C231" s="2" t="s">
        <v>3910</v>
      </c>
      <c r="D231" s="2">
        <v>1987</v>
      </c>
      <c r="E231" s="2" t="s">
        <v>2907</v>
      </c>
      <c r="F231" s="2" t="s">
        <v>2891</v>
      </c>
      <c r="G231" s="2" t="s">
        <v>2874</v>
      </c>
      <c r="H231" s="2"/>
      <c r="I231" s="2" t="s">
        <v>3911</v>
      </c>
      <c r="J231" s="2" t="s">
        <v>3912</v>
      </c>
    </row>
    <row r="232" spans="1:10" ht="34" customHeight="1">
      <c r="A232" s="2" t="s">
        <v>749</v>
      </c>
      <c r="B232" s="2" t="s">
        <v>3913</v>
      </c>
      <c r="C232" s="2" t="s">
        <v>3914</v>
      </c>
      <c r="D232" s="2">
        <v>1990</v>
      </c>
      <c r="E232" s="2" t="s">
        <v>2915</v>
      </c>
      <c r="F232" s="2" t="s">
        <v>2908</v>
      </c>
      <c r="G232" s="2" t="s">
        <v>2240</v>
      </c>
      <c r="H232" s="2"/>
      <c r="I232" s="2" t="s">
        <v>2931</v>
      </c>
      <c r="J232" s="2" t="s">
        <v>3915</v>
      </c>
    </row>
    <row r="233" spans="1:10" ht="37" customHeight="1">
      <c r="A233" s="2" t="s">
        <v>3916</v>
      </c>
      <c r="B233" s="2" t="s">
        <v>3917</v>
      </c>
      <c r="C233" s="2" t="s">
        <v>3918</v>
      </c>
      <c r="D233" s="2">
        <v>1975</v>
      </c>
      <c r="E233" s="2" t="s">
        <v>2915</v>
      </c>
      <c r="F233" s="2" t="s">
        <v>3919</v>
      </c>
      <c r="G233" s="2" t="s">
        <v>2261</v>
      </c>
      <c r="H233" s="2"/>
      <c r="I233" s="2" t="s">
        <v>3920</v>
      </c>
      <c r="J233" s="2" t="s">
        <v>3921</v>
      </c>
    </row>
    <row r="234" spans="1:10" ht="34" customHeight="1">
      <c r="A234" s="2" t="s">
        <v>3922</v>
      </c>
      <c r="B234" s="2" t="s">
        <v>3923</v>
      </c>
      <c r="C234" s="2" t="s">
        <v>3924</v>
      </c>
      <c r="D234" s="2">
        <v>2007</v>
      </c>
      <c r="E234" s="2" t="s">
        <v>3925</v>
      </c>
      <c r="F234" s="2" t="s">
        <v>2891</v>
      </c>
      <c r="G234" s="2" t="s">
        <v>2210</v>
      </c>
      <c r="H234" s="2"/>
      <c r="I234" s="2" t="s">
        <v>3926</v>
      </c>
      <c r="J234" s="2" t="s">
        <v>3927</v>
      </c>
    </row>
    <row r="235" spans="1:10" ht="37" customHeight="1">
      <c r="A235" s="2" t="s">
        <v>3928</v>
      </c>
      <c r="B235" s="2" t="s">
        <v>3929</v>
      </c>
      <c r="C235" s="2" t="s">
        <v>3930</v>
      </c>
      <c r="D235" s="2">
        <v>2014</v>
      </c>
      <c r="E235" s="2" t="s">
        <v>3925</v>
      </c>
      <c r="F235" s="2" t="s">
        <v>2891</v>
      </c>
      <c r="G235" s="2" t="s">
        <v>2207</v>
      </c>
      <c r="H235" s="2"/>
      <c r="I235" s="2" t="s">
        <v>3931</v>
      </c>
      <c r="J235" s="2" t="s">
        <v>3932</v>
      </c>
    </row>
    <row r="236" spans="1:10" ht="37" customHeight="1">
      <c r="A236" s="2" t="s">
        <v>3933</v>
      </c>
      <c r="B236" s="2" t="s">
        <v>3934</v>
      </c>
      <c r="C236" s="2" t="s">
        <v>3935</v>
      </c>
      <c r="D236" s="2">
        <v>2023</v>
      </c>
      <c r="E236" s="2" t="s">
        <v>3925</v>
      </c>
      <c r="F236" s="2" t="s">
        <v>2891</v>
      </c>
      <c r="G236" s="2" t="s">
        <v>2142</v>
      </c>
      <c r="H236" s="2" t="s">
        <v>3936</v>
      </c>
      <c r="I236" s="2" t="s">
        <v>3937</v>
      </c>
      <c r="J236" s="2" t="s">
        <v>3938</v>
      </c>
    </row>
    <row r="237" spans="1:10" ht="37" customHeight="1">
      <c r="A237" s="2" t="s">
        <v>3939</v>
      </c>
      <c r="B237" s="2" t="s">
        <v>3940</v>
      </c>
      <c r="C237" s="2" t="s">
        <v>3941</v>
      </c>
      <c r="D237" s="2">
        <v>2019</v>
      </c>
      <c r="E237" s="2" t="s">
        <v>3925</v>
      </c>
      <c r="F237" s="2" t="s">
        <v>2891</v>
      </c>
      <c r="G237" s="2" t="s">
        <v>2128</v>
      </c>
      <c r="H237" s="2"/>
      <c r="I237" s="2" t="s">
        <v>3942</v>
      </c>
      <c r="J237" s="2" t="s">
        <v>3943</v>
      </c>
    </row>
    <row r="238" spans="1:10" ht="34" customHeight="1">
      <c r="A238" s="2" t="s">
        <v>3944</v>
      </c>
      <c r="B238" s="2" t="s">
        <v>3945</v>
      </c>
      <c r="C238" s="2" t="s">
        <v>3946</v>
      </c>
      <c r="D238" s="2">
        <v>2018</v>
      </c>
      <c r="E238" s="2" t="s">
        <v>3947</v>
      </c>
      <c r="F238" s="2" t="s">
        <v>2891</v>
      </c>
      <c r="G238" s="2" t="s">
        <v>2251</v>
      </c>
      <c r="H238" s="2"/>
      <c r="I238" s="2" t="s">
        <v>3948</v>
      </c>
      <c r="J238" s="2" t="s">
        <v>3949</v>
      </c>
    </row>
    <row r="239" spans="1:10" ht="37" customHeight="1">
      <c r="A239" s="2" t="s">
        <v>3950</v>
      </c>
      <c r="B239" s="2" t="s">
        <v>3951</v>
      </c>
      <c r="C239" s="2" t="s">
        <v>3952</v>
      </c>
      <c r="D239" s="2">
        <v>2022</v>
      </c>
      <c r="E239" s="2" t="s">
        <v>3925</v>
      </c>
      <c r="F239" s="2" t="s">
        <v>2891</v>
      </c>
      <c r="G239" s="2" t="s">
        <v>2193</v>
      </c>
      <c r="H239" s="2" t="s">
        <v>3953</v>
      </c>
      <c r="I239" s="2" t="s">
        <v>3954</v>
      </c>
      <c r="J239" s="2" t="s">
        <v>3955</v>
      </c>
    </row>
    <row r="240" spans="1:10" ht="34" customHeight="1">
      <c r="A240" s="2" t="s">
        <v>3956</v>
      </c>
      <c r="B240" s="2" t="s">
        <v>3957</v>
      </c>
      <c r="C240" s="2" t="s">
        <v>3958</v>
      </c>
      <c r="D240" s="2">
        <v>2001</v>
      </c>
      <c r="E240" s="2" t="s">
        <v>3925</v>
      </c>
      <c r="F240" s="2" t="s">
        <v>2891</v>
      </c>
      <c r="G240" s="2" t="s">
        <v>2231</v>
      </c>
      <c r="H240" s="2"/>
      <c r="I240" s="2" t="s">
        <v>3959</v>
      </c>
      <c r="J240" s="2" t="s">
        <v>3960</v>
      </c>
    </row>
    <row r="241" spans="1:10" ht="37" customHeight="1">
      <c r="A241" s="2" t="s">
        <v>657</v>
      </c>
      <c r="B241" s="2" t="s">
        <v>3961</v>
      </c>
      <c r="C241" s="2" t="s">
        <v>3962</v>
      </c>
      <c r="D241" s="2">
        <v>2018</v>
      </c>
      <c r="E241" s="2" t="s">
        <v>3925</v>
      </c>
      <c r="F241" s="2" t="s">
        <v>2891</v>
      </c>
      <c r="G241" s="2" t="s">
        <v>2183</v>
      </c>
      <c r="H241" s="2"/>
      <c r="I241" s="2" t="s">
        <v>3963</v>
      </c>
      <c r="J241" s="2" t="s">
        <v>3964</v>
      </c>
    </row>
    <row r="242" spans="1:10" ht="34" customHeight="1">
      <c r="A242" s="2" t="s">
        <v>3965</v>
      </c>
      <c r="B242" s="2" t="s">
        <v>3966</v>
      </c>
      <c r="C242" s="2" t="s">
        <v>3967</v>
      </c>
      <c r="D242" s="2">
        <v>2023</v>
      </c>
      <c r="E242" s="2" t="s">
        <v>3925</v>
      </c>
      <c r="F242" s="2" t="s">
        <v>3968</v>
      </c>
      <c r="G242" s="2" t="s">
        <v>2153</v>
      </c>
      <c r="H242" s="2"/>
      <c r="I242" s="2" t="s">
        <v>3969</v>
      </c>
      <c r="J242" s="2" t="s">
        <v>3970</v>
      </c>
    </row>
    <row r="243" spans="1:10" ht="37" customHeight="1">
      <c r="A243" s="2" t="s">
        <v>3971</v>
      </c>
      <c r="B243" s="2" t="s">
        <v>3972</v>
      </c>
      <c r="C243" s="2" t="s">
        <v>3973</v>
      </c>
      <c r="D243" s="2">
        <v>2017</v>
      </c>
      <c r="E243" s="2" t="s">
        <v>3974</v>
      </c>
      <c r="F243" s="2" t="s">
        <v>35</v>
      </c>
      <c r="G243" s="2" t="s">
        <v>2264</v>
      </c>
      <c r="H243" s="2"/>
      <c r="I243" s="2" t="s">
        <v>3975</v>
      </c>
      <c r="J243" s="2" t="s">
        <v>3976</v>
      </c>
    </row>
    <row r="244" spans="1:10" ht="34" customHeight="1">
      <c r="A244" s="2" t="s">
        <v>3977</v>
      </c>
      <c r="B244" s="2" t="s">
        <v>3978</v>
      </c>
      <c r="C244" s="2" t="s">
        <v>3979</v>
      </c>
      <c r="D244" s="2"/>
      <c r="E244" s="2" t="s">
        <v>3980</v>
      </c>
      <c r="F244" s="2" t="s">
        <v>35</v>
      </c>
      <c r="G244" s="2" t="s">
        <v>2179</v>
      </c>
      <c r="H244" s="2"/>
      <c r="I244" s="2" t="s">
        <v>3981</v>
      </c>
      <c r="J244" s="2" t="s">
        <v>3982</v>
      </c>
    </row>
    <row r="245" spans="1:10" ht="37" customHeight="1">
      <c r="A245" s="2" t="s">
        <v>3983</v>
      </c>
      <c r="B245" s="2" t="s">
        <v>3984</v>
      </c>
      <c r="C245" s="2" t="s">
        <v>3985</v>
      </c>
      <c r="D245" s="2">
        <v>2005</v>
      </c>
      <c r="E245" s="2" t="s">
        <v>3925</v>
      </c>
      <c r="F245" s="2" t="s">
        <v>2891</v>
      </c>
      <c r="G245" s="2" t="s">
        <v>3986</v>
      </c>
      <c r="H245" s="2"/>
      <c r="I245" s="2" t="s">
        <v>3987</v>
      </c>
      <c r="J245" s="2" t="s">
        <v>3988</v>
      </c>
    </row>
    <row r="246" spans="1:10" ht="37" customHeight="1">
      <c r="A246" s="2" t="s">
        <v>3989</v>
      </c>
      <c r="B246" s="2" t="s">
        <v>3990</v>
      </c>
      <c r="C246" s="2" t="s">
        <v>3991</v>
      </c>
      <c r="D246" s="2">
        <v>2016</v>
      </c>
      <c r="E246" s="2" t="s">
        <v>3925</v>
      </c>
      <c r="F246" s="2" t="s">
        <v>2891</v>
      </c>
      <c r="G246" s="2" t="s">
        <v>3992</v>
      </c>
      <c r="H246" s="2" t="s">
        <v>3993</v>
      </c>
      <c r="I246" s="2" t="s">
        <v>3994</v>
      </c>
      <c r="J246" s="2" t="s">
        <v>3995</v>
      </c>
    </row>
  </sheetData>
  <mergeCells count="2">
    <mergeCell ref="A2:F2"/>
    <mergeCell ref="A1:F1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7F8C"/>
  </sheetPr>
  <dimension ref="A1:H1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21.9140625" customWidth="1"/>
    <col min="2" max="2" width="36.9140625" customWidth="1"/>
    <col min="3" max="3" width="28.1640625" customWidth="1"/>
    <col min="4" max="4" width="90" customWidth="1"/>
    <col min="5" max="5" width="75" customWidth="1"/>
    <col min="6" max="6" width="23.75" customWidth="1"/>
    <col min="7" max="7" width="81.25" customWidth="1"/>
    <col min="8" max="8" width="90" customWidth="1"/>
  </cols>
  <sheetData>
    <row r="1" spans="1:8" ht="38" customHeight="1">
      <c r="A1" s="34" t="s">
        <v>3996</v>
      </c>
      <c r="B1" s="32"/>
      <c r="C1" s="32"/>
      <c r="D1" s="32"/>
      <c r="E1" s="32"/>
    </row>
    <row r="2" spans="1:8" ht="34" customHeight="1">
      <c r="A2" s="33" t="s">
        <v>3997</v>
      </c>
      <c r="B2" s="32"/>
      <c r="C2" s="32"/>
      <c r="D2" s="32"/>
      <c r="E2" s="32"/>
    </row>
    <row r="3" spans="1:8" ht="16.5">
      <c r="A3" s="1"/>
      <c r="B3" s="1"/>
      <c r="C3" s="1"/>
      <c r="D3" s="1"/>
      <c r="E3" s="1"/>
    </row>
    <row r="5" spans="1:8" ht="32" customHeight="1">
      <c r="A5" s="3" t="s">
        <v>3</v>
      </c>
      <c r="B5" s="3" t="s">
        <v>3998</v>
      </c>
      <c r="C5" s="3" t="s">
        <v>3999</v>
      </c>
      <c r="D5" s="3" t="s">
        <v>4000</v>
      </c>
      <c r="E5" s="3" t="s">
        <v>4001</v>
      </c>
      <c r="F5" s="3" t="s">
        <v>4002</v>
      </c>
      <c r="G5" s="3" t="s">
        <v>4003</v>
      </c>
      <c r="H5" s="3" t="s">
        <v>4004</v>
      </c>
    </row>
    <row r="6" spans="1:8" ht="37" customHeight="1">
      <c r="A6" s="2" t="s">
        <v>4005</v>
      </c>
      <c r="B6" s="2" t="s">
        <v>4006</v>
      </c>
      <c r="C6" s="2" t="s">
        <v>4007</v>
      </c>
      <c r="D6" s="2" t="s">
        <v>4008</v>
      </c>
      <c r="E6" s="2" t="s">
        <v>4009</v>
      </c>
      <c r="F6" s="2"/>
      <c r="G6" s="2"/>
      <c r="H6" s="2"/>
    </row>
    <row r="7" spans="1:8" ht="34" customHeight="1">
      <c r="A7" s="2" t="s">
        <v>224</v>
      </c>
      <c r="B7" s="2" t="s">
        <v>363</v>
      </c>
      <c r="C7" s="2" t="s">
        <v>4007</v>
      </c>
      <c r="D7" s="2" t="s">
        <v>4010</v>
      </c>
      <c r="E7" s="2" t="s">
        <v>4011</v>
      </c>
      <c r="F7" s="2"/>
      <c r="G7" s="2"/>
      <c r="H7" s="2"/>
    </row>
    <row r="8" spans="1:8" ht="34" customHeight="1">
      <c r="A8" s="2" t="s">
        <v>224</v>
      </c>
      <c r="B8" s="2" t="s">
        <v>371</v>
      </c>
      <c r="C8" s="2" t="s">
        <v>4007</v>
      </c>
      <c r="D8" s="2" t="s">
        <v>4012</v>
      </c>
      <c r="E8" s="2" t="s">
        <v>4013</v>
      </c>
      <c r="F8" s="2"/>
      <c r="G8" s="2"/>
      <c r="H8" s="2"/>
    </row>
    <row r="9" spans="1:8" ht="34" customHeight="1">
      <c r="A9" s="2" t="s">
        <v>224</v>
      </c>
      <c r="B9" s="2" t="s">
        <v>412</v>
      </c>
      <c r="C9" s="2" t="s">
        <v>4007</v>
      </c>
      <c r="D9" s="2" t="s">
        <v>4014</v>
      </c>
      <c r="E9" s="2" t="s">
        <v>4015</v>
      </c>
      <c r="F9" s="2"/>
      <c r="G9" s="2"/>
      <c r="H9" s="2"/>
    </row>
    <row r="10" spans="1:8" ht="34" customHeight="1">
      <c r="A10" s="2" t="s">
        <v>224</v>
      </c>
      <c r="B10" s="2" t="s">
        <v>4016</v>
      </c>
      <c r="C10" s="2" t="s">
        <v>4007</v>
      </c>
      <c r="D10" s="2" t="s">
        <v>4017</v>
      </c>
      <c r="E10" s="2" t="s">
        <v>4018</v>
      </c>
      <c r="F10" s="2"/>
      <c r="G10" s="2"/>
      <c r="H10" s="2"/>
    </row>
    <row r="11" spans="1:8" ht="34" customHeight="1">
      <c r="A11" s="2" t="s">
        <v>4019</v>
      </c>
      <c r="B11" s="2" t="s">
        <v>4020</v>
      </c>
      <c r="C11" s="2" t="s">
        <v>4007</v>
      </c>
      <c r="D11" s="2" t="s">
        <v>4021</v>
      </c>
      <c r="E11" s="2" t="s">
        <v>4022</v>
      </c>
      <c r="F11" s="2"/>
      <c r="G11" s="2"/>
      <c r="H11" s="2"/>
    </row>
    <row r="12" spans="1:8" ht="37" customHeight="1">
      <c r="A12" s="2" t="s">
        <v>4023</v>
      </c>
      <c r="B12" s="2" t="s">
        <v>4024</v>
      </c>
      <c r="C12" s="2" t="s">
        <v>4007</v>
      </c>
      <c r="D12" s="2" t="s">
        <v>4025</v>
      </c>
      <c r="E12" s="2" t="s">
        <v>4026</v>
      </c>
      <c r="F12" s="2"/>
      <c r="G12" s="2"/>
      <c r="H12" s="2"/>
    </row>
    <row r="13" spans="1:8" ht="34" customHeight="1">
      <c r="A13" s="2" t="s">
        <v>224</v>
      </c>
      <c r="B13" s="2" t="s">
        <v>4027</v>
      </c>
      <c r="C13" s="2" t="s">
        <v>4007</v>
      </c>
      <c r="D13" s="2" t="s">
        <v>4028</v>
      </c>
      <c r="E13" s="2" t="s">
        <v>4029</v>
      </c>
      <c r="F13" s="2"/>
      <c r="G13" s="2"/>
      <c r="H13" s="2"/>
    </row>
    <row r="14" spans="1:8" ht="34" customHeight="1">
      <c r="A14" s="2" t="s">
        <v>224</v>
      </c>
      <c r="B14" s="2" t="s">
        <v>4030</v>
      </c>
      <c r="C14" s="2" t="s">
        <v>4007</v>
      </c>
      <c r="D14" s="2" t="s">
        <v>4031</v>
      </c>
      <c r="E14" s="2" t="s">
        <v>4032</v>
      </c>
      <c r="F14" s="2"/>
      <c r="G14" s="2"/>
      <c r="H14" s="2"/>
    </row>
    <row r="15" spans="1:8" ht="34" customHeight="1">
      <c r="A15" s="2" t="s">
        <v>26</v>
      </c>
      <c r="B15" s="2" t="s">
        <v>4033</v>
      </c>
      <c r="C15" s="2" t="s">
        <v>4007</v>
      </c>
      <c r="D15" s="2" t="s">
        <v>4034</v>
      </c>
      <c r="E15" s="2" t="s">
        <v>4035</v>
      </c>
      <c r="F15" s="2"/>
      <c r="G15" s="2"/>
      <c r="H15" s="2"/>
    </row>
    <row r="16" spans="1:8" ht="34" customHeight="1">
      <c r="A16" s="2" t="s">
        <v>510</v>
      </c>
      <c r="B16" s="2" t="s">
        <v>4036</v>
      </c>
      <c r="C16" s="2" t="s">
        <v>4007</v>
      </c>
      <c r="D16" s="2" t="s">
        <v>4037</v>
      </c>
      <c r="E16" s="2" t="s">
        <v>4038</v>
      </c>
      <c r="F16" s="2"/>
      <c r="G16" s="2"/>
      <c r="H16" s="2"/>
    </row>
    <row r="17" spans="1:8" ht="34" customHeight="1">
      <c r="A17" s="2" t="s">
        <v>510</v>
      </c>
      <c r="B17" s="2" t="s">
        <v>4039</v>
      </c>
      <c r="C17" s="2" t="s">
        <v>4007</v>
      </c>
      <c r="D17" s="2" t="s">
        <v>4040</v>
      </c>
      <c r="E17" s="2" t="s">
        <v>4041</v>
      </c>
      <c r="F17" s="2"/>
      <c r="G17" s="2"/>
      <c r="H17" s="2"/>
    </row>
    <row r="18" spans="1:8" ht="37" customHeight="1">
      <c r="A18" s="2" t="s">
        <v>4042</v>
      </c>
      <c r="B18" s="2" t="s">
        <v>4043</v>
      </c>
      <c r="C18" s="2" t="s">
        <v>4007</v>
      </c>
      <c r="D18" s="2" t="s">
        <v>4044</v>
      </c>
      <c r="E18" s="2" t="s">
        <v>4045</v>
      </c>
      <c r="F18" s="2"/>
      <c r="G18" s="2"/>
      <c r="H18" s="2"/>
    </row>
    <row r="19" spans="1:8" ht="37" customHeight="1">
      <c r="A19" s="2" t="s">
        <v>4042</v>
      </c>
      <c r="B19" s="2" t="s">
        <v>4046</v>
      </c>
      <c r="C19" s="2" t="s">
        <v>4007</v>
      </c>
      <c r="D19" s="2" t="s">
        <v>4047</v>
      </c>
      <c r="E19" s="2" t="s">
        <v>4048</v>
      </c>
      <c r="F19" s="2"/>
      <c r="G19" s="2"/>
      <c r="H19" s="2"/>
    </row>
    <row r="20" spans="1:8" ht="34" customHeight="1">
      <c r="A20" s="2" t="s">
        <v>4049</v>
      </c>
      <c r="B20" s="2" t="s">
        <v>4050</v>
      </c>
      <c r="C20" s="2" t="s">
        <v>4007</v>
      </c>
      <c r="D20" s="2" t="s">
        <v>4051</v>
      </c>
      <c r="E20" s="2" t="s">
        <v>4052</v>
      </c>
      <c r="F20" s="2"/>
      <c r="G20" s="2"/>
      <c r="H20" s="2"/>
    </row>
    <row r="21" spans="1:8" ht="34" customHeight="1">
      <c r="A21" s="2" t="s">
        <v>4053</v>
      </c>
      <c r="B21" s="2" t="s">
        <v>4054</v>
      </c>
      <c r="C21" s="2" t="s">
        <v>4007</v>
      </c>
      <c r="D21" s="2" t="s">
        <v>4055</v>
      </c>
      <c r="E21" s="2" t="s">
        <v>4056</v>
      </c>
      <c r="F21" s="2"/>
      <c r="G21" s="2"/>
      <c r="H21" s="2"/>
    </row>
    <row r="22" spans="1:8" ht="37" customHeight="1">
      <c r="A22" s="2" t="s">
        <v>4042</v>
      </c>
      <c r="B22" s="2" t="s">
        <v>4057</v>
      </c>
      <c r="C22" s="2" t="s">
        <v>4007</v>
      </c>
      <c r="D22" s="2" t="s">
        <v>4058</v>
      </c>
      <c r="E22" s="2" t="s">
        <v>4059</v>
      </c>
      <c r="F22" s="2"/>
      <c r="G22" s="2"/>
      <c r="H22" s="2"/>
    </row>
    <row r="23" spans="1:8" ht="34" customHeight="1">
      <c r="A23" s="2" t="s">
        <v>874</v>
      </c>
      <c r="B23" s="2" t="s">
        <v>4060</v>
      </c>
      <c r="C23" s="2" t="s">
        <v>4007</v>
      </c>
      <c r="D23" s="2" t="s">
        <v>4061</v>
      </c>
      <c r="E23" s="2" t="s">
        <v>4062</v>
      </c>
      <c r="F23" s="2"/>
      <c r="G23" s="2"/>
      <c r="H23" s="2"/>
    </row>
    <row r="24" spans="1:8" ht="34" customHeight="1">
      <c r="A24" s="2" t="s">
        <v>4063</v>
      </c>
      <c r="B24" s="2" t="s">
        <v>4064</v>
      </c>
      <c r="C24" s="2" t="s">
        <v>4007</v>
      </c>
      <c r="D24" s="2" t="s">
        <v>4065</v>
      </c>
      <c r="E24" s="2" t="s">
        <v>4066</v>
      </c>
      <c r="F24" s="2"/>
      <c r="G24" s="2"/>
      <c r="H24" s="2"/>
    </row>
    <row r="25" spans="1:8" ht="34" customHeight="1">
      <c r="A25" s="2" t="s">
        <v>874</v>
      </c>
      <c r="B25" s="2" t="s">
        <v>4067</v>
      </c>
      <c r="C25" s="2" t="s">
        <v>4007</v>
      </c>
      <c r="D25" s="2" t="s">
        <v>4068</v>
      </c>
      <c r="E25" s="2" t="s">
        <v>4069</v>
      </c>
      <c r="F25" s="2"/>
      <c r="G25" s="2"/>
      <c r="H25" s="2"/>
    </row>
    <row r="26" spans="1:8" ht="37" customHeight="1">
      <c r="A26" s="2" t="s">
        <v>874</v>
      </c>
      <c r="B26" s="2" t="s">
        <v>4070</v>
      </c>
      <c r="C26" s="2" t="s">
        <v>4007</v>
      </c>
      <c r="D26" s="2" t="s">
        <v>4071</v>
      </c>
      <c r="E26" s="2" t="s">
        <v>4072</v>
      </c>
      <c r="F26" s="2"/>
      <c r="G26" s="2"/>
      <c r="H26" s="2"/>
    </row>
    <row r="27" spans="1:8" ht="37" customHeight="1">
      <c r="A27" s="2" t="s">
        <v>1232</v>
      </c>
      <c r="B27" s="2" t="s">
        <v>4073</v>
      </c>
      <c r="C27" s="2" t="s">
        <v>4007</v>
      </c>
      <c r="D27" s="2" t="s">
        <v>4074</v>
      </c>
      <c r="E27" s="2" t="s">
        <v>4075</v>
      </c>
      <c r="F27" s="2"/>
      <c r="G27" s="2"/>
      <c r="H27" s="2"/>
    </row>
    <row r="28" spans="1:8" ht="37" customHeight="1">
      <c r="A28" s="2" t="s">
        <v>1204</v>
      </c>
      <c r="B28" s="2" t="s">
        <v>4076</v>
      </c>
      <c r="C28" s="2" t="s">
        <v>4007</v>
      </c>
      <c r="D28" s="2" t="s">
        <v>4077</v>
      </c>
      <c r="E28" s="2" t="s">
        <v>4078</v>
      </c>
      <c r="F28" s="2"/>
      <c r="G28" s="2"/>
      <c r="H28" s="2"/>
    </row>
    <row r="29" spans="1:8" ht="37" customHeight="1">
      <c r="A29" s="2" t="s">
        <v>4079</v>
      </c>
      <c r="B29" s="2" t="s">
        <v>4080</v>
      </c>
      <c r="C29" s="2" t="s">
        <v>4007</v>
      </c>
      <c r="D29" s="2" t="s">
        <v>4081</v>
      </c>
      <c r="E29" s="2" t="s">
        <v>4082</v>
      </c>
      <c r="F29" s="2"/>
      <c r="G29" s="2"/>
      <c r="H29" s="2"/>
    </row>
    <row r="30" spans="1:8" ht="34" customHeight="1">
      <c r="A30" s="2" t="s">
        <v>977</v>
      </c>
      <c r="B30" s="2" t="s">
        <v>4083</v>
      </c>
      <c r="C30" s="2" t="s">
        <v>4007</v>
      </c>
      <c r="D30" s="2" t="s">
        <v>4084</v>
      </c>
      <c r="E30" s="2" t="s">
        <v>4085</v>
      </c>
      <c r="F30" s="2"/>
      <c r="G30" s="2"/>
      <c r="H30" s="2"/>
    </row>
    <row r="31" spans="1:8" ht="37" customHeight="1">
      <c r="A31" s="2" t="s">
        <v>1055</v>
      </c>
      <c r="B31" s="2" t="s">
        <v>4086</v>
      </c>
      <c r="C31" s="2" t="s">
        <v>4007</v>
      </c>
      <c r="D31" s="2" t="s">
        <v>4087</v>
      </c>
      <c r="E31" s="2" t="s">
        <v>4088</v>
      </c>
      <c r="F31" s="2"/>
      <c r="G31" s="2"/>
      <c r="H31" s="2"/>
    </row>
    <row r="32" spans="1:8" ht="34" customHeight="1">
      <c r="A32" s="2" t="s">
        <v>4089</v>
      </c>
      <c r="B32" s="2" t="s">
        <v>4090</v>
      </c>
      <c r="C32" s="2" t="s">
        <v>4007</v>
      </c>
      <c r="D32" s="2" t="s">
        <v>4091</v>
      </c>
      <c r="E32" s="2" t="s">
        <v>4092</v>
      </c>
      <c r="F32" s="2"/>
      <c r="G32" s="2"/>
      <c r="H32" s="2"/>
    </row>
    <row r="33" spans="1:8" ht="37" customHeight="1">
      <c r="A33" s="2" t="s">
        <v>977</v>
      </c>
      <c r="B33" s="2" t="s">
        <v>4093</v>
      </c>
      <c r="C33" s="2" t="s">
        <v>4007</v>
      </c>
      <c r="D33" s="2" t="s">
        <v>4094</v>
      </c>
      <c r="E33" s="2" t="s">
        <v>4095</v>
      </c>
      <c r="F33" s="2"/>
      <c r="G33" s="2"/>
      <c r="H33" s="2"/>
    </row>
    <row r="34" spans="1:8" ht="37" customHeight="1">
      <c r="A34" s="2" t="s">
        <v>1204</v>
      </c>
      <c r="B34" s="2" t="s">
        <v>4096</v>
      </c>
      <c r="C34" s="2" t="s">
        <v>4007</v>
      </c>
      <c r="D34" s="2" t="s">
        <v>4097</v>
      </c>
      <c r="E34" s="2" t="s">
        <v>4098</v>
      </c>
      <c r="F34" s="2"/>
      <c r="G34" s="2"/>
      <c r="H34" s="2"/>
    </row>
    <row r="35" spans="1:8" ht="37" customHeight="1">
      <c r="A35" s="2" t="s">
        <v>1272</v>
      </c>
      <c r="B35" s="2" t="s">
        <v>4099</v>
      </c>
      <c r="C35" s="2" t="s">
        <v>4007</v>
      </c>
      <c r="D35" s="2" t="s">
        <v>4100</v>
      </c>
      <c r="E35" s="2" t="s">
        <v>3617</v>
      </c>
      <c r="F35" s="2"/>
      <c r="G35" s="2"/>
      <c r="H35" s="2"/>
    </row>
    <row r="36" spans="1:8" ht="34" customHeight="1">
      <c r="A36" s="2" t="s">
        <v>1272</v>
      </c>
      <c r="B36" s="2" t="s">
        <v>4101</v>
      </c>
      <c r="C36" s="2" t="s">
        <v>4007</v>
      </c>
      <c r="D36" s="2" t="s">
        <v>4102</v>
      </c>
      <c r="E36" s="2" t="s">
        <v>2732</v>
      </c>
      <c r="F36" s="2"/>
      <c r="G36" s="2"/>
      <c r="H36" s="2"/>
    </row>
    <row r="37" spans="1:8" ht="34" customHeight="1">
      <c r="A37" s="2" t="s">
        <v>1272</v>
      </c>
      <c r="B37" s="2" t="s">
        <v>4103</v>
      </c>
      <c r="C37" s="2" t="s">
        <v>4007</v>
      </c>
      <c r="D37" s="2" t="s">
        <v>4104</v>
      </c>
      <c r="E37" s="2" t="s">
        <v>4105</v>
      </c>
      <c r="F37" s="2"/>
      <c r="G37" s="2"/>
      <c r="H37" s="2"/>
    </row>
    <row r="38" spans="1:8" ht="34" customHeight="1">
      <c r="A38" s="2" t="s">
        <v>1272</v>
      </c>
      <c r="B38" s="2" t="s">
        <v>4106</v>
      </c>
      <c r="C38" s="2" t="s">
        <v>4007</v>
      </c>
      <c r="D38" s="2" t="s">
        <v>4107</v>
      </c>
      <c r="E38" s="2" t="s">
        <v>4108</v>
      </c>
      <c r="F38" s="2"/>
      <c r="G38" s="2"/>
      <c r="H38" s="2"/>
    </row>
    <row r="39" spans="1:8" ht="34" customHeight="1">
      <c r="A39" s="2" t="s">
        <v>1272</v>
      </c>
      <c r="B39" s="2" t="s">
        <v>4109</v>
      </c>
      <c r="C39" s="2" t="s">
        <v>4007</v>
      </c>
      <c r="D39" s="2" t="s">
        <v>4110</v>
      </c>
      <c r="E39" s="2" t="s">
        <v>4111</v>
      </c>
      <c r="F39" s="2"/>
      <c r="G39" s="2"/>
      <c r="H39" s="2"/>
    </row>
    <row r="40" spans="1:8" ht="34" customHeight="1">
      <c r="A40" s="2" t="s">
        <v>1272</v>
      </c>
      <c r="B40" s="2" t="s">
        <v>4112</v>
      </c>
      <c r="C40" s="2" t="s">
        <v>4007</v>
      </c>
      <c r="D40" s="2" t="s">
        <v>4113</v>
      </c>
      <c r="E40" s="2" t="s">
        <v>4114</v>
      </c>
      <c r="F40" s="2"/>
      <c r="G40" s="2"/>
      <c r="H40" s="2"/>
    </row>
    <row r="41" spans="1:8" ht="34" customHeight="1">
      <c r="A41" s="2" t="s">
        <v>1272</v>
      </c>
      <c r="B41" s="2" t="s">
        <v>4115</v>
      </c>
      <c r="C41" s="2" t="s">
        <v>4007</v>
      </c>
      <c r="D41" s="2" t="s">
        <v>4116</v>
      </c>
      <c r="E41" s="2" t="s">
        <v>4117</v>
      </c>
      <c r="F41" s="2"/>
      <c r="G41" s="2"/>
      <c r="H41" s="2"/>
    </row>
    <row r="42" spans="1:8" ht="34" customHeight="1">
      <c r="A42" s="2" t="s">
        <v>1272</v>
      </c>
      <c r="B42" s="2" t="s">
        <v>4118</v>
      </c>
      <c r="C42" s="2" t="s">
        <v>4007</v>
      </c>
      <c r="D42" s="2" t="s">
        <v>4119</v>
      </c>
      <c r="E42" s="2" t="s">
        <v>4120</v>
      </c>
      <c r="F42" s="2"/>
      <c r="G42" s="2"/>
      <c r="H42" s="2"/>
    </row>
    <row r="43" spans="1:8" ht="37" customHeight="1">
      <c r="A43" s="2" t="s">
        <v>1272</v>
      </c>
      <c r="B43" s="2" t="s">
        <v>4121</v>
      </c>
      <c r="C43" s="2" t="s">
        <v>4007</v>
      </c>
      <c r="D43" s="2" t="s">
        <v>4122</v>
      </c>
      <c r="E43" s="2" t="s">
        <v>4123</v>
      </c>
      <c r="F43" s="2"/>
      <c r="G43" s="2"/>
      <c r="H43" s="2"/>
    </row>
    <row r="44" spans="1:8" ht="34" customHeight="1">
      <c r="A44" s="2" t="s">
        <v>1272</v>
      </c>
      <c r="B44" s="2" t="s">
        <v>4124</v>
      </c>
      <c r="C44" s="2" t="s">
        <v>4007</v>
      </c>
      <c r="D44" s="2" t="s">
        <v>4125</v>
      </c>
      <c r="E44" s="2" t="s">
        <v>4126</v>
      </c>
      <c r="F44" s="2"/>
      <c r="G44" s="2"/>
      <c r="H44" s="2"/>
    </row>
    <row r="45" spans="1:8" ht="34" customHeight="1">
      <c r="A45" s="2" t="s">
        <v>1653</v>
      </c>
      <c r="B45" s="2" t="s">
        <v>1670</v>
      </c>
      <c r="C45" s="2" t="s">
        <v>4007</v>
      </c>
      <c r="D45" s="2" t="s">
        <v>4127</v>
      </c>
      <c r="E45" s="2" t="s">
        <v>2830</v>
      </c>
      <c r="F45" s="2"/>
      <c r="G45" s="2"/>
      <c r="H45" s="2"/>
    </row>
    <row r="46" spans="1:8" ht="34" customHeight="1">
      <c r="A46" s="2" t="s">
        <v>1653</v>
      </c>
      <c r="B46" s="2" t="s">
        <v>4128</v>
      </c>
      <c r="C46" s="2" t="s">
        <v>4007</v>
      </c>
      <c r="D46" s="2" t="s">
        <v>4129</v>
      </c>
      <c r="E46" s="2" t="s">
        <v>4130</v>
      </c>
      <c r="F46" s="2"/>
      <c r="G46" s="2"/>
      <c r="H46" s="2"/>
    </row>
    <row r="47" spans="1:8" ht="34" customHeight="1">
      <c r="A47" s="2" t="s">
        <v>1678</v>
      </c>
      <c r="B47" s="2" t="s">
        <v>4131</v>
      </c>
      <c r="C47" s="2" t="s">
        <v>4007</v>
      </c>
      <c r="D47" s="2" t="s">
        <v>4132</v>
      </c>
      <c r="E47" s="2" t="s">
        <v>3703</v>
      </c>
      <c r="F47" s="2"/>
      <c r="G47" s="2"/>
      <c r="H47" s="2"/>
    </row>
    <row r="48" spans="1:8" ht="37" customHeight="1">
      <c r="A48" s="2" t="s">
        <v>1678</v>
      </c>
      <c r="B48" s="2" t="s">
        <v>4133</v>
      </c>
      <c r="C48" s="2" t="s">
        <v>4007</v>
      </c>
      <c r="D48" s="2" t="s">
        <v>4134</v>
      </c>
      <c r="E48" s="2" t="s">
        <v>4135</v>
      </c>
      <c r="F48" s="2"/>
      <c r="G48" s="2"/>
      <c r="H48" s="2"/>
    </row>
    <row r="49" spans="1:8" ht="37" customHeight="1">
      <c r="A49" s="2" t="s">
        <v>4136</v>
      </c>
      <c r="B49" s="2" t="s">
        <v>4137</v>
      </c>
      <c r="C49" s="2" t="s">
        <v>4007</v>
      </c>
      <c r="D49" s="2" t="s">
        <v>4138</v>
      </c>
      <c r="E49" s="2" t="s">
        <v>4139</v>
      </c>
      <c r="F49" s="2"/>
      <c r="G49" s="2"/>
      <c r="H49" s="2"/>
    </row>
    <row r="50" spans="1:8" ht="37" customHeight="1">
      <c r="A50" s="2" t="s">
        <v>4140</v>
      </c>
      <c r="B50" s="2" t="s">
        <v>4141</v>
      </c>
      <c r="C50" s="2" t="s">
        <v>4007</v>
      </c>
      <c r="D50" s="2" t="s">
        <v>4142</v>
      </c>
      <c r="E50" s="2" t="s">
        <v>4143</v>
      </c>
      <c r="F50" s="2"/>
      <c r="G50" s="2"/>
      <c r="H50" s="2"/>
    </row>
    <row r="51" spans="1:8" ht="34" customHeight="1">
      <c r="A51" s="2" t="s">
        <v>1729</v>
      </c>
      <c r="B51" s="2" t="s">
        <v>4144</v>
      </c>
      <c r="C51" s="2" t="s">
        <v>4007</v>
      </c>
      <c r="D51" s="2" t="s">
        <v>4145</v>
      </c>
      <c r="E51" s="2" t="s">
        <v>4146</v>
      </c>
      <c r="F51" s="2"/>
      <c r="G51" s="2"/>
      <c r="H51" s="2"/>
    </row>
    <row r="52" spans="1:8" ht="34" customHeight="1">
      <c r="A52" s="2" t="s">
        <v>640</v>
      </c>
      <c r="B52" s="2" t="s">
        <v>4147</v>
      </c>
      <c r="C52" s="2" t="s">
        <v>4007</v>
      </c>
      <c r="D52" s="2" t="s">
        <v>4148</v>
      </c>
      <c r="E52" s="2" t="s">
        <v>4149</v>
      </c>
      <c r="F52" s="2"/>
      <c r="G52" s="2"/>
      <c r="H52" s="2"/>
    </row>
    <row r="53" spans="1:8" ht="91" customHeight="1">
      <c r="A53" s="2" t="s">
        <v>26</v>
      </c>
      <c r="B53" s="2" t="s">
        <v>47</v>
      </c>
      <c r="C53" s="2" t="s">
        <v>4150</v>
      </c>
      <c r="D53" s="2" t="s">
        <v>4151</v>
      </c>
      <c r="E53" s="2" t="s">
        <v>52</v>
      </c>
      <c r="F53" s="2" t="s">
        <v>53</v>
      </c>
      <c r="G53" s="2" t="s">
        <v>4152</v>
      </c>
      <c r="H53" s="2" t="s">
        <v>4153</v>
      </c>
    </row>
    <row r="54" spans="1:8" ht="50.5" customHeight="1">
      <c r="A54" s="2" t="s">
        <v>26</v>
      </c>
      <c r="B54" s="2" t="s">
        <v>90</v>
      </c>
      <c r="C54" s="2" t="s">
        <v>4150</v>
      </c>
      <c r="D54" s="2" t="s">
        <v>4154</v>
      </c>
      <c r="E54" s="2" t="s">
        <v>96</v>
      </c>
      <c r="F54" s="2" t="s">
        <v>97</v>
      </c>
      <c r="G54" s="2" t="s">
        <v>4155</v>
      </c>
      <c r="H54" s="2" t="s">
        <v>4156</v>
      </c>
    </row>
    <row r="55" spans="1:8" ht="37" customHeight="1">
      <c r="A55" s="2" t="s">
        <v>26</v>
      </c>
      <c r="B55" s="2" t="s">
        <v>116</v>
      </c>
      <c r="C55" s="2" t="s">
        <v>4150</v>
      </c>
      <c r="D55" s="2" t="s">
        <v>4157</v>
      </c>
      <c r="E55" s="2" t="s">
        <v>120</v>
      </c>
      <c r="F55" s="2" t="s">
        <v>121</v>
      </c>
      <c r="G55" s="2" t="s">
        <v>4158</v>
      </c>
      <c r="H55" s="2" t="s">
        <v>4159</v>
      </c>
    </row>
    <row r="56" spans="1:8" ht="77.5" customHeight="1">
      <c r="A56" s="2" t="s">
        <v>26</v>
      </c>
      <c r="B56" s="2" t="s">
        <v>126</v>
      </c>
      <c r="C56" s="2" t="s">
        <v>4150</v>
      </c>
      <c r="D56" s="2" t="s">
        <v>4160</v>
      </c>
      <c r="E56" s="2" t="s">
        <v>128</v>
      </c>
      <c r="F56" s="2" t="s">
        <v>129</v>
      </c>
      <c r="G56" s="2" t="s">
        <v>4161</v>
      </c>
      <c r="H56" s="2" t="s">
        <v>4162</v>
      </c>
    </row>
    <row r="57" spans="1:8" ht="64" customHeight="1">
      <c r="A57" s="2" t="s">
        <v>26</v>
      </c>
      <c r="B57" s="2" t="s">
        <v>134</v>
      </c>
      <c r="C57" s="2" t="s">
        <v>4150</v>
      </c>
      <c r="D57" s="2" t="s">
        <v>4163</v>
      </c>
      <c r="E57" s="2" t="s">
        <v>139</v>
      </c>
      <c r="F57" s="2" t="s">
        <v>140</v>
      </c>
      <c r="G57" s="2" t="s">
        <v>4164</v>
      </c>
      <c r="H57" s="2" t="s">
        <v>4165</v>
      </c>
    </row>
    <row r="58" spans="1:8" ht="50.5" customHeight="1">
      <c r="A58" s="2" t="s">
        <v>26</v>
      </c>
      <c r="B58" s="2" t="s">
        <v>178</v>
      </c>
      <c r="C58" s="2" t="s">
        <v>4150</v>
      </c>
      <c r="D58" s="2" t="s">
        <v>4166</v>
      </c>
      <c r="E58" s="2" t="s">
        <v>181</v>
      </c>
      <c r="F58" s="2" t="s">
        <v>182</v>
      </c>
      <c r="G58" s="2" t="s">
        <v>4167</v>
      </c>
      <c r="H58" s="2" t="s">
        <v>4168</v>
      </c>
    </row>
    <row r="59" spans="1:8" ht="50.5" customHeight="1">
      <c r="A59" s="2" t="s">
        <v>26</v>
      </c>
      <c r="B59" s="2" t="s">
        <v>185</v>
      </c>
      <c r="C59" s="2" t="s">
        <v>4150</v>
      </c>
      <c r="D59" s="2" t="s">
        <v>4166</v>
      </c>
      <c r="E59" s="2" t="s">
        <v>188</v>
      </c>
      <c r="F59" s="2" t="s">
        <v>189</v>
      </c>
      <c r="G59" s="2" t="s">
        <v>4169</v>
      </c>
      <c r="H59" s="2" t="s">
        <v>4170</v>
      </c>
    </row>
    <row r="60" spans="1:8" ht="37" customHeight="1">
      <c r="A60" s="2" t="s">
        <v>26</v>
      </c>
      <c r="B60" s="2" t="s">
        <v>204</v>
      </c>
      <c r="C60" s="2" t="s">
        <v>4150</v>
      </c>
      <c r="D60" s="2" t="s">
        <v>4157</v>
      </c>
      <c r="E60" s="2" t="s">
        <v>206</v>
      </c>
      <c r="F60" s="2" t="s">
        <v>207</v>
      </c>
      <c r="G60" s="2" t="s">
        <v>4171</v>
      </c>
      <c r="H60" s="2" t="s">
        <v>4172</v>
      </c>
    </row>
    <row r="61" spans="1:8" ht="37" customHeight="1">
      <c r="A61" s="2" t="s">
        <v>217</v>
      </c>
      <c r="B61" s="2" t="s">
        <v>218</v>
      </c>
      <c r="C61" s="2" t="s">
        <v>4150</v>
      </c>
      <c r="D61" s="2" t="s">
        <v>4173</v>
      </c>
      <c r="E61" s="2" t="s">
        <v>220</v>
      </c>
      <c r="F61" s="2" t="s">
        <v>221</v>
      </c>
      <c r="G61" s="2" t="s">
        <v>4174</v>
      </c>
      <c r="H61" s="2" t="s">
        <v>4175</v>
      </c>
    </row>
    <row r="62" spans="1:8" ht="50.5" customHeight="1">
      <c r="A62" s="2" t="s">
        <v>224</v>
      </c>
      <c r="B62" s="2" t="s">
        <v>225</v>
      </c>
      <c r="C62" s="2" t="s">
        <v>4150</v>
      </c>
      <c r="D62" s="2" t="s">
        <v>4166</v>
      </c>
      <c r="E62" s="2" t="s">
        <v>228</v>
      </c>
      <c r="F62" s="2" t="s">
        <v>229</v>
      </c>
      <c r="G62" s="2" t="s">
        <v>4176</v>
      </c>
      <c r="H62" s="2" t="s">
        <v>4177</v>
      </c>
    </row>
    <row r="63" spans="1:8" ht="77.5" customHeight="1">
      <c r="A63" s="2" t="s">
        <v>224</v>
      </c>
      <c r="B63" s="2" t="s">
        <v>232</v>
      </c>
      <c r="C63" s="2" t="s">
        <v>4150</v>
      </c>
      <c r="D63" s="2" t="s">
        <v>4160</v>
      </c>
      <c r="E63" s="2" t="s">
        <v>237</v>
      </c>
      <c r="F63" s="2" t="s">
        <v>238</v>
      </c>
      <c r="G63" s="2" t="s">
        <v>4178</v>
      </c>
      <c r="H63" s="2" t="s">
        <v>4179</v>
      </c>
    </row>
    <row r="64" spans="1:8" ht="50.5" customHeight="1">
      <c r="A64" s="2" t="s">
        <v>224</v>
      </c>
      <c r="B64" s="2" t="s">
        <v>242</v>
      </c>
      <c r="C64" s="2" t="s">
        <v>4150</v>
      </c>
      <c r="D64" s="2" t="s">
        <v>4166</v>
      </c>
      <c r="E64" s="2" t="s">
        <v>245</v>
      </c>
      <c r="F64" s="2" t="s">
        <v>246</v>
      </c>
      <c r="G64" s="2" t="s">
        <v>4180</v>
      </c>
      <c r="H64" s="2" t="s">
        <v>4181</v>
      </c>
    </row>
    <row r="65" spans="1:8" ht="37" customHeight="1">
      <c r="A65" s="2" t="s">
        <v>224</v>
      </c>
      <c r="B65" s="2" t="s">
        <v>260</v>
      </c>
      <c r="C65" s="2" t="s">
        <v>4150</v>
      </c>
      <c r="D65" s="2" t="s">
        <v>4173</v>
      </c>
      <c r="E65" s="2" t="s">
        <v>120</v>
      </c>
      <c r="F65" s="2" t="s">
        <v>262</v>
      </c>
      <c r="G65" s="2" t="s">
        <v>4182</v>
      </c>
      <c r="H65" s="2" t="s">
        <v>4183</v>
      </c>
    </row>
    <row r="66" spans="1:8" ht="37" customHeight="1">
      <c r="A66" s="2" t="s">
        <v>224</v>
      </c>
      <c r="B66" s="2" t="s">
        <v>270</v>
      </c>
      <c r="C66" s="2" t="s">
        <v>4150</v>
      </c>
      <c r="D66" s="2" t="s">
        <v>4157</v>
      </c>
      <c r="E66" s="2" t="s">
        <v>206</v>
      </c>
      <c r="F66" s="2" t="s">
        <v>271</v>
      </c>
      <c r="G66" s="2" t="s">
        <v>4184</v>
      </c>
      <c r="H66" s="2" t="s">
        <v>4185</v>
      </c>
    </row>
    <row r="67" spans="1:8" ht="37" customHeight="1">
      <c r="A67" s="2" t="s">
        <v>224</v>
      </c>
      <c r="B67" s="2" t="s">
        <v>272</v>
      </c>
      <c r="C67" s="2" t="s">
        <v>4150</v>
      </c>
      <c r="D67" s="2" t="s">
        <v>4157</v>
      </c>
      <c r="E67" s="2" t="s">
        <v>274</v>
      </c>
      <c r="F67" s="2" t="s">
        <v>275</v>
      </c>
      <c r="G67" s="2" t="s">
        <v>4186</v>
      </c>
      <c r="H67" s="2" t="s">
        <v>4187</v>
      </c>
    </row>
    <row r="68" spans="1:8" ht="37" customHeight="1">
      <c r="A68" s="2" t="s">
        <v>224</v>
      </c>
      <c r="B68" s="2" t="s">
        <v>278</v>
      </c>
      <c r="C68" s="2" t="s">
        <v>4150</v>
      </c>
      <c r="D68" s="2" t="s">
        <v>4157</v>
      </c>
      <c r="E68" s="2" t="s">
        <v>274</v>
      </c>
      <c r="F68" s="2" t="s">
        <v>279</v>
      </c>
      <c r="G68" s="2" t="s">
        <v>4188</v>
      </c>
      <c r="H68" s="2" t="s">
        <v>4189</v>
      </c>
    </row>
    <row r="69" spans="1:8" ht="50.5" customHeight="1">
      <c r="A69" s="2" t="s">
        <v>224</v>
      </c>
      <c r="B69" s="2" t="s">
        <v>280</v>
      </c>
      <c r="C69" s="2" t="s">
        <v>4150</v>
      </c>
      <c r="D69" s="2" t="s">
        <v>4166</v>
      </c>
      <c r="E69" s="2" t="s">
        <v>282</v>
      </c>
      <c r="F69" s="2" t="s">
        <v>283</v>
      </c>
      <c r="G69" s="2" t="s">
        <v>4190</v>
      </c>
      <c r="H69" s="2" t="s">
        <v>4191</v>
      </c>
    </row>
    <row r="70" spans="1:8" ht="37" customHeight="1">
      <c r="A70" s="2" t="s">
        <v>224</v>
      </c>
      <c r="B70" s="2" t="s">
        <v>285</v>
      </c>
      <c r="C70" s="2" t="s">
        <v>4150</v>
      </c>
      <c r="D70" s="2" t="s">
        <v>4157</v>
      </c>
      <c r="E70" s="2" t="s">
        <v>206</v>
      </c>
      <c r="F70" s="2" t="s">
        <v>286</v>
      </c>
      <c r="G70" s="2" t="s">
        <v>4192</v>
      </c>
      <c r="H70" s="2" t="s">
        <v>4193</v>
      </c>
    </row>
    <row r="71" spans="1:8" ht="50.5" customHeight="1">
      <c r="A71" s="2" t="s">
        <v>224</v>
      </c>
      <c r="B71" s="2" t="s">
        <v>308</v>
      </c>
      <c r="C71" s="2" t="s">
        <v>4150</v>
      </c>
      <c r="D71" s="2" t="s">
        <v>4166</v>
      </c>
      <c r="E71" s="2" t="s">
        <v>311</v>
      </c>
      <c r="F71" s="2" t="s">
        <v>312</v>
      </c>
      <c r="G71" s="2" t="s">
        <v>4194</v>
      </c>
      <c r="H71" s="2" t="s">
        <v>4195</v>
      </c>
    </row>
    <row r="72" spans="1:8" ht="50.5" customHeight="1">
      <c r="A72" s="2" t="s">
        <v>224</v>
      </c>
      <c r="B72" s="2" t="s">
        <v>350</v>
      </c>
      <c r="C72" s="2" t="s">
        <v>4150</v>
      </c>
      <c r="D72" s="2" t="s">
        <v>4166</v>
      </c>
      <c r="E72" s="2" t="s">
        <v>353</v>
      </c>
      <c r="F72" s="2" t="s">
        <v>354</v>
      </c>
      <c r="G72" s="2" t="s">
        <v>4196</v>
      </c>
      <c r="H72" s="2" t="s">
        <v>4197</v>
      </c>
    </row>
    <row r="73" spans="1:8" ht="37" customHeight="1">
      <c r="A73" s="2" t="s">
        <v>224</v>
      </c>
      <c r="B73" s="2" t="s">
        <v>357</v>
      </c>
      <c r="C73" s="2" t="s">
        <v>4150</v>
      </c>
      <c r="D73" s="2" t="s">
        <v>4157</v>
      </c>
      <c r="E73" s="2" t="s">
        <v>206</v>
      </c>
      <c r="F73" s="2" t="s">
        <v>358</v>
      </c>
      <c r="G73" s="2" t="s">
        <v>4198</v>
      </c>
      <c r="H73" s="2" t="s">
        <v>4199</v>
      </c>
    </row>
    <row r="74" spans="1:8" ht="91" customHeight="1">
      <c r="A74" s="2" t="s">
        <v>224</v>
      </c>
      <c r="B74" s="2" t="s">
        <v>360</v>
      </c>
      <c r="C74" s="2" t="s">
        <v>4150</v>
      </c>
      <c r="D74" s="2" t="s">
        <v>4151</v>
      </c>
      <c r="E74" s="2" t="s">
        <v>181</v>
      </c>
      <c r="F74" s="2" t="s">
        <v>361</v>
      </c>
      <c r="G74" s="2" t="s">
        <v>4200</v>
      </c>
      <c r="H74" s="2" t="s">
        <v>4201</v>
      </c>
    </row>
    <row r="75" spans="1:8" ht="37" customHeight="1">
      <c r="A75" s="2" t="s">
        <v>224</v>
      </c>
      <c r="B75" s="2" t="s">
        <v>363</v>
      </c>
      <c r="C75" s="2" t="s">
        <v>4150</v>
      </c>
      <c r="D75" s="2" t="s">
        <v>4157</v>
      </c>
      <c r="E75" s="2" t="s">
        <v>206</v>
      </c>
      <c r="F75" s="2" t="s">
        <v>364</v>
      </c>
      <c r="G75" s="2" t="s">
        <v>4202</v>
      </c>
      <c r="H75" s="2" t="s">
        <v>4203</v>
      </c>
    </row>
    <row r="76" spans="1:8" ht="50.5" customHeight="1">
      <c r="A76" s="2" t="s">
        <v>224</v>
      </c>
      <c r="B76" s="2" t="s">
        <v>371</v>
      </c>
      <c r="C76" s="2" t="s">
        <v>4150</v>
      </c>
      <c r="D76" s="2" t="s">
        <v>4166</v>
      </c>
      <c r="E76" s="2" t="s">
        <v>181</v>
      </c>
      <c r="F76" s="2" t="s">
        <v>372</v>
      </c>
      <c r="G76" s="2" t="s">
        <v>4204</v>
      </c>
      <c r="H76" s="2" t="s">
        <v>4205</v>
      </c>
    </row>
    <row r="77" spans="1:8" ht="37" customHeight="1">
      <c r="A77" s="2" t="s">
        <v>224</v>
      </c>
      <c r="B77" s="2" t="s">
        <v>390</v>
      </c>
      <c r="C77" s="2" t="s">
        <v>4150</v>
      </c>
      <c r="D77" s="2" t="s">
        <v>4157</v>
      </c>
      <c r="E77" s="2" t="s">
        <v>120</v>
      </c>
      <c r="F77" s="2" t="s">
        <v>393</v>
      </c>
      <c r="G77" s="2" t="s">
        <v>4206</v>
      </c>
      <c r="H77" s="2" t="s">
        <v>4207</v>
      </c>
    </row>
    <row r="78" spans="1:8" ht="37" customHeight="1">
      <c r="A78" s="2" t="s">
        <v>224</v>
      </c>
      <c r="B78" s="2" t="s">
        <v>396</v>
      </c>
      <c r="C78" s="2" t="s">
        <v>4150</v>
      </c>
      <c r="D78" s="2" t="s">
        <v>4157</v>
      </c>
      <c r="E78" s="2" t="s">
        <v>120</v>
      </c>
      <c r="F78" s="2" t="s">
        <v>397</v>
      </c>
      <c r="G78" s="2" t="s">
        <v>4208</v>
      </c>
      <c r="H78" s="2" t="s">
        <v>4209</v>
      </c>
    </row>
    <row r="79" spans="1:8" ht="50.5" customHeight="1">
      <c r="A79" s="2" t="s">
        <v>224</v>
      </c>
      <c r="B79" s="2" t="s">
        <v>399</v>
      </c>
      <c r="C79" s="2" t="s">
        <v>4150</v>
      </c>
      <c r="D79" s="2" t="s">
        <v>4166</v>
      </c>
      <c r="E79" s="2" t="s">
        <v>120</v>
      </c>
      <c r="F79" s="2" t="s">
        <v>401</v>
      </c>
      <c r="G79" s="2" t="s">
        <v>4210</v>
      </c>
      <c r="H79" s="2" t="s">
        <v>4211</v>
      </c>
    </row>
    <row r="80" spans="1:8" ht="37" customHeight="1">
      <c r="A80" s="2" t="s">
        <v>224</v>
      </c>
      <c r="B80" s="2" t="s">
        <v>403</v>
      </c>
      <c r="C80" s="2" t="s">
        <v>4150</v>
      </c>
      <c r="D80" s="2" t="s">
        <v>4157</v>
      </c>
      <c r="E80" s="2" t="s">
        <v>206</v>
      </c>
      <c r="F80" s="2" t="s">
        <v>405</v>
      </c>
      <c r="G80" s="2" t="s">
        <v>4212</v>
      </c>
      <c r="H80" s="2" t="s">
        <v>4213</v>
      </c>
    </row>
    <row r="81" spans="1:8" ht="77.5" customHeight="1">
      <c r="A81" s="2" t="s">
        <v>224</v>
      </c>
      <c r="B81" s="2" t="s">
        <v>406</v>
      </c>
      <c r="C81" s="2" t="s">
        <v>4150</v>
      </c>
      <c r="D81" s="2" t="s">
        <v>4214</v>
      </c>
      <c r="E81" s="2" t="s">
        <v>237</v>
      </c>
      <c r="F81" s="2" t="s">
        <v>410</v>
      </c>
      <c r="G81" s="2" t="s">
        <v>4178</v>
      </c>
      <c r="H81" s="2" t="s">
        <v>4215</v>
      </c>
    </row>
    <row r="82" spans="1:8" ht="50.5" customHeight="1">
      <c r="A82" s="2" t="s">
        <v>224</v>
      </c>
      <c r="B82" s="2" t="s">
        <v>412</v>
      </c>
      <c r="C82" s="2" t="s">
        <v>4150</v>
      </c>
      <c r="D82" s="2" t="s">
        <v>4166</v>
      </c>
      <c r="E82" s="2" t="s">
        <v>414</v>
      </c>
      <c r="F82" s="2" t="s">
        <v>415</v>
      </c>
      <c r="G82" s="2" t="s">
        <v>4216</v>
      </c>
      <c r="H82" s="2" t="s">
        <v>4217</v>
      </c>
    </row>
    <row r="83" spans="1:8" ht="50.5" customHeight="1">
      <c r="A83" s="2" t="s">
        <v>224</v>
      </c>
      <c r="B83" s="2" t="s">
        <v>417</v>
      </c>
      <c r="C83" s="2" t="s">
        <v>4150</v>
      </c>
      <c r="D83" s="2" t="s">
        <v>4218</v>
      </c>
      <c r="E83" s="2" t="s">
        <v>120</v>
      </c>
      <c r="F83" s="2" t="s">
        <v>418</v>
      </c>
      <c r="G83" s="2" t="s">
        <v>4219</v>
      </c>
      <c r="H83" s="2" t="s">
        <v>4220</v>
      </c>
    </row>
    <row r="84" spans="1:8" ht="37" customHeight="1">
      <c r="A84" s="2" t="s">
        <v>224</v>
      </c>
      <c r="B84" s="2" t="s">
        <v>422</v>
      </c>
      <c r="C84" s="2" t="s">
        <v>4150</v>
      </c>
      <c r="D84" s="2" t="s">
        <v>4173</v>
      </c>
      <c r="E84" s="2" t="s">
        <v>120</v>
      </c>
      <c r="F84" s="2" t="s">
        <v>423</v>
      </c>
      <c r="G84" s="2" t="s">
        <v>4221</v>
      </c>
      <c r="H84" s="2" t="s">
        <v>4222</v>
      </c>
    </row>
    <row r="85" spans="1:8" ht="50.5" customHeight="1">
      <c r="A85" s="2" t="s">
        <v>224</v>
      </c>
      <c r="B85" s="2" t="s">
        <v>425</v>
      </c>
      <c r="C85" s="2" t="s">
        <v>4150</v>
      </c>
      <c r="D85" s="2" t="s">
        <v>4166</v>
      </c>
      <c r="E85" s="2" t="s">
        <v>120</v>
      </c>
      <c r="F85" s="2" t="s">
        <v>427</v>
      </c>
      <c r="G85" s="2" t="s">
        <v>4223</v>
      </c>
      <c r="H85" s="2" t="s">
        <v>4224</v>
      </c>
    </row>
    <row r="86" spans="1:8" ht="37" customHeight="1">
      <c r="A86" s="2" t="s">
        <v>224</v>
      </c>
      <c r="B86" s="2" t="s">
        <v>429</v>
      </c>
      <c r="C86" s="2" t="s">
        <v>4150</v>
      </c>
      <c r="D86" s="2" t="s">
        <v>4157</v>
      </c>
      <c r="E86" s="2" t="s">
        <v>206</v>
      </c>
      <c r="F86" s="2" t="s">
        <v>431</v>
      </c>
      <c r="G86" s="2" t="s">
        <v>4225</v>
      </c>
      <c r="H86" s="2" t="s">
        <v>4226</v>
      </c>
    </row>
    <row r="87" spans="1:8" ht="37" customHeight="1">
      <c r="A87" s="2" t="s">
        <v>224</v>
      </c>
      <c r="B87" s="2" t="s">
        <v>432</v>
      </c>
      <c r="C87" s="2" t="s">
        <v>4150</v>
      </c>
      <c r="D87" s="2" t="s">
        <v>4157</v>
      </c>
      <c r="E87" s="2" t="s">
        <v>206</v>
      </c>
      <c r="F87" s="2" t="s">
        <v>434</v>
      </c>
      <c r="G87" s="2" t="s">
        <v>4227</v>
      </c>
      <c r="H87" s="2" t="s">
        <v>4228</v>
      </c>
    </row>
    <row r="88" spans="1:8" ht="37" customHeight="1">
      <c r="A88" s="2" t="s">
        <v>224</v>
      </c>
      <c r="B88" s="2" t="s">
        <v>435</v>
      </c>
      <c r="C88" s="2" t="s">
        <v>4150</v>
      </c>
      <c r="D88" s="2" t="s">
        <v>4157</v>
      </c>
      <c r="E88" s="2" t="s">
        <v>206</v>
      </c>
      <c r="F88" s="2" t="s">
        <v>437</v>
      </c>
      <c r="G88" s="2" t="s">
        <v>4229</v>
      </c>
      <c r="H88" s="2" t="s">
        <v>4230</v>
      </c>
    </row>
    <row r="89" spans="1:8" ht="50.5" customHeight="1">
      <c r="A89" s="2" t="s">
        <v>224</v>
      </c>
      <c r="B89" s="2" t="s">
        <v>438</v>
      </c>
      <c r="C89" s="2" t="s">
        <v>4150</v>
      </c>
      <c r="D89" s="2" t="s">
        <v>4166</v>
      </c>
      <c r="E89" s="2" t="s">
        <v>181</v>
      </c>
      <c r="F89" s="2" t="s">
        <v>439</v>
      </c>
      <c r="G89" s="2" t="s">
        <v>4231</v>
      </c>
      <c r="H89" s="2" t="s">
        <v>4232</v>
      </c>
    </row>
    <row r="90" spans="1:8" ht="37" customHeight="1">
      <c r="A90" s="2" t="s">
        <v>224</v>
      </c>
      <c r="B90" s="2" t="s">
        <v>441</v>
      </c>
      <c r="C90" s="2" t="s">
        <v>4150</v>
      </c>
      <c r="D90" s="2" t="s">
        <v>4157</v>
      </c>
      <c r="E90" s="2" t="s">
        <v>447</v>
      </c>
      <c r="F90" s="2" t="s">
        <v>448</v>
      </c>
      <c r="G90" s="2" t="s">
        <v>4233</v>
      </c>
      <c r="H90" s="2" t="s">
        <v>4234</v>
      </c>
    </row>
    <row r="91" spans="1:8" ht="50.5" customHeight="1">
      <c r="A91" s="2" t="s">
        <v>224</v>
      </c>
      <c r="B91" s="2" t="s">
        <v>450</v>
      </c>
      <c r="C91" s="2" t="s">
        <v>4150</v>
      </c>
      <c r="D91" s="2" t="s">
        <v>4166</v>
      </c>
      <c r="E91" s="2" t="s">
        <v>181</v>
      </c>
      <c r="F91" s="2" t="s">
        <v>451</v>
      </c>
      <c r="G91" s="2" t="s">
        <v>4235</v>
      </c>
      <c r="H91" s="2" t="s">
        <v>4236</v>
      </c>
    </row>
    <row r="92" spans="1:8" ht="50.5" customHeight="1">
      <c r="A92" s="2" t="s">
        <v>224</v>
      </c>
      <c r="B92" s="2" t="s">
        <v>452</v>
      </c>
      <c r="C92" s="2" t="s">
        <v>4150</v>
      </c>
      <c r="D92" s="2" t="s">
        <v>4218</v>
      </c>
      <c r="E92" s="2" t="s">
        <v>120</v>
      </c>
      <c r="F92" s="2" t="s">
        <v>453</v>
      </c>
      <c r="G92" s="2" t="s">
        <v>4237</v>
      </c>
      <c r="H92" s="2" t="s">
        <v>4238</v>
      </c>
    </row>
    <row r="93" spans="1:8" ht="37" customHeight="1">
      <c r="A93" s="2" t="s">
        <v>462</v>
      </c>
      <c r="B93" s="2" t="s">
        <v>463</v>
      </c>
      <c r="C93" s="2" t="s">
        <v>4150</v>
      </c>
      <c r="D93" s="2" t="s">
        <v>4157</v>
      </c>
      <c r="E93" s="2" t="s">
        <v>468</v>
      </c>
      <c r="F93" s="2" t="s">
        <v>469</v>
      </c>
      <c r="G93" s="2" t="s">
        <v>4239</v>
      </c>
      <c r="H93" s="2" t="s">
        <v>4240</v>
      </c>
    </row>
    <row r="94" spans="1:8" ht="37" customHeight="1">
      <c r="A94" s="2" t="s">
        <v>462</v>
      </c>
      <c r="B94" s="2" t="s">
        <v>472</v>
      </c>
      <c r="C94" s="2" t="s">
        <v>4150</v>
      </c>
      <c r="D94" s="2" t="s">
        <v>4157</v>
      </c>
      <c r="E94" s="2" t="s">
        <v>468</v>
      </c>
      <c r="F94" s="2" t="s">
        <v>475</v>
      </c>
      <c r="G94" s="2" t="s">
        <v>4241</v>
      </c>
      <c r="H94" s="2" t="s">
        <v>4242</v>
      </c>
    </row>
    <row r="95" spans="1:8" ht="50.5" customHeight="1">
      <c r="A95" s="2" t="s">
        <v>462</v>
      </c>
      <c r="B95" s="2" t="s">
        <v>507</v>
      </c>
      <c r="C95" s="2" t="s">
        <v>4150</v>
      </c>
      <c r="D95" s="2" t="s">
        <v>4166</v>
      </c>
      <c r="E95" s="2" t="s">
        <v>181</v>
      </c>
      <c r="F95" s="2" t="s">
        <v>508</v>
      </c>
      <c r="G95" s="2" t="s">
        <v>4243</v>
      </c>
      <c r="H95" s="2" t="s">
        <v>4244</v>
      </c>
    </row>
    <row r="96" spans="1:8" ht="50.5" customHeight="1">
      <c r="A96" s="2" t="s">
        <v>510</v>
      </c>
      <c r="B96" s="2" t="s">
        <v>523</v>
      </c>
      <c r="C96" s="2" t="s">
        <v>4150</v>
      </c>
      <c r="D96" s="2" t="s">
        <v>4166</v>
      </c>
      <c r="E96" s="2" t="s">
        <v>527</v>
      </c>
      <c r="F96" s="2" t="s">
        <v>528</v>
      </c>
      <c r="G96" s="2" t="s">
        <v>4245</v>
      </c>
      <c r="H96" s="2" t="s">
        <v>4246</v>
      </c>
    </row>
    <row r="97" spans="1:8" ht="50.5" customHeight="1">
      <c r="A97" s="2" t="s">
        <v>510</v>
      </c>
      <c r="B97" s="2" t="s">
        <v>534</v>
      </c>
      <c r="C97" s="2" t="s">
        <v>4150</v>
      </c>
      <c r="D97" s="2" t="s">
        <v>4166</v>
      </c>
      <c r="E97" s="2" t="s">
        <v>536</v>
      </c>
      <c r="F97" s="2" t="s">
        <v>537</v>
      </c>
      <c r="G97" s="2" t="s">
        <v>4247</v>
      </c>
      <c r="H97" s="2" t="s">
        <v>4248</v>
      </c>
    </row>
    <row r="98" spans="1:8" ht="37" customHeight="1">
      <c r="A98" s="2" t="s">
        <v>565</v>
      </c>
      <c r="B98" s="2" t="s">
        <v>566</v>
      </c>
      <c r="C98" s="2" t="s">
        <v>4150</v>
      </c>
      <c r="D98" s="2" t="s">
        <v>4249</v>
      </c>
      <c r="E98" s="2" t="s">
        <v>569</v>
      </c>
      <c r="F98" s="2" t="s">
        <v>570</v>
      </c>
      <c r="G98" s="2" t="s">
        <v>4250</v>
      </c>
      <c r="H98" s="2" t="s">
        <v>4251</v>
      </c>
    </row>
    <row r="99" spans="1:8" ht="34" customHeight="1">
      <c r="A99" s="2" t="s">
        <v>565</v>
      </c>
      <c r="B99" s="2" t="s">
        <v>572</v>
      </c>
      <c r="C99" s="2" t="s">
        <v>4150</v>
      </c>
      <c r="D99" s="2" t="s">
        <v>4252</v>
      </c>
      <c r="E99" s="2" t="s">
        <v>574</v>
      </c>
      <c r="F99" s="2" t="s">
        <v>575</v>
      </c>
      <c r="G99" s="2" t="s">
        <v>4253</v>
      </c>
      <c r="H99" s="2" t="s">
        <v>4254</v>
      </c>
    </row>
    <row r="100" spans="1:8" ht="34" customHeight="1">
      <c r="A100" s="2" t="s">
        <v>565</v>
      </c>
      <c r="B100" s="2" t="s">
        <v>577</v>
      </c>
      <c r="C100" s="2" t="s">
        <v>4150</v>
      </c>
      <c r="D100" s="2" t="s">
        <v>4252</v>
      </c>
      <c r="E100" s="2" t="s">
        <v>181</v>
      </c>
      <c r="F100" s="2" t="s">
        <v>581</v>
      </c>
      <c r="G100" s="2" t="s">
        <v>4255</v>
      </c>
      <c r="H100" s="2" t="s">
        <v>4256</v>
      </c>
    </row>
    <row r="101" spans="1:8" ht="34" customHeight="1">
      <c r="A101" s="2" t="s">
        <v>565</v>
      </c>
      <c r="B101" s="2" t="s">
        <v>584</v>
      </c>
      <c r="C101" s="2" t="s">
        <v>4150</v>
      </c>
      <c r="D101" s="2" t="s">
        <v>4252</v>
      </c>
      <c r="E101" s="2" t="s">
        <v>586</v>
      </c>
      <c r="F101" s="2" t="s">
        <v>587</v>
      </c>
      <c r="G101" s="2" t="s">
        <v>4257</v>
      </c>
      <c r="H101" s="2" t="s">
        <v>4258</v>
      </c>
    </row>
    <row r="102" spans="1:8" ht="34" customHeight="1">
      <c r="A102" s="2" t="s">
        <v>565</v>
      </c>
      <c r="B102" s="2" t="s">
        <v>589</v>
      </c>
      <c r="C102" s="2" t="s">
        <v>4150</v>
      </c>
      <c r="D102" s="2" t="s">
        <v>4259</v>
      </c>
      <c r="E102" s="2" t="s">
        <v>592</v>
      </c>
      <c r="F102" s="2" t="s">
        <v>593</v>
      </c>
      <c r="G102" s="2" t="s">
        <v>4260</v>
      </c>
      <c r="H102" s="2" t="s">
        <v>4261</v>
      </c>
    </row>
    <row r="103" spans="1:8" ht="37" customHeight="1">
      <c r="A103" s="2" t="s">
        <v>565</v>
      </c>
      <c r="B103" s="2" t="s">
        <v>594</v>
      </c>
      <c r="C103" s="2" t="s">
        <v>4150</v>
      </c>
      <c r="D103" s="2" t="s">
        <v>4259</v>
      </c>
      <c r="E103" s="2" t="s">
        <v>596</v>
      </c>
      <c r="F103" s="2" t="s">
        <v>597</v>
      </c>
      <c r="G103" s="2" t="s">
        <v>4262</v>
      </c>
      <c r="H103" s="2" t="s">
        <v>4263</v>
      </c>
    </row>
    <row r="104" spans="1:8" ht="37" customHeight="1">
      <c r="A104" s="2" t="s">
        <v>599</v>
      </c>
      <c r="B104" s="2" t="s">
        <v>613</v>
      </c>
      <c r="C104" s="2" t="s">
        <v>4150</v>
      </c>
      <c r="D104" s="2" t="s">
        <v>4259</v>
      </c>
      <c r="E104" s="2" t="s">
        <v>616</v>
      </c>
      <c r="F104" s="2" t="s">
        <v>617</v>
      </c>
      <c r="G104" s="2" t="s">
        <v>4264</v>
      </c>
      <c r="H104" s="2" t="s">
        <v>4265</v>
      </c>
    </row>
    <row r="105" spans="1:8" ht="37" customHeight="1">
      <c r="A105" s="2" t="s">
        <v>640</v>
      </c>
      <c r="B105" s="2" t="s">
        <v>647</v>
      </c>
      <c r="C105" s="2" t="s">
        <v>4150</v>
      </c>
      <c r="D105" s="2" t="s">
        <v>4259</v>
      </c>
      <c r="E105" s="2" t="s">
        <v>650</v>
      </c>
      <c r="F105" s="2" t="s">
        <v>651</v>
      </c>
      <c r="G105" s="2" t="s">
        <v>4266</v>
      </c>
      <c r="H105" s="2" t="s">
        <v>4267</v>
      </c>
    </row>
    <row r="106" spans="1:8" ht="34" customHeight="1">
      <c r="A106" s="2" t="s">
        <v>640</v>
      </c>
      <c r="B106" s="2" t="s">
        <v>680</v>
      </c>
      <c r="C106" s="2" t="s">
        <v>4150</v>
      </c>
      <c r="D106" s="2" t="s">
        <v>4259</v>
      </c>
      <c r="E106" s="2" t="s">
        <v>682</v>
      </c>
      <c r="F106" s="2" t="s">
        <v>683</v>
      </c>
      <c r="G106" s="2" t="s">
        <v>4268</v>
      </c>
      <c r="H106" s="2" t="s">
        <v>4269</v>
      </c>
    </row>
    <row r="107" spans="1:8" ht="34" customHeight="1">
      <c r="A107" s="2" t="s">
        <v>640</v>
      </c>
      <c r="B107" s="2" t="s">
        <v>712</v>
      </c>
      <c r="C107" s="2" t="s">
        <v>4150</v>
      </c>
      <c r="D107" s="2" t="s">
        <v>4259</v>
      </c>
      <c r="E107" s="2" t="s">
        <v>716</v>
      </c>
      <c r="F107" s="2" t="s">
        <v>717</v>
      </c>
      <c r="G107" s="2" t="s">
        <v>4270</v>
      </c>
      <c r="H107" s="2" t="s">
        <v>4271</v>
      </c>
    </row>
    <row r="108" spans="1:8" ht="34" customHeight="1">
      <c r="A108" s="2" t="s">
        <v>640</v>
      </c>
      <c r="B108" s="2" t="s">
        <v>737</v>
      </c>
      <c r="C108" s="2" t="s">
        <v>4150</v>
      </c>
      <c r="D108" s="2" t="s">
        <v>4252</v>
      </c>
      <c r="E108" s="2" t="s">
        <v>665</v>
      </c>
      <c r="F108" s="2" t="s">
        <v>739</v>
      </c>
      <c r="G108" s="2" t="s">
        <v>4272</v>
      </c>
      <c r="H108" s="2" t="s">
        <v>4273</v>
      </c>
    </row>
    <row r="109" spans="1:8" ht="34" customHeight="1">
      <c r="A109" s="2" t="s">
        <v>640</v>
      </c>
      <c r="B109" s="2" t="s">
        <v>744</v>
      </c>
      <c r="C109" s="2" t="s">
        <v>4150</v>
      </c>
      <c r="D109" s="2" t="s">
        <v>4252</v>
      </c>
      <c r="E109" s="2" t="s">
        <v>749</v>
      </c>
      <c r="F109" s="2" t="s">
        <v>750</v>
      </c>
      <c r="G109" s="2" t="s">
        <v>4274</v>
      </c>
      <c r="H109" s="2" t="s">
        <v>4275</v>
      </c>
    </row>
    <row r="110" spans="1:8" ht="34" customHeight="1">
      <c r="A110" s="2" t="s">
        <v>640</v>
      </c>
      <c r="B110" s="2" t="s">
        <v>753</v>
      </c>
      <c r="C110" s="2" t="s">
        <v>4150</v>
      </c>
      <c r="D110" s="2" t="s">
        <v>4252</v>
      </c>
      <c r="E110" s="2" t="s">
        <v>749</v>
      </c>
      <c r="F110" s="2" t="s">
        <v>755</v>
      </c>
      <c r="G110" s="2" t="s">
        <v>4276</v>
      </c>
      <c r="H110" s="2" t="s">
        <v>4277</v>
      </c>
    </row>
    <row r="111" spans="1:8" ht="34" customHeight="1">
      <c r="A111" s="2" t="s">
        <v>640</v>
      </c>
      <c r="B111" s="2" t="s">
        <v>801</v>
      </c>
      <c r="C111" s="2" t="s">
        <v>4150</v>
      </c>
      <c r="D111" s="2" t="s">
        <v>4252</v>
      </c>
      <c r="E111" s="2" t="s">
        <v>803</v>
      </c>
      <c r="F111" s="2" t="s">
        <v>804</v>
      </c>
      <c r="G111" s="2" t="s">
        <v>4278</v>
      </c>
      <c r="H111" s="2" t="s">
        <v>4279</v>
      </c>
    </row>
    <row r="112" spans="1:8" ht="34" customHeight="1">
      <c r="A112" s="2" t="s">
        <v>640</v>
      </c>
      <c r="B112" s="2" t="s">
        <v>805</v>
      </c>
      <c r="C112" s="2" t="s">
        <v>4150</v>
      </c>
      <c r="D112" s="2" t="s">
        <v>4259</v>
      </c>
      <c r="E112" s="2" t="s">
        <v>795</v>
      </c>
      <c r="F112" s="2" t="s">
        <v>808</v>
      </c>
      <c r="G112" s="2" t="s">
        <v>4280</v>
      </c>
      <c r="H112" s="2" t="s">
        <v>4281</v>
      </c>
    </row>
    <row r="113" spans="1:8" ht="50.5" customHeight="1">
      <c r="A113" s="2" t="s">
        <v>640</v>
      </c>
      <c r="B113" s="2" t="s">
        <v>836</v>
      </c>
      <c r="C113" s="2" t="s">
        <v>4150</v>
      </c>
      <c r="D113" s="2" t="s">
        <v>4282</v>
      </c>
      <c r="E113" s="2" t="s">
        <v>803</v>
      </c>
      <c r="F113" s="2" t="s">
        <v>837</v>
      </c>
      <c r="G113" s="2" t="s">
        <v>4283</v>
      </c>
      <c r="H113" s="2" t="s">
        <v>4284</v>
      </c>
    </row>
    <row r="114" spans="1:8" ht="34" customHeight="1">
      <c r="A114" s="2" t="s">
        <v>640</v>
      </c>
      <c r="B114" s="2" t="s">
        <v>864</v>
      </c>
      <c r="C114" s="2" t="s">
        <v>4150</v>
      </c>
      <c r="D114" s="2" t="s">
        <v>4285</v>
      </c>
      <c r="E114" s="2" t="s">
        <v>866</v>
      </c>
      <c r="F114" s="2" t="s">
        <v>867</v>
      </c>
      <c r="G114" s="2" t="s">
        <v>4286</v>
      </c>
      <c r="H114" s="2" t="s">
        <v>4287</v>
      </c>
    </row>
    <row r="115" spans="1:8" ht="34" customHeight="1">
      <c r="A115" s="2" t="s">
        <v>874</v>
      </c>
      <c r="B115" s="2" t="s">
        <v>931</v>
      </c>
      <c r="C115" s="2" t="s">
        <v>4150</v>
      </c>
      <c r="D115" s="2" t="s">
        <v>4288</v>
      </c>
      <c r="E115" s="2" t="s">
        <v>933</v>
      </c>
      <c r="F115" s="2" t="s">
        <v>934</v>
      </c>
      <c r="G115" s="2" t="s">
        <v>4289</v>
      </c>
      <c r="H115" s="2" t="s">
        <v>4290</v>
      </c>
    </row>
    <row r="116" spans="1:8" ht="34" customHeight="1">
      <c r="A116" s="2" t="s">
        <v>874</v>
      </c>
      <c r="B116" s="2" t="s">
        <v>937</v>
      </c>
      <c r="C116" s="2" t="s">
        <v>4150</v>
      </c>
      <c r="D116" s="2" t="s">
        <v>4291</v>
      </c>
      <c r="E116" s="2" t="s">
        <v>940</v>
      </c>
      <c r="F116" s="2" t="s">
        <v>941</v>
      </c>
      <c r="G116" s="2" t="s">
        <v>4292</v>
      </c>
      <c r="H116" s="2" t="s">
        <v>4293</v>
      </c>
    </row>
    <row r="117" spans="1:8" ht="37" customHeight="1">
      <c r="A117" s="2" t="s">
        <v>874</v>
      </c>
      <c r="B117" s="2" t="s">
        <v>948</v>
      </c>
      <c r="C117" s="2" t="s">
        <v>4150</v>
      </c>
      <c r="D117" s="2" t="s">
        <v>4294</v>
      </c>
      <c r="E117" s="2" t="s">
        <v>949</v>
      </c>
      <c r="F117" s="2" t="s">
        <v>950</v>
      </c>
      <c r="G117" s="2" t="s">
        <v>4295</v>
      </c>
      <c r="H117" s="2" t="s">
        <v>4296</v>
      </c>
    </row>
    <row r="118" spans="1:8" ht="34" customHeight="1">
      <c r="A118" s="2" t="s">
        <v>1055</v>
      </c>
      <c r="B118" s="2" t="s">
        <v>1091</v>
      </c>
      <c r="C118" s="2" t="s">
        <v>4150</v>
      </c>
      <c r="D118" s="2" t="s">
        <v>4297</v>
      </c>
      <c r="E118" s="2" t="s">
        <v>1093</v>
      </c>
      <c r="F118" s="2" t="s">
        <v>1094</v>
      </c>
      <c r="G118" s="2" t="s">
        <v>4298</v>
      </c>
      <c r="H118" s="2" t="s">
        <v>4299</v>
      </c>
    </row>
    <row r="119" spans="1:8" ht="37" customHeight="1">
      <c r="A119" s="2" t="s">
        <v>1055</v>
      </c>
      <c r="B119" s="2" t="s">
        <v>1097</v>
      </c>
      <c r="C119" s="2" t="s">
        <v>4150</v>
      </c>
      <c r="D119" s="2" t="s">
        <v>4300</v>
      </c>
      <c r="E119" s="2" t="s">
        <v>1101</v>
      </c>
      <c r="F119" s="2" t="s">
        <v>1102</v>
      </c>
      <c r="G119" s="2" t="s">
        <v>4301</v>
      </c>
      <c r="H119" s="2" t="s">
        <v>4302</v>
      </c>
    </row>
    <row r="120" spans="1:8" ht="37" customHeight="1">
      <c r="A120" s="2" t="s">
        <v>1204</v>
      </c>
      <c r="B120" s="2" t="s">
        <v>1212</v>
      </c>
      <c r="C120" s="2" t="s">
        <v>4150</v>
      </c>
      <c r="D120" s="2" t="s">
        <v>4303</v>
      </c>
      <c r="E120" s="2" t="s">
        <v>1213</v>
      </c>
      <c r="F120" s="2" t="s">
        <v>1214</v>
      </c>
      <c r="G120" s="2" t="s">
        <v>4304</v>
      </c>
      <c r="H120" s="2" t="s">
        <v>4305</v>
      </c>
    </row>
    <row r="121" spans="1:8" ht="34" customHeight="1">
      <c r="A121" s="2" t="s">
        <v>1266</v>
      </c>
      <c r="B121" s="2" t="s">
        <v>1267</v>
      </c>
      <c r="C121" s="2" t="s">
        <v>4150</v>
      </c>
      <c r="D121" s="2" t="s">
        <v>4259</v>
      </c>
      <c r="E121" s="2" t="s">
        <v>206</v>
      </c>
      <c r="F121" s="2" t="s">
        <v>1270</v>
      </c>
      <c r="G121" s="2" t="s">
        <v>4306</v>
      </c>
      <c r="H121" s="2" t="s">
        <v>4307</v>
      </c>
    </row>
    <row r="122" spans="1:8" ht="34" customHeight="1">
      <c r="A122" s="2" t="s">
        <v>1272</v>
      </c>
      <c r="B122" s="2" t="s">
        <v>1301</v>
      </c>
      <c r="C122" s="2" t="s">
        <v>4150</v>
      </c>
      <c r="D122" s="2" t="s">
        <v>4308</v>
      </c>
      <c r="E122" s="2" t="s">
        <v>1304</v>
      </c>
      <c r="F122" s="2" t="s">
        <v>1305</v>
      </c>
      <c r="G122" s="2" t="s">
        <v>4309</v>
      </c>
      <c r="H122" s="2" t="s">
        <v>4310</v>
      </c>
    </row>
    <row r="123" spans="1:8" ht="37" customHeight="1">
      <c r="A123" s="2" t="s">
        <v>1272</v>
      </c>
      <c r="B123" s="2" t="s">
        <v>1344</v>
      </c>
      <c r="C123" s="2" t="s">
        <v>4150</v>
      </c>
      <c r="D123" s="2" t="s">
        <v>4311</v>
      </c>
      <c r="E123" s="2" t="s">
        <v>1346</v>
      </c>
      <c r="F123" s="2" t="s">
        <v>1347</v>
      </c>
      <c r="G123" s="2" t="s">
        <v>4312</v>
      </c>
      <c r="H123" s="2" t="s">
        <v>4310</v>
      </c>
    </row>
    <row r="124" spans="1:8" ht="34" customHeight="1">
      <c r="A124" s="2" t="s">
        <v>1272</v>
      </c>
      <c r="B124" s="2" t="s">
        <v>1348</v>
      </c>
      <c r="C124" s="2" t="s">
        <v>4150</v>
      </c>
      <c r="D124" s="2" t="s">
        <v>4313</v>
      </c>
      <c r="E124" s="2" t="s">
        <v>1346</v>
      </c>
      <c r="F124" s="2" t="s">
        <v>1350</v>
      </c>
      <c r="G124" s="2" t="s">
        <v>4314</v>
      </c>
      <c r="H124" s="2" t="s">
        <v>4310</v>
      </c>
    </row>
    <row r="125" spans="1:8" ht="34" customHeight="1">
      <c r="A125" s="2" t="s">
        <v>1272</v>
      </c>
      <c r="B125" s="2" t="s">
        <v>1366</v>
      </c>
      <c r="C125" s="2" t="s">
        <v>4150</v>
      </c>
      <c r="D125" s="2" t="s">
        <v>4315</v>
      </c>
      <c r="E125" s="2" t="s">
        <v>1371</v>
      </c>
      <c r="F125" s="2" t="s">
        <v>1372</v>
      </c>
      <c r="G125" s="2" t="s">
        <v>4316</v>
      </c>
      <c r="H125" s="2" t="s">
        <v>4310</v>
      </c>
    </row>
    <row r="126" spans="1:8" ht="34" customHeight="1">
      <c r="A126" s="2" t="s">
        <v>1272</v>
      </c>
      <c r="B126" s="2" t="s">
        <v>1379</v>
      </c>
      <c r="C126" s="2" t="s">
        <v>4150</v>
      </c>
      <c r="D126" s="2" t="s">
        <v>4317</v>
      </c>
      <c r="E126" s="2" t="s">
        <v>1381</v>
      </c>
      <c r="F126" s="2" t="s">
        <v>1382</v>
      </c>
      <c r="G126" s="2" t="s">
        <v>4318</v>
      </c>
      <c r="H126" s="2" t="s">
        <v>4310</v>
      </c>
    </row>
    <row r="127" spans="1:8" ht="37" customHeight="1">
      <c r="A127" s="2" t="s">
        <v>1272</v>
      </c>
      <c r="B127" s="2" t="s">
        <v>1407</v>
      </c>
      <c r="C127" s="2" t="s">
        <v>4150</v>
      </c>
      <c r="D127" s="2" t="s">
        <v>4319</v>
      </c>
      <c r="E127" s="2" t="s">
        <v>1371</v>
      </c>
      <c r="F127" s="2" t="s">
        <v>1409</v>
      </c>
      <c r="G127" s="2" t="s">
        <v>4320</v>
      </c>
      <c r="H127" s="2" t="s">
        <v>4310</v>
      </c>
    </row>
    <row r="128" spans="1:8" ht="37" customHeight="1">
      <c r="A128" s="2" t="s">
        <v>1272</v>
      </c>
      <c r="B128" s="2" t="s">
        <v>1412</v>
      </c>
      <c r="C128" s="2" t="s">
        <v>4150</v>
      </c>
      <c r="D128" s="2" t="s">
        <v>4321</v>
      </c>
      <c r="E128" s="2" t="s">
        <v>1413</v>
      </c>
      <c r="F128" s="2" t="s">
        <v>1414</v>
      </c>
      <c r="G128" s="2" t="s">
        <v>4322</v>
      </c>
      <c r="H128" s="2" t="s">
        <v>4310</v>
      </c>
    </row>
    <row r="129" spans="1:8" ht="34" customHeight="1">
      <c r="A129" s="2" t="s">
        <v>1272</v>
      </c>
      <c r="B129" s="2" t="s">
        <v>1417</v>
      </c>
      <c r="C129" s="2" t="s">
        <v>4150</v>
      </c>
      <c r="D129" s="2" t="s">
        <v>4323</v>
      </c>
      <c r="E129" s="2" t="s">
        <v>1418</v>
      </c>
      <c r="F129" s="2" t="s">
        <v>1419</v>
      </c>
      <c r="G129" s="2" t="s">
        <v>4324</v>
      </c>
      <c r="H129" s="2" t="s">
        <v>4310</v>
      </c>
    </row>
    <row r="130" spans="1:8" ht="34" customHeight="1">
      <c r="A130" s="2" t="s">
        <v>1272</v>
      </c>
      <c r="B130" s="2" t="s">
        <v>1421</v>
      </c>
      <c r="C130" s="2" t="s">
        <v>4150</v>
      </c>
      <c r="D130" s="2" t="s">
        <v>4325</v>
      </c>
      <c r="E130" s="2" t="s">
        <v>1423</v>
      </c>
      <c r="F130" s="2" t="s">
        <v>1424</v>
      </c>
      <c r="G130" s="2" t="s">
        <v>4326</v>
      </c>
      <c r="H130" s="2" t="s">
        <v>4310</v>
      </c>
    </row>
    <row r="131" spans="1:8" ht="34" customHeight="1">
      <c r="A131" s="2" t="s">
        <v>1272</v>
      </c>
      <c r="B131" s="2" t="s">
        <v>1425</v>
      </c>
      <c r="C131" s="2" t="s">
        <v>4150</v>
      </c>
      <c r="D131" s="2" t="s">
        <v>4327</v>
      </c>
      <c r="E131" s="2" t="s">
        <v>1427</v>
      </c>
      <c r="F131" s="2" t="s">
        <v>1428</v>
      </c>
      <c r="G131" s="2" t="s">
        <v>4328</v>
      </c>
      <c r="H131" s="2" t="s">
        <v>4310</v>
      </c>
    </row>
    <row r="132" spans="1:8" ht="34" customHeight="1">
      <c r="A132" s="2" t="s">
        <v>1272</v>
      </c>
      <c r="B132" s="2" t="s">
        <v>1446</v>
      </c>
      <c r="C132" s="2" t="s">
        <v>4150</v>
      </c>
      <c r="D132" s="2" t="s">
        <v>4329</v>
      </c>
      <c r="E132" s="2" t="s">
        <v>1447</v>
      </c>
      <c r="F132" s="2" t="s">
        <v>1448</v>
      </c>
      <c r="G132" s="2" t="s">
        <v>4330</v>
      </c>
      <c r="H132" s="2" t="s">
        <v>4310</v>
      </c>
    </row>
    <row r="133" spans="1:8" ht="34" customHeight="1">
      <c r="A133" s="2" t="s">
        <v>1272</v>
      </c>
      <c r="B133" s="2" t="s">
        <v>1451</v>
      </c>
      <c r="C133" s="2" t="s">
        <v>4150</v>
      </c>
      <c r="D133" s="2" t="s">
        <v>4331</v>
      </c>
      <c r="E133" s="2" t="s">
        <v>1452</v>
      </c>
      <c r="F133" s="2" t="s">
        <v>1453</v>
      </c>
      <c r="G133" s="2" t="s">
        <v>4332</v>
      </c>
      <c r="H133" s="2" t="s">
        <v>4310</v>
      </c>
    </row>
    <row r="134" spans="1:8" ht="37" customHeight="1">
      <c r="A134" s="2" t="s">
        <v>1272</v>
      </c>
      <c r="B134" s="2" t="s">
        <v>1484</v>
      </c>
      <c r="C134" s="2" t="s">
        <v>4150</v>
      </c>
      <c r="D134" s="2" t="s">
        <v>4333</v>
      </c>
      <c r="E134" s="2" t="s">
        <v>1487</v>
      </c>
      <c r="F134" s="2" t="s">
        <v>1488</v>
      </c>
      <c r="G134" s="2" t="s">
        <v>4334</v>
      </c>
      <c r="H134" s="2" t="s">
        <v>4310</v>
      </c>
    </row>
    <row r="135" spans="1:8" ht="34" customHeight="1">
      <c r="A135" s="2" t="s">
        <v>1272</v>
      </c>
      <c r="B135" s="2" t="s">
        <v>1493</v>
      </c>
      <c r="C135" s="2" t="s">
        <v>4150</v>
      </c>
      <c r="D135" s="2" t="s">
        <v>4335</v>
      </c>
      <c r="E135" s="2" t="s">
        <v>1499</v>
      </c>
      <c r="F135" s="2" t="s">
        <v>1500</v>
      </c>
      <c r="G135" s="2" t="s">
        <v>4336</v>
      </c>
      <c r="H135" s="2" t="s">
        <v>4310</v>
      </c>
    </row>
    <row r="136" spans="1:8" ht="37" customHeight="1">
      <c r="A136" s="2" t="s">
        <v>1272</v>
      </c>
      <c r="B136" s="2" t="s">
        <v>1503</v>
      </c>
      <c r="C136" s="2" t="s">
        <v>4150</v>
      </c>
      <c r="D136" s="2" t="s">
        <v>4337</v>
      </c>
      <c r="E136" s="2" t="s">
        <v>1505</v>
      </c>
      <c r="F136" s="2" t="s">
        <v>1506</v>
      </c>
      <c r="G136" s="2" t="s">
        <v>4338</v>
      </c>
      <c r="H136" s="2" t="s">
        <v>4310</v>
      </c>
    </row>
    <row r="137" spans="1:8" ht="37" customHeight="1">
      <c r="A137" s="2" t="s">
        <v>1272</v>
      </c>
      <c r="B137" s="2" t="s">
        <v>1507</v>
      </c>
      <c r="C137" s="2" t="s">
        <v>4150</v>
      </c>
      <c r="D137" s="2" t="s">
        <v>4339</v>
      </c>
      <c r="E137" s="2" t="s">
        <v>1510</v>
      </c>
      <c r="F137" s="2" t="s">
        <v>1511</v>
      </c>
      <c r="G137" s="2" t="s">
        <v>4340</v>
      </c>
      <c r="H137" s="2" t="s">
        <v>4310</v>
      </c>
    </row>
    <row r="138" spans="1:8" ht="37" customHeight="1">
      <c r="A138" s="2" t="s">
        <v>1272</v>
      </c>
      <c r="B138" s="2" t="s">
        <v>1528</v>
      </c>
      <c r="C138" s="2" t="s">
        <v>4150</v>
      </c>
      <c r="D138" s="2" t="s">
        <v>4341</v>
      </c>
      <c r="E138" s="2" t="s">
        <v>1371</v>
      </c>
      <c r="F138" s="2" t="s">
        <v>1529</v>
      </c>
      <c r="G138" s="2" t="s">
        <v>4342</v>
      </c>
      <c r="H138" s="2" t="s">
        <v>4310</v>
      </c>
    </row>
    <row r="139" spans="1:8" ht="37" customHeight="1">
      <c r="A139" s="2" t="s">
        <v>1272</v>
      </c>
      <c r="B139" s="2" t="s">
        <v>1530</v>
      </c>
      <c r="C139" s="2" t="s">
        <v>4150</v>
      </c>
      <c r="D139" s="2" t="s">
        <v>4343</v>
      </c>
      <c r="E139" s="2" t="s">
        <v>1532</v>
      </c>
      <c r="F139" s="2" t="s">
        <v>1533</v>
      </c>
      <c r="G139" s="2" t="s">
        <v>4344</v>
      </c>
      <c r="H139" s="2" t="s">
        <v>4310</v>
      </c>
    </row>
    <row r="140" spans="1:8" ht="34" customHeight="1">
      <c r="A140" s="2" t="s">
        <v>1272</v>
      </c>
      <c r="B140" s="2" t="s">
        <v>1546</v>
      </c>
      <c r="C140" s="2" t="s">
        <v>4150</v>
      </c>
      <c r="D140" s="2" t="s">
        <v>4345</v>
      </c>
      <c r="E140" s="2" t="s">
        <v>1549</v>
      </c>
      <c r="F140" s="2" t="s">
        <v>1550</v>
      </c>
      <c r="G140" s="2" t="s">
        <v>4346</v>
      </c>
      <c r="H140" s="2" t="s">
        <v>4310</v>
      </c>
    </row>
    <row r="141" spans="1:8" ht="37" customHeight="1">
      <c r="A141" s="2" t="s">
        <v>1272</v>
      </c>
      <c r="B141" s="2" t="s">
        <v>1552</v>
      </c>
      <c r="C141" s="2" t="s">
        <v>4150</v>
      </c>
      <c r="D141" s="2" t="s">
        <v>4347</v>
      </c>
      <c r="E141" s="2" t="s">
        <v>1555</v>
      </c>
      <c r="F141" s="2" t="s">
        <v>1556</v>
      </c>
      <c r="G141" s="2" t="s">
        <v>4348</v>
      </c>
      <c r="H141" s="2" t="s">
        <v>4310</v>
      </c>
    </row>
    <row r="142" spans="1:8" ht="34" customHeight="1">
      <c r="A142" s="2" t="s">
        <v>1272</v>
      </c>
      <c r="B142" s="2" t="s">
        <v>1558</v>
      </c>
      <c r="C142" s="2" t="s">
        <v>4150</v>
      </c>
      <c r="D142" s="2" t="s">
        <v>4349</v>
      </c>
      <c r="E142" s="2" t="s">
        <v>1559</v>
      </c>
      <c r="F142" s="2" t="s">
        <v>1560</v>
      </c>
      <c r="G142" s="2" t="s">
        <v>4350</v>
      </c>
      <c r="H142" s="2" t="s">
        <v>4310</v>
      </c>
    </row>
    <row r="143" spans="1:8" ht="37" customHeight="1">
      <c r="A143" s="2" t="s">
        <v>1272</v>
      </c>
      <c r="B143" s="2" t="s">
        <v>1569</v>
      </c>
      <c r="C143" s="2" t="s">
        <v>4150</v>
      </c>
      <c r="D143" s="2" t="s">
        <v>4351</v>
      </c>
      <c r="E143" s="2" t="s">
        <v>1371</v>
      </c>
      <c r="F143" s="2" t="s">
        <v>1570</v>
      </c>
      <c r="G143" s="2" t="s">
        <v>4352</v>
      </c>
      <c r="H143" s="2" t="s">
        <v>4310</v>
      </c>
    </row>
    <row r="144" spans="1:8" ht="37" customHeight="1">
      <c r="A144" s="2" t="s">
        <v>1272</v>
      </c>
      <c r="B144" s="2" t="s">
        <v>1571</v>
      </c>
      <c r="C144" s="2" t="s">
        <v>4150</v>
      </c>
      <c r="D144" s="2" t="s">
        <v>4353</v>
      </c>
      <c r="E144" s="2" t="s">
        <v>1573</v>
      </c>
      <c r="F144" s="2" t="s">
        <v>1574</v>
      </c>
      <c r="G144" s="2" t="s">
        <v>4354</v>
      </c>
      <c r="H144" s="2" t="s">
        <v>4310</v>
      </c>
    </row>
    <row r="145" spans="1:8" ht="37" customHeight="1">
      <c r="A145" s="2" t="s">
        <v>1272</v>
      </c>
      <c r="B145" s="2" t="s">
        <v>1588</v>
      </c>
      <c r="C145" s="2" t="s">
        <v>4150</v>
      </c>
      <c r="D145" s="2" t="s">
        <v>4355</v>
      </c>
      <c r="E145" s="2" t="s">
        <v>1590</v>
      </c>
      <c r="F145" s="2" t="s">
        <v>1591</v>
      </c>
      <c r="G145" s="2" t="s">
        <v>4356</v>
      </c>
      <c r="H145" s="2" t="s">
        <v>4310</v>
      </c>
    </row>
    <row r="146" spans="1:8" ht="37" customHeight="1">
      <c r="A146" s="2" t="s">
        <v>1272</v>
      </c>
      <c r="B146" s="2" t="s">
        <v>1594</v>
      </c>
      <c r="C146" s="2" t="s">
        <v>4150</v>
      </c>
      <c r="D146" s="2" t="s">
        <v>4357</v>
      </c>
      <c r="E146" s="2" t="s">
        <v>1597</v>
      </c>
      <c r="F146" s="2" t="s">
        <v>1598</v>
      </c>
      <c r="G146" s="2" t="s">
        <v>4358</v>
      </c>
      <c r="H146" s="2" t="s">
        <v>4310</v>
      </c>
    </row>
    <row r="147" spans="1:8" ht="34" customHeight="1">
      <c r="A147" s="2" t="s">
        <v>1272</v>
      </c>
      <c r="B147" s="2" t="s">
        <v>1599</v>
      </c>
      <c r="C147" s="2" t="s">
        <v>4150</v>
      </c>
      <c r="D147" s="2" t="s">
        <v>4359</v>
      </c>
      <c r="E147" s="2" t="s">
        <v>1371</v>
      </c>
      <c r="F147" s="2" t="s">
        <v>1600</v>
      </c>
      <c r="G147" s="2" t="s">
        <v>4360</v>
      </c>
      <c r="H147" s="2" t="s">
        <v>4310</v>
      </c>
    </row>
    <row r="148" spans="1:8" ht="34" customHeight="1">
      <c r="A148" s="2" t="s">
        <v>1272</v>
      </c>
      <c r="B148" s="2" t="s">
        <v>1602</v>
      </c>
      <c r="C148" s="2" t="s">
        <v>4150</v>
      </c>
      <c r="D148" s="2" t="s">
        <v>4361</v>
      </c>
      <c r="E148" s="2" t="s">
        <v>1603</v>
      </c>
      <c r="F148" s="2" t="s">
        <v>1604</v>
      </c>
      <c r="G148" s="2" t="s">
        <v>4362</v>
      </c>
      <c r="H148" s="2" t="s">
        <v>4310</v>
      </c>
    </row>
    <row r="149" spans="1:8" ht="34" customHeight="1">
      <c r="A149" s="2" t="s">
        <v>1272</v>
      </c>
      <c r="B149" s="2" t="s">
        <v>1617</v>
      </c>
      <c r="C149" s="2" t="s">
        <v>4150</v>
      </c>
      <c r="D149" s="2" t="s">
        <v>4363</v>
      </c>
      <c r="E149" s="2" t="s">
        <v>1619</v>
      </c>
      <c r="F149" s="2" t="s">
        <v>1620</v>
      </c>
      <c r="G149" s="2" t="s">
        <v>4364</v>
      </c>
      <c r="H149" s="2" t="s">
        <v>4310</v>
      </c>
    </row>
    <row r="150" spans="1:8" ht="34" customHeight="1">
      <c r="A150" s="2" t="s">
        <v>1272</v>
      </c>
      <c r="B150" s="2" t="s">
        <v>1626</v>
      </c>
      <c r="C150" s="2" t="s">
        <v>4150</v>
      </c>
      <c r="D150" s="2" t="s">
        <v>4365</v>
      </c>
      <c r="E150" s="2" t="s">
        <v>1629</v>
      </c>
      <c r="F150" s="2" t="s">
        <v>1630</v>
      </c>
      <c r="G150" s="2" t="s">
        <v>4366</v>
      </c>
      <c r="H150" s="2" t="s">
        <v>4310</v>
      </c>
    </row>
    <row r="151" spans="1:8" ht="37" customHeight="1">
      <c r="A151" s="2" t="s">
        <v>1637</v>
      </c>
      <c r="B151" s="2" t="s">
        <v>1638</v>
      </c>
      <c r="C151" s="2" t="s">
        <v>4150</v>
      </c>
      <c r="D151" s="2" t="s">
        <v>4367</v>
      </c>
      <c r="E151" s="2" t="s">
        <v>1640</v>
      </c>
      <c r="F151" s="2" t="s">
        <v>1641</v>
      </c>
      <c r="G151" s="2" t="s">
        <v>4356</v>
      </c>
      <c r="H151" s="2" t="s">
        <v>4310</v>
      </c>
    </row>
    <row r="152" spans="1:8" ht="34" customHeight="1">
      <c r="A152" s="2" t="s">
        <v>1637</v>
      </c>
      <c r="B152" s="2" t="s">
        <v>1649</v>
      </c>
      <c r="C152" s="2" t="s">
        <v>4150</v>
      </c>
      <c r="D152" s="2" t="s">
        <v>4368</v>
      </c>
      <c r="E152" s="2" t="s">
        <v>1650</v>
      </c>
      <c r="F152" s="2" t="s">
        <v>1651</v>
      </c>
      <c r="G152" s="2" t="s">
        <v>4369</v>
      </c>
      <c r="H152" s="2" t="s">
        <v>4310</v>
      </c>
    </row>
    <row r="153" spans="1:8" ht="34" customHeight="1">
      <c r="A153" s="2" t="s">
        <v>1653</v>
      </c>
      <c r="B153" s="2" t="s">
        <v>1660</v>
      </c>
      <c r="C153" s="2" t="s">
        <v>4150</v>
      </c>
      <c r="D153" s="2" t="s">
        <v>4370</v>
      </c>
      <c r="E153" s="2" t="s">
        <v>1661</v>
      </c>
      <c r="F153" s="2" t="s">
        <v>1662</v>
      </c>
      <c r="G153" s="2" t="s">
        <v>4371</v>
      </c>
      <c r="H153" s="2" t="s">
        <v>4310</v>
      </c>
    </row>
    <row r="154" spans="1:8" ht="37" customHeight="1">
      <c r="A154" s="2" t="s">
        <v>1653</v>
      </c>
      <c r="B154" s="2" t="s">
        <v>1664</v>
      </c>
      <c r="C154" s="2" t="s">
        <v>4150</v>
      </c>
      <c r="D154" s="2" t="s">
        <v>4372</v>
      </c>
      <c r="E154" s="2" t="s">
        <v>1666</v>
      </c>
      <c r="F154" s="2" t="s">
        <v>1667</v>
      </c>
      <c r="G154" s="2" t="s">
        <v>4373</v>
      </c>
      <c r="H154" s="2" t="s">
        <v>4310</v>
      </c>
    </row>
    <row r="155" spans="1:8" ht="34" customHeight="1">
      <c r="A155" s="2" t="s">
        <v>1653</v>
      </c>
      <c r="B155" s="2" t="s">
        <v>1670</v>
      </c>
      <c r="C155" s="2" t="s">
        <v>4150</v>
      </c>
      <c r="D155" s="2" t="s">
        <v>4374</v>
      </c>
      <c r="E155" s="2" t="s">
        <v>1674</v>
      </c>
      <c r="F155" s="2" t="s">
        <v>1675</v>
      </c>
      <c r="G155" s="2" t="s">
        <v>4375</v>
      </c>
      <c r="H155" s="2" t="s">
        <v>4310</v>
      </c>
    </row>
    <row r="156" spans="1:8" ht="37" customHeight="1">
      <c r="A156" s="2" t="s">
        <v>1678</v>
      </c>
      <c r="B156" s="2" t="s">
        <v>1694</v>
      </c>
      <c r="C156" s="2" t="s">
        <v>4150</v>
      </c>
      <c r="D156" s="2" t="s">
        <v>4376</v>
      </c>
      <c r="E156" s="2" t="s">
        <v>1696</v>
      </c>
      <c r="F156" s="2" t="s">
        <v>1697</v>
      </c>
      <c r="G156" s="2" t="s">
        <v>4377</v>
      </c>
      <c r="H156" s="2" t="s">
        <v>4310</v>
      </c>
    </row>
    <row r="157" spans="1:8" ht="37" customHeight="1">
      <c r="A157" s="2" t="s">
        <v>1705</v>
      </c>
      <c r="B157" s="2" t="s">
        <v>1706</v>
      </c>
      <c r="C157" s="2" t="s">
        <v>4150</v>
      </c>
      <c r="D157" s="2" t="s">
        <v>4378</v>
      </c>
      <c r="E157" s="2" t="s">
        <v>1499</v>
      </c>
      <c r="F157" s="2" t="s">
        <v>1708</v>
      </c>
      <c r="G157" s="2" t="s">
        <v>4379</v>
      </c>
      <c r="H157" s="2" t="s">
        <v>4310</v>
      </c>
    </row>
    <row r="158" spans="1:8" ht="34" customHeight="1">
      <c r="A158" s="2" t="s">
        <v>1711</v>
      </c>
      <c r="B158" s="2" t="s">
        <v>1712</v>
      </c>
      <c r="C158" s="2" t="s">
        <v>4150</v>
      </c>
      <c r="D158" s="2" t="s">
        <v>4259</v>
      </c>
      <c r="E158" s="2" t="s">
        <v>852</v>
      </c>
      <c r="F158" s="2" t="s">
        <v>1713</v>
      </c>
      <c r="G158" s="2" t="s">
        <v>4380</v>
      </c>
      <c r="H158" s="2" t="s">
        <v>4381</v>
      </c>
    </row>
    <row r="159" spans="1:8" ht="34" customHeight="1">
      <c r="A159" s="2" t="s">
        <v>1729</v>
      </c>
      <c r="B159" s="2" t="s">
        <v>1730</v>
      </c>
      <c r="C159" s="2" t="s">
        <v>4150</v>
      </c>
      <c r="D159" s="2" t="s">
        <v>4259</v>
      </c>
      <c r="E159" s="2" t="s">
        <v>206</v>
      </c>
      <c r="F159" s="2" t="s">
        <v>1732</v>
      </c>
      <c r="G159" s="2" t="s">
        <v>4382</v>
      </c>
      <c r="H159" s="2" t="s">
        <v>4383</v>
      </c>
    </row>
  </sheetData>
  <mergeCells count="2">
    <mergeCell ref="A2:E2"/>
    <mergeCell ref="A1:E1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7F8C"/>
  </sheetPr>
  <dimension ref="A1:I39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21.9140625" customWidth="1"/>
    <col min="2" max="2" width="37.5" customWidth="1"/>
    <col min="3" max="3" width="25" customWidth="1"/>
    <col min="4" max="4" width="15" customWidth="1"/>
    <col min="5" max="5" width="16.9140625" customWidth="1"/>
    <col min="6" max="6" width="20.6640625" customWidth="1"/>
    <col min="7" max="7" width="81.25" customWidth="1"/>
    <col min="8" max="8" width="55" customWidth="1"/>
    <col min="9" max="9" width="22.5" customWidth="1"/>
  </cols>
  <sheetData>
    <row r="1" spans="1:9" ht="38" customHeight="1">
      <c r="A1" s="34" t="s">
        <v>4384</v>
      </c>
      <c r="B1" s="32"/>
      <c r="C1" s="32"/>
      <c r="D1" s="32"/>
      <c r="E1" s="32"/>
      <c r="F1" s="32"/>
    </row>
    <row r="2" spans="1:9" ht="34" customHeight="1">
      <c r="A2" s="33" t="s">
        <v>4385</v>
      </c>
      <c r="B2" s="32"/>
      <c r="C2" s="32"/>
      <c r="D2" s="32"/>
      <c r="E2" s="32"/>
      <c r="F2" s="32"/>
    </row>
    <row r="3" spans="1:9" ht="16.5">
      <c r="A3" s="1"/>
      <c r="B3" s="1"/>
      <c r="C3" s="1"/>
      <c r="D3" s="1"/>
      <c r="E3" s="1"/>
      <c r="F3" s="1"/>
    </row>
    <row r="5" spans="1:9" ht="32" customHeight="1">
      <c r="A5" s="3" t="s">
        <v>3</v>
      </c>
      <c r="B5" s="3" t="s">
        <v>4</v>
      </c>
      <c r="C5" s="3" t="s">
        <v>1750</v>
      </c>
      <c r="D5" s="3" t="s">
        <v>4386</v>
      </c>
      <c r="E5" s="3" t="s">
        <v>4387</v>
      </c>
      <c r="F5" s="3" t="s">
        <v>4388</v>
      </c>
      <c r="G5" s="3" t="s">
        <v>25</v>
      </c>
      <c r="H5" s="3" t="s">
        <v>4389</v>
      </c>
      <c r="I5" s="3" t="s">
        <v>17</v>
      </c>
    </row>
    <row r="6" spans="1:9" ht="34" customHeight="1">
      <c r="A6" s="2" t="s">
        <v>26</v>
      </c>
      <c r="B6" s="2" t="s">
        <v>38</v>
      </c>
      <c r="C6" s="2" t="s">
        <v>254</v>
      </c>
      <c r="D6" s="7">
        <v>2.2000000000000002</v>
      </c>
      <c r="E6" s="7">
        <v>2</v>
      </c>
      <c r="F6" s="2" t="s">
        <v>4390</v>
      </c>
      <c r="G6" s="2"/>
      <c r="H6" s="2" t="s">
        <v>1769</v>
      </c>
      <c r="I6" s="2" t="s">
        <v>44</v>
      </c>
    </row>
    <row r="7" spans="1:9" ht="34" customHeight="1">
      <c r="A7" s="2" t="s">
        <v>26</v>
      </c>
      <c r="B7" s="2" t="s">
        <v>38</v>
      </c>
      <c r="C7" s="2" t="s">
        <v>65</v>
      </c>
      <c r="D7" s="7"/>
      <c r="E7" s="7">
        <v>0.52</v>
      </c>
      <c r="F7" s="2" t="s">
        <v>4391</v>
      </c>
      <c r="G7" s="2"/>
      <c r="H7" s="2" t="s">
        <v>1769</v>
      </c>
      <c r="I7" s="2" t="s">
        <v>44</v>
      </c>
    </row>
    <row r="8" spans="1:9" ht="34" customHeight="1">
      <c r="A8" s="2" t="s">
        <v>26</v>
      </c>
      <c r="B8" s="2" t="s">
        <v>38</v>
      </c>
      <c r="C8" s="2" t="s">
        <v>222</v>
      </c>
      <c r="D8" s="7">
        <v>14</v>
      </c>
      <c r="E8" s="7">
        <v>13.7</v>
      </c>
      <c r="F8" s="2" t="s">
        <v>4390</v>
      </c>
      <c r="G8" s="2"/>
      <c r="H8" s="2" t="s">
        <v>1769</v>
      </c>
      <c r="I8" s="2" t="s">
        <v>44</v>
      </c>
    </row>
    <row r="9" spans="1:9" ht="37" customHeight="1">
      <c r="A9" s="2" t="s">
        <v>26</v>
      </c>
      <c r="B9" s="2" t="s">
        <v>58</v>
      </c>
      <c r="C9" s="2" t="s">
        <v>65</v>
      </c>
      <c r="D9" s="7"/>
      <c r="E9" s="20">
        <v>0</v>
      </c>
      <c r="F9" s="2" t="s">
        <v>4391</v>
      </c>
      <c r="G9" s="2" t="s">
        <v>4392</v>
      </c>
      <c r="H9" s="2" t="s">
        <v>1780</v>
      </c>
      <c r="I9" s="2" t="s">
        <v>64</v>
      </c>
    </row>
    <row r="10" spans="1:9" ht="34" customHeight="1">
      <c r="A10" s="2" t="s">
        <v>26</v>
      </c>
      <c r="B10" s="2" t="s">
        <v>75</v>
      </c>
      <c r="C10" s="2" t="s">
        <v>1757</v>
      </c>
      <c r="D10" s="7">
        <v>1.05</v>
      </c>
      <c r="E10" s="7">
        <v>1.0900000000000001</v>
      </c>
      <c r="F10" s="2" t="s">
        <v>4390</v>
      </c>
      <c r="G10" s="2"/>
      <c r="H10" s="2" t="s">
        <v>1788</v>
      </c>
      <c r="I10" s="2" t="s">
        <v>81</v>
      </c>
    </row>
    <row r="11" spans="1:9" ht="34" customHeight="1">
      <c r="A11" s="2" t="s">
        <v>26</v>
      </c>
      <c r="B11" s="2" t="s">
        <v>75</v>
      </c>
      <c r="C11" s="2" t="s">
        <v>254</v>
      </c>
      <c r="D11" s="7"/>
      <c r="E11" s="7">
        <v>0.6</v>
      </c>
      <c r="F11" s="2" t="s">
        <v>4391</v>
      </c>
      <c r="G11" s="2"/>
      <c r="H11" s="2" t="s">
        <v>1788</v>
      </c>
      <c r="I11" s="2" t="s">
        <v>81</v>
      </c>
    </row>
    <row r="12" spans="1:9" ht="34" customHeight="1">
      <c r="A12" s="2" t="s">
        <v>26</v>
      </c>
      <c r="B12" s="2" t="s">
        <v>75</v>
      </c>
      <c r="C12" s="2" t="s">
        <v>124</v>
      </c>
      <c r="D12" s="7"/>
      <c r="E12" s="7">
        <v>2.2599999999999998</v>
      </c>
      <c r="F12" s="2" t="s">
        <v>4391</v>
      </c>
      <c r="G12" s="2"/>
      <c r="H12" s="2" t="s">
        <v>1788</v>
      </c>
      <c r="I12" s="2" t="s">
        <v>81</v>
      </c>
    </row>
    <row r="13" spans="1:9" ht="34" customHeight="1">
      <c r="A13" s="2" t="s">
        <v>26</v>
      </c>
      <c r="B13" s="2" t="s">
        <v>75</v>
      </c>
      <c r="C13" s="2" t="s">
        <v>65</v>
      </c>
      <c r="D13" s="7"/>
      <c r="E13" s="7">
        <v>0.4</v>
      </c>
      <c r="F13" s="2" t="s">
        <v>4391</v>
      </c>
      <c r="G13" s="2"/>
      <c r="H13" s="2" t="s">
        <v>1788</v>
      </c>
      <c r="I13" s="2" t="s">
        <v>81</v>
      </c>
    </row>
    <row r="14" spans="1:9" ht="34" customHeight="1">
      <c r="A14" s="2" t="s">
        <v>26</v>
      </c>
      <c r="B14" s="2" t="s">
        <v>100</v>
      </c>
      <c r="C14" s="2" t="s">
        <v>1757</v>
      </c>
      <c r="D14" s="7"/>
      <c r="E14" s="7">
        <v>5.0999999999999996</v>
      </c>
      <c r="F14" s="2" t="s">
        <v>4391</v>
      </c>
      <c r="G14" s="2"/>
      <c r="H14" s="2" t="s">
        <v>1800</v>
      </c>
      <c r="I14" s="2" t="s">
        <v>103</v>
      </c>
    </row>
    <row r="15" spans="1:9" ht="34" customHeight="1">
      <c r="A15" s="2" t="s">
        <v>26</v>
      </c>
      <c r="B15" s="2" t="s">
        <v>100</v>
      </c>
      <c r="C15" s="2" t="s">
        <v>254</v>
      </c>
      <c r="D15" s="7"/>
      <c r="E15" s="7">
        <v>1.7</v>
      </c>
      <c r="F15" s="2" t="s">
        <v>4391</v>
      </c>
      <c r="G15" s="2"/>
      <c r="H15" s="2" t="s">
        <v>1800</v>
      </c>
      <c r="I15" s="2" t="s">
        <v>103</v>
      </c>
    </row>
    <row r="16" spans="1:9" ht="34" customHeight="1">
      <c r="A16" s="2" t="s">
        <v>26</v>
      </c>
      <c r="B16" s="2" t="s">
        <v>100</v>
      </c>
      <c r="C16" s="2" t="s">
        <v>124</v>
      </c>
      <c r="D16" s="7"/>
      <c r="E16" s="7">
        <v>1.9</v>
      </c>
      <c r="F16" s="2" t="s">
        <v>4391</v>
      </c>
      <c r="G16" s="2"/>
      <c r="H16" s="2" t="s">
        <v>1800</v>
      </c>
      <c r="I16" s="2" t="s">
        <v>103</v>
      </c>
    </row>
    <row r="17" spans="1:9" ht="34" customHeight="1">
      <c r="A17" s="2" t="s">
        <v>26</v>
      </c>
      <c r="B17" s="2" t="s">
        <v>100</v>
      </c>
      <c r="C17" s="2" t="s">
        <v>65</v>
      </c>
      <c r="D17" s="7"/>
      <c r="E17" s="7">
        <v>0.53</v>
      </c>
      <c r="F17" s="2" t="s">
        <v>4391</v>
      </c>
      <c r="G17" s="2"/>
      <c r="H17" s="2" t="s">
        <v>1800</v>
      </c>
      <c r="I17" s="2" t="s">
        <v>103</v>
      </c>
    </row>
    <row r="18" spans="1:9" ht="34" customHeight="1">
      <c r="A18" s="2" t="s">
        <v>26</v>
      </c>
      <c r="B18" s="2" t="s">
        <v>100</v>
      </c>
      <c r="C18" s="2" t="s">
        <v>222</v>
      </c>
      <c r="D18" s="7"/>
      <c r="E18" s="7">
        <v>16</v>
      </c>
      <c r="F18" s="2" t="s">
        <v>4391</v>
      </c>
      <c r="G18" s="2"/>
      <c r="H18" s="2" t="s">
        <v>1800</v>
      </c>
      <c r="I18" s="2" t="s">
        <v>103</v>
      </c>
    </row>
    <row r="19" spans="1:9" ht="34" customHeight="1">
      <c r="A19" s="2" t="s">
        <v>26</v>
      </c>
      <c r="B19" s="2" t="s">
        <v>116</v>
      </c>
      <c r="C19" s="2" t="s">
        <v>124</v>
      </c>
      <c r="D19" s="7"/>
      <c r="E19" s="20">
        <v>2.5</v>
      </c>
      <c r="F19" s="2" t="s">
        <v>4391</v>
      </c>
      <c r="G19" s="2" t="s">
        <v>4393</v>
      </c>
      <c r="H19" s="2" t="s">
        <v>1815</v>
      </c>
      <c r="I19" s="2" t="s">
        <v>121</v>
      </c>
    </row>
    <row r="20" spans="1:9" ht="37" customHeight="1">
      <c r="A20" s="2" t="s">
        <v>26</v>
      </c>
      <c r="B20" s="2" t="s">
        <v>143</v>
      </c>
      <c r="C20" s="2" t="s">
        <v>124</v>
      </c>
      <c r="D20" s="7"/>
      <c r="E20" s="20">
        <v>1</v>
      </c>
      <c r="F20" s="2" t="s">
        <v>4391</v>
      </c>
      <c r="G20" s="2" t="s">
        <v>4394</v>
      </c>
      <c r="H20" s="2" t="s">
        <v>1828</v>
      </c>
      <c r="I20" s="2" t="s">
        <v>144</v>
      </c>
    </row>
    <row r="21" spans="1:9" ht="37" customHeight="1">
      <c r="A21" s="2" t="s">
        <v>26</v>
      </c>
      <c r="B21" s="2" t="s">
        <v>143</v>
      </c>
      <c r="C21" s="2" t="s">
        <v>65</v>
      </c>
      <c r="D21" s="7"/>
      <c r="E21" s="20">
        <v>0</v>
      </c>
      <c r="F21" s="2" t="s">
        <v>4391</v>
      </c>
      <c r="G21" s="2" t="s">
        <v>4392</v>
      </c>
      <c r="H21" s="2" t="s">
        <v>1828</v>
      </c>
      <c r="I21" s="2" t="s">
        <v>144</v>
      </c>
    </row>
    <row r="22" spans="1:9" ht="34" customHeight="1">
      <c r="A22" s="2" t="s">
        <v>26</v>
      </c>
      <c r="B22" s="2" t="s">
        <v>149</v>
      </c>
      <c r="C22" s="2" t="s">
        <v>65</v>
      </c>
      <c r="D22" s="7"/>
      <c r="E22" s="20">
        <v>0</v>
      </c>
      <c r="F22" s="2" t="s">
        <v>4391</v>
      </c>
      <c r="G22" s="2" t="s">
        <v>4395</v>
      </c>
      <c r="H22" s="2" t="s">
        <v>1832</v>
      </c>
      <c r="I22" s="2" t="s">
        <v>153</v>
      </c>
    </row>
    <row r="23" spans="1:9" ht="34" customHeight="1">
      <c r="A23" s="2" t="s">
        <v>26</v>
      </c>
      <c r="B23" s="2" t="s">
        <v>156</v>
      </c>
      <c r="C23" s="2" t="s">
        <v>1757</v>
      </c>
      <c r="D23" s="7">
        <v>1.65</v>
      </c>
      <c r="E23" s="7">
        <v>1.64</v>
      </c>
      <c r="F23" s="2" t="s">
        <v>4390</v>
      </c>
      <c r="G23" s="2"/>
      <c r="H23" s="2" t="s">
        <v>1835</v>
      </c>
      <c r="I23" s="2" t="s">
        <v>160</v>
      </c>
    </row>
    <row r="24" spans="1:9" ht="34" customHeight="1">
      <c r="A24" s="2" t="s">
        <v>26</v>
      </c>
      <c r="B24" s="2" t="s">
        <v>156</v>
      </c>
      <c r="C24" s="2" t="s">
        <v>124</v>
      </c>
      <c r="D24" s="7"/>
      <c r="E24" s="7">
        <v>1</v>
      </c>
      <c r="F24" s="2" t="s">
        <v>4391</v>
      </c>
      <c r="G24" s="2"/>
      <c r="H24" s="2" t="s">
        <v>1835</v>
      </c>
      <c r="I24" s="2" t="s">
        <v>160</v>
      </c>
    </row>
    <row r="25" spans="1:9" ht="34" customHeight="1">
      <c r="A25" s="2" t="s">
        <v>26</v>
      </c>
      <c r="B25" s="2" t="s">
        <v>156</v>
      </c>
      <c r="C25" s="2" t="s">
        <v>65</v>
      </c>
      <c r="D25" s="7"/>
      <c r="E25" s="7">
        <v>0</v>
      </c>
      <c r="F25" s="2" t="s">
        <v>4391</v>
      </c>
      <c r="G25" s="2"/>
      <c r="H25" s="2" t="s">
        <v>1835</v>
      </c>
      <c r="I25" s="2" t="s">
        <v>160</v>
      </c>
    </row>
    <row r="26" spans="1:9" ht="34" customHeight="1">
      <c r="A26" s="2" t="s">
        <v>26</v>
      </c>
      <c r="B26" s="2" t="s">
        <v>162</v>
      </c>
      <c r="C26" s="2" t="s">
        <v>124</v>
      </c>
      <c r="D26" s="7"/>
      <c r="E26" s="7">
        <v>2</v>
      </c>
      <c r="F26" s="2" t="s">
        <v>4391</v>
      </c>
      <c r="G26" s="2"/>
      <c r="H26" s="2" t="s">
        <v>1839</v>
      </c>
      <c r="I26" s="2" t="s">
        <v>166</v>
      </c>
    </row>
    <row r="27" spans="1:9" ht="34" customHeight="1">
      <c r="A27" s="2" t="s">
        <v>26</v>
      </c>
      <c r="B27" s="2" t="s">
        <v>162</v>
      </c>
      <c r="C27" s="2" t="s">
        <v>65</v>
      </c>
      <c r="D27" s="7"/>
      <c r="E27" s="7" t="s">
        <v>163</v>
      </c>
      <c r="F27" s="2" t="s">
        <v>4391</v>
      </c>
      <c r="G27" s="2"/>
      <c r="H27" s="2" t="s">
        <v>1839</v>
      </c>
      <c r="I27" s="2" t="s">
        <v>166</v>
      </c>
    </row>
    <row r="28" spans="1:9" ht="34" customHeight="1">
      <c r="A28" s="2" t="s">
        <v>26</v>
      </c>
      <c r="B28" s="2" t="s">
        <v>162</v>
      </c>
      <c r="C28" s="2" t="s">
        <v>222</v>
      </c>
      <c r="D28" s="7">
        <v>3</v>
      </c>
      <c r="E28" s="7">
        <v>2.5</v>
      </c>
      <c r="F28" s="2" t="s">
        <v>4390</v>
      </c>
      <c r="G28" s="2"/>
      <c r="H28" s="2" t="s">
        <v>1839</v>
      </c>
      <c r="I28" s="2" t="s">
        <v>166</v>
      </c>
    </row>
    <row r="29" spans="1:9" ht="37" customHeight="1">
      <c r="A29" s="2" t="s">
        <v>26</v>
      </c>
      <c r="B29" s="2" t="s">
        <v>168</v>
      </c>
      <c r="C29" s="2" t="s">
        <v>124</v>
      </c>
      <c r="D29" s="7"/>
      <c r="E29" s="20">
        <v>1</v>
      </c>
      <c r="F29" s="2" t="s">
        <v>4391</v>
      </c>
      <c r="G29" s="2" t="s">
        <v>4394</v>
      </c>
      <c r="H29" s="2" t="s">
        <v>1844</v>
      </c>
      <c r="I29" s="2" t="s">
        <v>169</v>
      </c>
    </row>
    <row r="30" spans="1:9" ht="37" customHeight="1">
      <c r="A30" s="2" t="s">
        <v>26</v>
      </c>
      <c r="B30" s="2" t="s">
        <v>168</v>
      </c>
      <c r="C30" s="2" t="s">
        <v>65</v>
      </c>
      <c r="D30" s="7"/>
      <c r="E30" s="20">
        <v>0</v>
      </c>
      <c r="F30" s="2" t="s">
        <v>4391</v>
      </c>
      <c r="G30" s="2" t="s">
        <v>4392</v>
      </c>
      <c r="H30" s="2" t="s">
        <v>1844</v>
      </c>
      <c r="I30" s="2" t="s">
        <v>169</v>
      </c>
    </row>
    <row r="31" spans="1:9" ht="37" customHeight="1">
      <c r="A31" s="2" t="s">
        <v>26</v>
      </c>
      <c r="B31" s="2" t="s">
        <v>171</v>
      </c>
      <c r="C31" s="2" t="s">
        <v>65</v>
      </c>
      <c r="D31" s="7"/>
      <c r="E31" s="20">
        <v>0</v>
      </c>
      <c r="F31" s="2" t="s">
        <v>4391</v>
      </c>
      <c r="G31" s="2" t="s">
        <v>4392</v>
      </c>
      <c r="H31" s="2" t="s">
        <v>1848</v>
      </c>
      <c r="I31" s="2" t="s">
        <v>174</v>
      </c>
    </row>
    <row r="32" spans="1:9" ht="37" customHeight="1">
      <c r="A32" s="2" t="s">
        <v>26</v>
      </c>
      <c r="B32" s="2" t="s">
        <v>176</v>
      </c>
      <c r="C32" s="2" t="s">
        <v>65</v>
      </c>
      <c r="D32" s="7"/>
      <c r="E32" s="20">
        <v>0</v>
      </c>
      <c r="F32" s="2" t="s">
        <v>4391</v>
      </c>
      <c r="G32" s="2" t="s">
        <v>4392</v>
      </c>
      <c r="H32" s="2" t="s">
        <v>1851</v>
      </c>
      <c r="I32" s="2" t="s">
        <v>177</v>
      </c>
    </row>
    <row r="33" spans="1:9" ht="34" customHeight="1">
      <c r="A33" s="2" t="s">
        <v>26</v>
      </c>
      <c r="B33" s="2" t="s">
        <v>185</v>
      </c>
      <c r="C33" s="2" t="s">
        <v>1757</v>
      </c>
      <c r="D33" s="7"/>
      <c r="E33" s="7">
        <v>0.3</v>
      </c>
      <c r="F33" s="2" t="s">
        <v>4391</v>
      </c>
      <c r="G33" s="2"/>
      <c r="H33" s="2" t="s">
        <v>1858</v>
      </c>
      <c r="I33" s="2" t="s">
        <v>189</v>
      </c>
    </row>
    <row r="34" spans="1:9" ht="34" customHeight="1">
      <c r="A34" s="2" t="s">
        <v>26</v>
      </c>
      <c r="B34" s="2" t="s">
        <v>185</v>
      </c>
      <c r="C34" s="2" t="s">
        <v>254</v>
      </c>
      <c r="D34" s="7"/>
      <c r="E34" s="7">
        <v>4.4999999999999998E-2</v>
      </c>
      <c r="F34" s="2" t="s">
        <v>4391</v>
      </c>
      <c r="G34" s="2"/>
      <c r="H34" s="2" t="s">
        <v>1858</v>
      </c>
      <c r="I34" s="2" t="s">
        <v>189</v>
      </c>
    </row>
    <row r="35" spans="1:9" ht="34" customHeight="1">
      <c r="A35" s="2" t="s">
        <v>26</v>
      </c>
      <c r="B35" s="2" t="s">
        <v>185</v>
      </c>
      <c r="C35" s="2" t="s">
        <v>222</v>
      </c>
      <c r="D35" s="7"/>
      <c r="E35" s="7" t="s">
        <v>186</v>
      </c>
      <c r="F35" s="2" t="s">
        <v>4391</v>
      </c>
      <c r="G35" s="2"/>
      <c r="H35" s="2" t="s">
        <v>1858</v>
      </c>
      <c r="I35" s="2" t="s">
        <v>189</v>
      </c>
    </row>
    <row r="36" spans="1:9" ht="37" customHeight="1">
      <c r="A36" s="2" t="s">
        <v>26</v>
      </c>
      <c r="B36" s="2" t="s">
        <v>193</v>
      </c>
      <c r="C36" s="2" t="s">
        <v>65</v>
      </c>
      <c r="D36" s="7"/>
      <c r="E36" s="20">
        <v>0</v>
      </c>
      <c r="F36" s="2" t="s">
        <v>4391</v>
      </c>
      <c r="G36" s="2" t="s">
        <v>4392</v>
      </c>
      <c r="H36" s="2" t="s">
        <v>1862</v>
      </c>
      <c r="I36" s="2" t="s">
        <v>195</v>
      </c>
    </row>
    <row r="37" spans="1:9" ht="34" customHeight="1">
      <c r="A37" s="2" t="s">
        <v>26</v>
      </c>
      <c r="B37" s="2" t="s">
        <v>209</v>
      </c>
      <c r="C37" s="2" t="s">
        <v>1757</v>
      </c>
      <c r="D37" s="7">
        <v>0.52500000000000002</v>
      </c>
      <c r="E37" s="7">
        <v>0.53</v>
      </c>
      <c r="F37" s="2" t="s">
        <v>4390</v>
      </c>
      <c r="G37" s="2"/>
      <c r="H37" s="2" t="s">
        <v>1870</v>
      </c>
      <c r="I37" s="2" t="s">
        <v>214</v>
      </c>
    </row>
    <row r="38" spans="1:9" ht="34" customHeight="1">
      <c r="A38" s="2" t="s">
        <v>26</v>
      </c>
      <c r="B38" s="2" t="s">
        <v>209</v>
      </c>
      <c r="C38" s="2" t="s">
        <v>254</v>
      </c>
      <c r="D38" s="7">
        <v>0.32500000000000001</v>
      </c>
      <c r="E38" s="7">
        <v>0.33</v>
      </c>
      <c r="F38" s="2" t="s">
        <v>4390</v>
      </c>
      <c r="G38" s="2"/>
      <c r="H38" s="2" t="s">
        <v>1870</v>
      </c>
      <c r="I38" s="2" t="s">
        <v>214</v>
      </c>
    </row>
    <row r="39" spans="1:9" ht="34" customHeight="1">
      <c r="A39" s="2" t="s">
        <v>26</v>
      </c>
      <c r="B39" s="2" t="s">
        <v>209</v>
      </c>
      <c r="C39" s="2" t="s">
        <v>124</v>
      </c>
      <c r="D39" s="7"/>
      <c r="E39" s="7">
        <v>2</v>
      </c>
      <c r="F39" s="2" t="s">
        <v>4391</v>
      </c>
      <c r="G39" s="2"/>
      <c r="H39" s="2" t="s">
        <v>1870</v>
      </c>
      <c r="I39" s="2" t="s">
        <v>214</v>
      </c>
    </row>
    <row r="40" spans="1:9" ht="34" customHeight="1">
      <c r="A40" s="2" t="s">
        <v>26</v>
      </c>
      <c r="B40" s="2" t="s">
        <v>209</v>
      </c>
      <c r="C40" s="2" t="s">
        <v>65</v>
      </c>
      <c r="D40" s="7"/>
      <c r="E40" s="7" t="s">
        <v>210</v>
      </c>
      <c r="F40" s="2" t="s">
        <v>4391</v>
      </c>
      <c r="G40" s="2"/>
      <c r="H40" s="2" t="s">
        <v>1870</v>
      </c>
      <c r="I40" s="2" t="s">
        <v>214</v>
      </c>
    </row>
    <row r="41" spans="1:9" ht="34" customHeight="1">
      <c r="A41" s="2" t="s">
        <v>224</v>
      </c>
      <c r="B41" s="2" t="s">
        <v>232</v>
      </c>
      <c r="C41" s="2" t="s">
        <v>1757</v>
      </c>
      <c r="D41" s="7"/>
      <c r="E41" s="7" t="s">
        <v>233</v>
      </c>
      <c r="F41" s="2" t="s">
        <v>4391</v>
      </c>
      <c r="G41" s="2"/>
      <c r="H41" s="2" t="s">
        <v>1882</v>
      </c>
      <c r="I41" s="2" t="s">
        <v>238</v>
      </c>
    </row>
    <row r="42" spans="1:9" ht="34" customHeight="1">
      <c r="A42" s="2" t="s">
        <v>224</v>
      </c>
      <c r="B42" s="2" t="s">
        <v>248</v>
      </c>
      <c r="C42" s="2" t="s">
        <v>254</v>
      </c>
      <c r="D42" s="7">
        <v>1.6</v>
      </c>
      <c r="E42" s="20">
        <v>1.588235294117647</v>
      </c>
      <c r="F42" s="2" t="s">
        <v>4390</v>
      </c>
      <c r="G42" s="2" t="s">
        <v>4396</v>
      </c>
      <c r="H42" s="2" t="s">
        <v>1893</v>
      </c>
      <c r="I42" s="2" t="s">
        <v>252</v>
      </c>
    </row>
    <row r="43" spans="1:9" ht="34" customHeight="1">
      <c r="A43" s="2" t="s">
        <v>224</v>
      </c>
      <c r="B43" s="2" t="s">
        <v>248</v>
      </c>
      <c r="C43" s="2" t="s">
        <v>124</v>
      </c>
      <c r="D43" s="7"/>
      <c r="E43" s="7">
        <v>2</v>
      </c>
      <c r="F43" s="2" t="s">
        <v>4391</v>
      </c>
      <c r="G43" s="2"/>
      <c r="H43" s="2" t="s">
        <v>1890</v>
      </c>
      <c r="I43" s="2" t="s">
        <v>252</v>
      </c>
    </row>
    <row r="44" spans="1:9" ht="34" customHeight="1">
      <c r="A44" s="2" t="s">
        <v>224</v>
      </c>
      <c r="B44" s="2" t="s">
        <v>248</v>
      </c>
      <c r="C44" s="2" t="s">
        <v>65</v>
      </c>
      <c r="D44" s="7"/>
      <c r="E44" s="7">
        <v>0.5</v>
      </c>
      <c r="F44" s="2" t="s">
        <v>4391</v>
      </c>
      <c r="G44" s="2"/>
      <c r="H44" s="2" t="s">
        <v>1890</v>
      </c>
      <c r="I44" s="2" t="s">
        <v>252</v>
      </c>
    </row>
    <row r="45" spans="1:9" ht="37" customHeight="1">
      <c r="A45" s="2" t="s">
        <v>224</v>
      </c>
      <c r="B45" s="2" t="s">
        <v>256</v>
      </c>
      <c r="C45" s="2" t="s">
        <v>124</v>
      </c>
      <c r="D45" s="7"/>
      <c r="E45" s="20">
        <v>1</v>
      </c>
      <c r="F45" s="2" t="s">
        <v>4391</v>
      </c>
      <c r="G45" s="2" t="s">
        <v>4394</v>
      </c>
      <c r="H45" s="2" t="s">
        <v>1898</v>
      </c>
      <c r="I45" s="2" t="s">
        <v>258</v>
      </c>
    </row>
    <row r="46" spans="1:9" ht="37" customHeight="1">
      <c r="A46" s="2" t="s">
        <v>224</v>
      </c>
      <c r="B46" s="2" t="s">
        <v>256</v>
      </c>
      <c r="C46" s="2" t="s">
        <v>65</v>
      </c>
      <c r="D46" s="7"/>
      <c r="E46" s="20">
        <v>0</v>
      </c>
      <c r="F46" s="2" t="s">
        <v>4391</v>
      </c>
      <c r="G46" s="2" t="s">
        <v>4392</v>
      </c>
      <c r="H46" s="2" t="s">
        <v>1898</v>
      </c>
      <c r="I46" s="2" t="s">
        <v>258</v>
      </c>
    </row>
    <row r="47" spans="1:9" ht="37" customHeight="1">
      <c r="A47" s="2" t="s">
        <v>224</v>
      </c>
      <c r="B47" s="2" t="s">
        <v>260</v>
      </c>
      <c r="C47" s="2" t="s">
        <v>124</v>
      </c>
      <c r="D47" s="7"/>
      <c r="E47" s="20">
        <v>1</v>
      </c>
      <c r="F47" s="2" t="s">
        <v>4391</v>
      </c>
      <c r="G47" s="2" t="s">
        <v>4394</v>
      </c>
      <c r="H47" s="2" t="s">
        <v>1904</v>
      </c>
      <c r="I47" s="2" t="s">
        <v>262</v>
      </c>
    </row>
    <row r="48" spans="1:9" ht="37" customHeight="1">
      <c r="A48" s="2" t="s">
        <v>224</v>
      </c>
      <c r="B48" s="2" t="s">
        <v>260</v>
      </c>
      <c r="C48" s="2" t="s">
        <v>65</v>
      </c>
      <c r="D48" s="7"/>
      <c r="E48" s="20">
        <v>0</v>
      </c>
      <c r="F48" s="2" t="s">
        <v>4391</v>
      </c>
      <c r="G48" s="2" t="s">
        <v>4392</v>
      </c>
      <c r="H48" s="2" t="s">
        <v>1904</v>
      </c>
      <c r="I48" s="2" t="s">
        <v>262</v>
      </c>
    </row>
    <row r="49" spans="1:9" ht="37" customHeight="1">
      <c r="A49" s="2" t="s">
        <v>224</v>
      </c>
      <c r="B49" s="2" t="s">
        <v>263</v>
      </c>
      <c r="C49" s="2" t="s">
        <v>124</v>
      </c>
      <c r="D49" s="7"/>
      <c r="E49" s="20">
        <v>1</v>
      </c>
      <c r="F49" s="2" t="s">
        <v>4391</v>
      </c>
      <c r="G49" s="2" t="s">
        <v>4394</v>
      </c>
      <c r="H49" s="2" t="s">
        <v>1910</v>
      </c>
      <c r="I49" s="2" t="s">
        <v>265</v>
      </c>
    </row>
    <row r="50" spans="1:9" ht="37" customHeight="1">
      <c r="A50" s="2" t="s">
        <v>224</v>
      </c>
      <c r="B50" s="2" t="s">
        <v>263</v>
      </c>
      <c r="C50" s="2" t="s">
        <v>65</v>
      </c>
      <c r="D50" s="7"/>
      <c r="E50" s="20">
        <v>0</v>
      </c>
      <c r="F50" s="2" t="s">
        <v>4391</v>
      </c>
      <c r="G50" s="2" t="s">
        <v>4392</v>
      </c>
      <c r="H50" s="2" t="s">
        <v>1910</v>
      </c>
      <c r="I50" s="2" t="s">
        <v>265</v>
      </c>
    </row>
    <row r="51" spans="1:9" ht="37" customHeight="1">
      <c r="A51" s="2" t="s">
        <v>224</v>
      </c>
      <c r="B51" s="2" t="s">
        <v>267</v>
      </c>
      <c r="C51" s="2" t="s">
        <v>124</v>
      </c>
      <c r="D51" s="7"/>
      <c r="E51" s="20">
        <v>1</v>
      </c>
      <c r="F51" s="2" t="s">
        <v>4391</v>
      </c>
      <c r="G51" s="2" t="s">
        <v>4394</v>
      </c>
      <c r="H51" s="2" t="s">
        <v>1915</v>
      </c>
      <c r="I51" s="2" t="s">
        <v>268</v>
      </c>
    </row>
    <row r="52" spans="1:9" ht="37" customHeight="1">
      <c r="A52" s="2" t="s">
        <v>224</v>
      </c>
      <c r="B52" s="2" t="s">
        <v>267</v>
      </c>
      <c r="C52" s="2" t="s">
        <v>65</v>
      </c>
      <c r="D52" s="7"/>
      <c r="E52" s="20">
        <v>0</v>
      </c>
      <c r="F52" s="2" t="s">
        <v>4391</v>
      </c>
      <c r="G52" s="2" t="s">
        <v>4392</v>
      </c>
      <c r="H52" s="2" t="s">
        <v>1915</v>
      </c>
      <c r="I52" s="2" t="s">
        <v>268</v>
      </c>
    </row>
    <row r="53" spans="1:9" ht="37" customHeight="1">
      <c r="A53" s="2" t="s">
        <v>224</v>
      </c>
      <c r="B53" s="2" t="s">
        <v>288</v>
      </c>
      <c r="C53" s="2" t="s">
        <v>65</v>
      </c>
      <c r="D53" s="7"/>
      <c r="E53" s="20">
        <v>0</v>
      </c>
      <c r="F53" s="2" t="s">
        <v>4391</v>
      </c>
      <c r="G53" s="2" t="s">
        <v>4392</v>
      </c>
      <c r="H53" s="2" t="s">
        <v>1932</v>
      </c>
      <c r="I53" s="2" t="s">
        <v>289</v>
      </c>
    </row>
    <row r="54" spans="1:9" ht="34" customHeight="1">
      <c r="A54" s="2" t="s">
        <v>224</v>
      </c>
      <c r="B54" s="2" t="s">
        <v>291</v>
      </c>
      <c r="C54" s="2" t="s">
        <v>254</v>
      </c>
      <c r="D54" s="7">
        <v>0.128</v>
      </c>
      <c r="E54" s="7" t="s">
        <v>292</v>
      </c>
      <c r="F54" s="2" t="s">
        <v>4390</v>
      </c>
      <c r="G54" s="2"/>
      <c r="H54" s="2" t="s">
        <v>1934</v>
      </c>
      <c r="I54" s="2" t="s">
        <v>296</v>
      </c>
    </row>
    <row r="55" spans="1:9" ht="34" customHeight="1">
      <c r="A55" s="2" t="s">
        <v>224</v>
      </c>
      <c r="B55" s="2" t="s">
        <v>291</v>
      </c>
      <c r="C55" s="2" t="s">
        <v>124</v>
      </c>
      <c r="D55" s="7"/>
      <c r="E55" s="20">
        <v>1</v>
      </c>
      <c r="F55" s="2" t="s">
        <v>4391</v>
      </c>
      <c r="G55" s="2" t="s">
        <v>4397</v>
      </c>
      <c r="H55" s="2" t="s">
        <v>1937</v>
      </c>
      <c r="I55" s="2" t="s">
        <v>296</v>
      </c>
    </row>
    <row r="56" spans="1:9" ht="34" customHeight="1">
      <c r="A56" s="2" t="s">
        <v>224</v>
      </c>
      <c r="B56" s="2" t="s">
        <v>291</v>
      </c>
      <c r="C56" s="2" t="s">
        <v>65</v>
      </c>
      <c r="D56" s="7"/>
      <c r="E56" s="20">
        <v>0</v>
      </c>
      <c r="F56" s="2" t="s">
        <v>4391</v>
      </c>
      <c r="G56" s="2" t="s">
        <v>4398</v>
      </c>
      <c r="H56" s="2" t="s">
        <v>1937</v>
      </c>
      <c r="I56" s="2" t="s">
        <v>296</v>
      </c>
    </row>
    <row r="57" spans="1:9" ht="34" customHeight="1">
      <c r="A57" s="2" t="s">
        <v>224</v>
      </c>
      <c r="B57" s="2" t="s">
        <v>291</v>
      </c>
      <c r="C57" s="2" t="s">
        <v>222</v>
      </c>
      <c r="D57" s="7">
        <v>1.4999999999999999E-2</v>
      </c>
      <c r="E57" s="7">
        <v>5.0000000000000001E-3</v>
      </c>
      <c r="F57" s="2" t="s">
        <v>4390</v>
      </c>
      <c r="G57" s="2"/>
      <c r="H57" s="2" t="s">
        <v>1934</v>
      </c>
      <c r="I57" s="2" t="s">
        <v>296</v>
      </c>
    </row>
    <row r="58" spans="1:9" ht="34" customHeight="1">
      <c r="A58" s="2" t="s">
        <v>224</v>
      </c>
      <c r="B58" s="2" t="s">
        <v>298</v>
      </c>
      <c r="C58" s="2" t="s">
        <v>65</v>
      </c>
      <c r="D58" s="7"/>
      <c r="E58" s="7">
        <v>0.33</v>
      </c>
      <c r="F58" s="2" t="s">
        <v>4391</v>
      </c>
      <c r="G58" s="2"/>
      <c r="H58" s="2" t="s">
        <v>1941</v>
      </c>
      <c r="I58" s="2" t="s">
        <v>301</v>
      </c>
    </row>
    <row r="59" spans="1:9" ht="37" customHeight="1">
      <c r="A59" s="2" t="s">
        <v>224</v>
      </c>
      <c r="B59" s="2" t="s">
        <v>303</v>
      </c>
      <c r="C59" s="2" t="s">
        <v>124</v>
      </c>
      <c r="D59" s="7"/>
      <c r="E59" s="20">
        <v>1</v>
      </c>
      <c r="F59" s="2" t="s">
        <v>4391</v>
      </c>
      <c r="G59" s="2" t="s">
        <v>4394</v>
      </c>
      <c r="H59" s="2" t="s">
        <v>1947</v>
      </c>
      <c r="I59" s="2" t="s">
        <v>305</v>
      </c>
    </row>
    <row r="60" spans="1:9" ht="37" customHeight="1">
      <c r="A60" s="2" t="s">
        <v>224</v>
      </c>
      <c r="B60" s="2" t="s">
        <v>303</v>
      </c>
      <c r="C60" s="2" t="s">
        <v>65</v>
      </c>
      <c r="D60" s="7"/>
      <c r="E60" s="20">
        <v>0</v>
      </c>
      <c r="F60" s="2" t="s">
        <v>4391</v>
      </c>
      <c r="G60" s="2" t="s">
        <v>4392</v>
      </c>
      <c r="H60" s="2" t="s">
        <v>1947</v>
      </c>
      <c r="I60" s="2" t="s">
        <v>305</v>
      </c>
    </row>
    <row r="61" spans="1:9" ht="34" customHeight="1">
      <c r="A61" s="2" t="s">
        <v>224</v>
      </c>
      <c r="B61" s="2" t="s">
        <v>308</v>
      </c>
      <c r="C61" s="2" t="s">
        <v>254</v>
      </c>
      <c r="D61" s="7"/>
      <c r="E61" s="7">
        <v>0.1</v>
      </c>
      <c r="F61" s="2" t="s">
        <v>4391</v>
      </c>
      <c r="G61" s="2"/>
      <c r="H61" s="2" t="s">
        <v>1952</v>
      </c>
      <c r="I61" s="2" t="s">
        <v>312</v>
      </c>
    </row>
    <row r="62" spans="1:9" ht="37" customHeight="1">
      <c r="A62" s="2" t="s">
        <v>224</v>
      </c>
      <c r="B62" s="2" t="s">
        <v>322</v>
      </c>
      <c r="C62" s="2" t="s">
        <v>124</v>
      </c>
      <c r="D62" s="7"/>
      <c r="E62" s="20">
        <v>1</v>
      </c>
      <c r="F62" s="2" t="s">
        <v>4391</v>
      </c>
      <c r="G62" s="2" t="s">
        <v>4394</v>
      </c>
      <c r="H62" s="2" t="s">
        <v>1961</v>
      </c>
      <c r="I62" s="2" t="s">
        <v>324</v>
      </c>
    </row>
    <row r="63" spans="1:9" ht="37" customHeight="1">
      <c r="A63" s="2" t="s">
        <v>224</v>
      </c>
      <c r="B63" s="2" t="s">
        <v>322</v>
      </c>
      <c r="C63" s="2" t="s">
        <v>65</v>
      </c>
      <c r="D63" s="7"/>
      <c r="E63" s="20">
        <v>0</v>
      </c>
      <c r="F63" s="2" t="s">
        <v>4391</v>
      </c>
      <c r="G63" s="2" t="s">
        <v>4392</v>
      </c>
      <c r="H63" s="2" t="s">
        <v>1961</v>
      </c>
      <c r="I63" s="2" t="s">
        <v>324</v>
      </c>
    </row>
    <row r="64" spans="1:9" ht="37" customHeight="1">
      <c r="A64" s="2" t="s">
        <v>224</v>
      </c>
      <c r="B64" s="2" t="s">
        <v>327</v>
      </c>
      <c r="C64" s="2" t="s">
        <v>124</v>
      </c>
      <c r="D64" s="7"/>
      <c r="E64" s="20">
        <v>1</v>
      </c>
      <c r="F64" s="2" t="s">
        <v>4391</v>
      </c>
      <c r="G64" s="2" t="s">
        <v>4394</v>
      </c>
      <c r="H64" s="2" t="s">
        <v>1968</v>
      </c>
      <c r="I64" s="2" t="s">
        <v>331</v>
      </c>
    </row>
    <row r="65" spans="1:9" ht="37" customHeight="1">
      <c r="A65" s="2" t="s">
        <v>224</v>
      </c>
      <c r="B65" s="2" t="s">
        <v>327</v>
      </c>
      <c r="C65" s="2" t="s">
        <v>65</v>
      </c>
      <c r="D65" s="7"/>
      <c r="E65" s="20">
        <v>0</v>
      </c>
      <c r="F65" s="2" t="s">
        <v>4391</v>
      </c>
      <c r="G65" s="2" t="s">
        <v>4392</v>
      </c>
      <c r="H65" s="2" t="s">
        <v>1968</v>
      </c>
      <c r="I65" s="2" t="s">
        <v>331</v>
      </c>
    </row>
    <row r="66" spans="1:9" ht="34" customHeight="1">
      <c r="A66" s="2" t="s">
        <v>224</v>
      </c>
      <c r="B66" s="2" t="s">
        <v>327</v>
      </c>
      <c r="C66" s="2" t="s">
        <v>222</v>
      </c>
      <c r="D66" s="7"/>
      <c r="E66" s="7">
        <v>0.22</v>
      </c>
      <c r="F66" s="2" t="s">
        <v>4391</v>
      </c>
      <c r="G66" s="2"/>
      <c r="H66" s="2" t="s">
        <v>1971</v>
      </c>
      <c r="I66" s="2" t="s">
        <v>331</v>
      </c>
    </row>
    <row r="67" spans="1:9" ht="34" customHeight="1">
      <c r="A67" s="2" t="s">
        <v>224</v>
      </c>
      <c r="B67" s="2" t="s">
        <v>342</v>
      </c>
      <c r="C67" s="2" t="s">
        <v>1757</v>
      </c>
      <c r="D67" s="7">
        <v>3.3</v>
      </c>
      <c r="E67" s="7">
        <v>3.22</v>
      </c>
      <c r="F67" s="2" t="s">
        <v>4390</v>
      </c>
      <c r="G67" s="2"/>
      <c r="H67" s="2" t="s">
        <v>1978</v>
      </c>
      <c r="I67" s="2" t="s">
        <v>347</v>
      </c>
    </row>
    <row r="68" spans="1:9" ht="34" customHeight="1">
      <c r="A68" s="2" t="s">
        <v>224</v>
      </c>
      <c r="B68" s="2" t="s">
        <v>342</v>
      </c>
      <c r="C68" s="2" t="s">
        <v>254</v>
      </c>
      <c r="D68" s="7" t="s">
        <v>4399</v>
      </c>
      <c r="E68" s="7">
        <v>0.79</v>
      </c>
      <c r="F68" s="2" t="s">
        <v>4390</v>
      </c>
      <c r="G68" s="2"/>
      <c r="H68" s="2" t="s">
        <v>1978</v>
      </c>
      <c r="I68" s="2" t="s">
        <v>347</v>
      </c>
    </row>
    <row r="69" spans="1:9" ht="34" customHeight="1">
      <c r="A69" s="2" t="s">
        <v>224</v>
      </c>
      <c r="B69" s="2" t="s">
        <v>342</v>
      </c>
      <c r="C69" s="2" t="s">
        <v>124</v>
      </c>
      <c r="D69" s="7"/>
      <c r="E69" s="7">
        <v>1.45</v>
      </c>
      <c r="F69" s="2" t="s">
        <v>4391</v>
      </c>
      <c r="G69" s="2"/>
      <c r="H69" s="2" t="s">
        <v>1978</v>
      </c>
      <c r="I69" s="2" t="s">
        <v>347</v>
      </c>
    </row>
    <row r="70" spans="1:9" ht="34" customHeight="1">
      <c r="A70" s="2" t="s">
        <v>224</v>
      </c>
      <c r="B70" s="2" t="s">
        <v>342</v>
      </c>
      <c r="C70" s="2" t="s">
        <v>65</v>
      </c>
      <c r="D70" s="7"/>
      <c r="E70" s="7">
        <v>0.32</v>
      </c>
      <c r="F70" s="2" t="s">
        <v>4391</v>
      </c>
      <c r="G70" s="2"/>
      <c r="H70" s="2" t="s">
        <v>1978</v>
      </c>
      <c r="I70" s="2" t="s">
        <v>347</v>
      </c>
    </row>
    <row r="71" spans="1:9" ht="34" customHeight="1">
      <c r="A71" s="2" t="s">
        <v>224</v>
      </c>
      <c r="B71" s="2" t="s">
        <v>342</v>
      </c>
      <c r="C71" s="2" t="s">
        <v>222</v>
      </c>
      <c r="D71" s="7">
        <v>6</v>
      </c>
      <c r="E71" s="7">
        <v>1.5</v>
      </c>
      <c r="F71" s="2" t="s">
        <v>4390</v>
      </c>
      <c r="G71" s="2"/>
      <c r="H71" s="2" t="s">
        <v>1978</v>
      </c>
      <c r="I71" s="2" t="s">
        <v>347</v>
      </c>
    </row>
    <row r="72" spans="1:9" ht="34" customHeight="1">
      <c r="A72" s="2" t="s">
        <v>224</v>
      </c>
      <c r="B72" s="2" t="s">
        <v>366</v>
      </c>
      <c r="C72" s="2" t="s">
        <v>124</v>
      </c>
      <c r="D72" s="7"/>
      <c r="E72" s="20">
        <v>1</v>
      </c>
      <c r="F72" s="2" t="s">
        <v>4391</v>
      </c>
      <c r="G72" s="2" t="s">
        <v>4400</v>
      </c>
      <c r="H72" s="2" t="s">
        <v>1989</v>
      </c>
      <c r="I72" s="2" t="s">
        <v>368</v>
      </c>
    </row>
    <row r="73" spans="1:9" ht="34" customHeight="1">
      <c r="A73" s="2" t="s">
        <v>224</v>
      </c>
      <c r="B73" s="2" t="s">
        <v>366</v>
      </c>
      <c r="C73" s="2" t="s">
        <v>65</v>
      </c>
      <c r="D73" s="7"/>
      <c r="E73" s="20">
        <v>0</v>
      </c>
      <c r="F73" s="2" t="s">
        <v>4391</v>
      </c>
      <c r="G73" s="2" t="s">
        <v>4401</v>
      </c>
      <c r="H73" s="2" t="s">
        <v>1989</v>
      </c>
      <c r="I73" s="2" t="s">
        <v>368</v>
      </c>
    </row>
    <row r="74" spans="1:9" ht="34" customHeight="1">
      <c r="A74" s="2" t="s">
        <v>224</v>
      </c>
      <c r="B74" s="2" t="s">
        <v>374</v>
      </c>
      <c r="C74" s="2" t="s">
        <v>254</v>
      </c>
      <c r="D74" s="7">
        <v>0.4</v>
      </c>
      <c r="E74" s="7">
        <v>0.36</v>
      </c>
      <c r="F74" s="2" t="s">
        <v>4390</v>
      </c>
      <c r="G74" s="2"/>
      <c r="H74" s="2" t="s">
        <v>1996</v>
      </c>
      <c r="I74" s="2" t="s">
        <v>378</v>
      </c>
    </row>
    <row r="75" spans="1:9" ht="34" customHeight="1">
      <c r="A75" s="2" t="s">
        <v>224</v>
      </c>
      <c r="B75" s="2" t="s">
        <v>374</v>
      </c>
      <c r="C75" s="2" t="s">
        <v>124</v>
      </c>
      <c r="D75" s="7"/>
      <c r="E75" s="7">
        <v>2.5</v>
      </c>
      <c r="F75" s="2" t="s">
        <v>4391</v>
      </c>
      <c r="G75" s="2"/>
      <c r="H75" s="2" t="s">
        <v>1996</v>
      </c>
      <c r="I75" s="2" t="s">
        <v>378</v>
      </c>
    </row>
    <row r="76" spans="1:9" ht="34" customHeight="1">
      <c r="A76" s="2" t="s">
        <v>224</v>
      </c>
      <c r="B76" s="2" t="s">
        <v>374</v>
      </c>
      <c r="C76" s="2" t="s">
        <v>65</v>
      </c>
      <c r="D76" s="7"/>
      <c r="E76" s="7">
        <v>0.7</v>
      </c>
      <c r="F76" s="2" t="s">
        <v>4391</v>
      </c>
      <c r="G76" s="2"/>
      <c r="H76" s="2" t="s">
        <v>1996</v>
      </c>
      <c r="I76" s="2" t="s">
        <v>378</v>
      </c>
    </row>
    <row r="77" spans="1:9" ht="34" customHeight="1">
      <c r="A77" s="2" t="s">
        <v>224</v>
      </c>
      <c r="B77" s="2" t="s">
        <v>386</v>
      </c>
      <c r="C77" s="2" t="s">
        <v>124</v>
      </c>
      <c r="D77" s="7"/>
      <c r="E77" s="7">
        <v>1.8</v>
      </c>
      <c r="F77" s="2" t="s">
        <v>4391</v>
      </c>
      <c r="G77" s="2"/>
      <c r="H77" s="2" t="s">
        <v>2004</v>
      </c>
      <c r="I77" s="2" t="s">
        <v>389</v>
      </c>
    </row>
    <row r="78" spans="1:9" ht="34" customHeight="1">
      <c r="A78" s="2" t="s">
        <v>224</v>
      </c>
      <c r="B78" s="2" t="s">
        <v>386</v>
      </c>
      <c r="C78" s="2" t="s">
        <v>65</v>
      </c>
      <c r="D78" s="7"/>
      <c r="E78" s="7">
        <v>0.3</v>
      </c>
      <c r="F78" s="2" t="s">
        <v>4391</v>
      </c>
      <c r="G78" s="2"/>
      <c r="H78" s="2" t="s">
        <v>2004</v>
      </c>
      <c r="I78" s="2" t="s">
        <v>389</v>
      </c>
    </row>
    <row r="79" spans="1:9" ht="34" customHeight="1">
      <c r="A79" s="2" t="s">
        <v>224</v>
      </c>
      <c r="B79" s="2" t="s">
        <v>406</v>
      </c>
      <c r="C79" s="2" t="s">
        <v>124</v>
      </c>
      <c r="D79" s="7"/>
      <c r="E79" s="7" t="s">
        <v>407</v>
      </c>
      <c r="F79" s="2" t="s">
        <v>4391</v>
      </c>
      <c r="G79" s="2"/>
      <c r="H79" s="2" t="s">
        <v>2019</v>
      </c>
      <c r="I79" s="2" t="s">
        <v>410</v>
      </c>
    </row>
    <row r="80" spans="1:9" ht="34" customHeight="1">
      <c r="A80" s="2" t="s">
        <v>224</v>
      </c>
      <c r="B80" s="2" t="s">
        <v>412</v>
      </c>
      <c r="C80" s="2" t="s">
        <v>1757</v>
      </c>
      <c r="D80" s="7">
        <v>0.1</v>
      </c>
      <c r="E80" s="7">
        <v>0.11</v>
      </c>
      <c r="F80" s="2" t="s">
        <v>4390</v>
      </c>
      <c r="G80" s="2"/>
      <c r="H80" s="2" t="s">
        <v>2021</v>
      </c>
      <c r="I80" s="2" t="s">
        <v>415</v>
      </c>
    </row>
    <row r="81" spans="1:9" ht="34" customHeight="1">
      <c r="A81" s="2" t="s">
        <v>224</v>
      </c>
      <c r="B81" s="2" t="s">
        <v>412</v>
      </c>
      <c r="C81" s="2" t="s">
        <v>254</v>
      </c>
      <c r="D81" s="7">
        <v>0.04</v>
      </c>
      <c r="E81" s="7">
        <v>4.4999999999999998E-2</v>
      </c>
      <c r="F81" s="2" t="s">
        <v>4390</v>
      </c>
      <c r="G81" s="2"/>
      <c r="H81" s="2" t="s">
        <v>2021</v>
      </c>
      <c r="I81" s="2" t="s">
        <v>415</v>
      </c>
    </row>
    <row r="82" spans="1:9" ht="34" customHeight="1">
      <c r="A82" s="2" t="s">
        <v>224</v>
      </c>
      <c r="B82" s="2" t="s">
        <v>412</v>
      </c>
      <c r="C82" s="2" t="s">
        <v>222</v>
      </c>
      <c r="D82" s="7"/>
      <c r="E82" s="7">
        <v>2.5000000000000001E-3</v>
      </c>
      <c r="F82" s="2" t="s">
        <v>4391</v>
      </c>
      <c r="G82" s="2"/>
      <c r="H82" s="2" t="s">
        <v>2021</v>
      </c>
      <c r="I82" s="2" t="s">
        <v>415</v>
      </c>
    </row>
    <row r="83" spans="1:9" ht="37" customHeight="1">
      <c r="A83" s="2" t="s">
        <v>224</v>
      </c>
      <c r="B83" s="2" t="s">
        <v>417</v>
      </c>
      <c r="C83" s="2" t="s">
        <v>124</v>
      </c>
      <c r="D83" s="7"/>
      <c r="E83" s="20">
        <v>1</v>
      </c>
      <c r="F83" s="2" t="s">
        <v>4391</v>
      </c>
      <c r="G83" s="2" t="s">
        <v>4394</v>
      </c>
      <c r="H83" s="2" t="s">
        <v>2026</v>
      </c>
      <c r="I83" s="2" t="s">
        <v>418</v>
      </c>
    </row>
    <row r="84" spans="1:9" ht="37" customHeight="1">
      <c r="A84" s="2" t="s">
        <v>224</v>
      </c>
      <c r="B84" s="2" t="s">
        <v>417</v>
      </c>
      <c r="C84" s="2" t="s">
        <v>65</v>
      </c>
      <c r="D84" s="7"/>
      <c r="E84" s="20">
        <v>0</v>
      </c>
      <c r="F84" s="2" t="s">
        <v>4391</v>
      </c>
      <c r="G84" s="2" t="s">
        <v>4392</v>
      </c>
      <c r="H84" s="2" t="s">
        <v>2026</v>
      </c>
      <c r="I84" s="2" t="s">
        <v>418</v>
      </c>
    </row>
    <row r="85" spans="1:9" ht="37" customHeight="1">
      <c r="A85" s="2" t="s">
        <v>224</v>
      </c>
      <c r="B85" s="2" t="s">
        <v>420</v>
      </c>
      <c r="C85" s="2" t="s">
        <v>124</v>
      </c>
      <c r="D85" s="7"/>
      <c r="E85" s="20">
        <v>1</v>
      </c>
      <c r="F85" s="2" t="s">
        <v>4391</v>
      </c>
      <c r="G85" s="2" t="s">
        <v>4394</v>
      </c>
      <c r="H85" s="2" t="s">
        <v>2030</v>
      </c>
      <c r="I85" s="2" t="s">
        <v>421</v>
      </c>
    </row>
    <row r="86" spans="1:9" ht="37" customHeight="1">
      <c r="A86" s="2" t="s">
        <v>224</v>
      </c>
      <c r="B86" s="2" t="s">
        <v>420</v>
      </c>
      <c r="C86" s="2" t="s">
        <v>65</v>
      </c>
      <c r="D86" s="7"/>
      <c r="E86" s="20">
        <v>0</v>
      </c>
      <c r="F86" s="2" t="s">
        <v>4391</v>
      </c>
      <c r="G86" s="2" t="s">
        <v>4392</v>
      </c>
      <c r="H86" s="2" t="s">
        <v>2030</v>
      </c>
      <c r="I86" s="2" t="s">
        <v>421</v>
      </c>
    </row>
    <row r="87" spans="1:9" ht="37" customHeight="1">
      <c r="A87" s="2" t="s">
        <v>224</v>
      </c>
      <c r="B87" s="2" t="s">
        <v>422</v>
      </c>
      <c r="C87" s="2" t="s">
        <v>124</v>
      </c>
      <c r="D87" s="7"/>
      <c r="E87" s="20">
        <v>1</v>
      </c>
      <c r="F87" s="2" t="s">
        <v>4391</v>
      </c>
      <c r="G87" s="2" t="s">
        <v>4394</v>
      </c>
      <c r="H87" s="2" t="s">
        <v>2032</v>
      </c>
      <c r="I87" s="2" t="s">
        <v>423</v>
      </c>
    </row>
    <row r="88" spans="1:9" ht="37" customHeight="1">
      <c r="A88" s="2" t="s">
        <v>224</v>
      </c>
      <c r="B88" s="2" t="s">
        <v>422</v>
      </c>
      <c r="C88" s="2" t="s">
        <v>65</v>
      </c>
      <c r="D88" s="7"/>
      <c r="E88" s="20">
        <v>0</v>
      </c>
      <c r="F88" s="2" t="s">
        <v>4391</v>
      </c>
      <c r="G88" s="2" t="s">
        <v>4392</v>
      </c>
      <c r="H88" s="2" t="s">
        <v>2032</v>
      </c>
      <c r="I88" s="2" t="s">
        <v>423</v>
      </c>
    </row>
    <row r="89" spans="1:9" ht="37" customHeight="1">
      <c r="A89" s="2" t="s">
        <v>224</v>
      </c>
      <c r="B89" s="2" t="s">
        <v>452</v>
      </c>
      <c r="C89" s="2" t="s">
        <v>124</v>
      </c>
      <c r="D89" s="7"/>
      <c r="E89" s="20">
        <v>1</v>
      </c>
      <c r="F89" s="2" t="s">
        <v>4391</v>
      </c>
      <c r="G89" s="2" t="s">
        <v>4394</v>
      </c>
      <c r="H89" s="2" t="s">
        <v>2053</v>
      </c>
      <c r="I89" s="2" t="s">
        <v>453</v>
      </c>
    </row>
    <row r="90" spans="1:9" ht="37" customHeight="1">
      <c r="A90" s="2" t="s">
        <v>224</v>
      </c>
      <c r="B90" s="2" t="s">
        <v>452</v>
      </c>
      <c r="C90" s="2" t="s">
        <v>65</v>
      </c>
      <c r="D90" s="7"/>
      <c r="E90" s="20">
        <v>0</v>
      </c>
      <c r="F90" s="2" t="s">
        <v>4391</v>
      </c>
      <c r="G90" s="2" t="s">
        <v>4392</v>
      </c>
      <c r="H90" s="2" t="s">
        <v>2053</v>
      </c>
      <c r="I90" s="2" t="s">
        <v>453</v>
      </c>
    </row>
    <row r="91" spans="1:9" ht="37" customHeight="1">
      <c r="A91" s="2" t="s">
        <v>224</v>
      </c>
      <c r="B91" s="2" t="s">
        <v>454</v>
      </c>
      <c r="C91" s="2" t="s">
        <v>124</v>
      </c>
      <c r="D91" s="7"/>
      <c r="E91" s="20">
        <v>1</v>
      </c>
      <c r="F91" s="2" t="s">
        <v>4391</v>
      </c>
      <c r="G91" s="2" t="s">
        <v>4394</v>
      </c>
      <c r="H91" s="2" t="s">
        <v>2059</v>
      </c>
      <c r="I91" s="2" t="s">
        <v>456</v>
      </c>
    </row>
    <row r="92" spans="1:9" ht="37" customHeight="1">
      <c r="A92" s="2" t="s">
        <v>224</v>
      </c>
      <c r="B92" s="2" t="s">
        <v>454</v>
      </c>
      <c r="C92" s="2" t="s">
        <v>65</v>
      </c>
      <c r="D92" s="7"/>
      <c r="E92" s="20">
        <v>0</v>
      </c>
      <c r="F92" s="2" t="s">
        <v>4391</v>
      </c>
      <c r="G92" s="2" t="s">
        <v>4392</v>
      </c>
      <c r="H92" s="2" t="s">
        <v>2059</v>
      </c>
      <c r="I92" s="2" t="s">
        <v>456</v>
      </c>
    </row>
    <row r="93" spans="1:9" ht="37" customHeight="1">
      <c r="A93" s="2" t="s">
        <v>224</v>
      </c>
      <c r="B93" s="2" t="s">
        <v>458</v>
      </c>
      <c r="C93" s="2" t="s">
        <v>65</v>
      </c>
      <c r="D93" s="7"/>
      <c r="E93" s="20">
        <v>0</v>
      </c>
      <c r="F93" s="2" t="s">
        <v>4391</v>
      </c>
      <c r="G93" s="2" t="s">
        <v>4392</v>
      </c>
      <c r="H93" s="2" t="s">
        <v>2062</v>
      </c>
      <c r="I93" s="2" t="s">
        <v>461</v>
      </c>
    </row>
    <row r="94" spans="1:9" ht="34" customHeight="1">
      <c r="A94" s="2" t="s">
        <v>462</v>
      </c>
      <c r="B94" s="2" t="s">
        <v>477</v>
      </c>
      <c r="C94" s="2" t="s">
        <v>124</v>
      </c>
      <c r="D94" s="7"/>
      <c r="E94" s="7">
        <v>1.8</v>
      </c>
      <c r="F94" s="2" t="s">
        <v>4391</v>
      </c>
      <c r="G94" s="2"/>
      <c r="H94" s="2" t="s">
        <v>2068</v>
      </c>
      <c r="I94" s="2" t="s">
        <v>481</v>
      </c>
    </row>
    <row r="95" spans="1:9" ht="34" customHeight="1">
      <c r="A95" s="2" t="s">
        <v>462</v>
      </c>
      <c r="B95" s="2" t="s">
        <v>477</v>
      </c>
      <c r="C95" s="2" t="s">
        <v>65</v>
      </c>
      <c r="D95" s="7"/>
      <c r="E95" s="7">
        <v>0.625</v>
      </c>
      <c r="F95" s="2" t="s">
        <v>4391</v>
      </c>
      <c r="G95" s="2"/>
      <c r="H95" s="2" t="s">
        <v>2068</v>
      </c>
      <c r="I95" s="2" t="s">
        <v>481</v>
      </c>
    </row>
    <row r="96" spans="1:9" ht="37" customHeight="1">
      <c r="A96" s="2" t="s">
        <v>462</v>
      </c>
      <c r="B96" s="2" t="s">
        <v>491</v>
      </c>
      <c r="C96" s="2" t="s">
        <v>65</v>
      </c>
      <c r="D96" s="7"/>
      <c r="E96" s="20">
        <v>0</v>
      </c>
      <c r="F96" s="2" t="s">
        <v>4391</v>
      </c>
      <c r="G96" s="2" t="s">
        <v>4392</v>
      </c>
      <c r="H96" s="2" t="s">
        <v>2075</v>
      </c>
      <c r="I96" s="2" t="s">
        <v>492</v>
      </c>
    </row>
    <row r="97" spans="1:9" ht="37" customHeight="1">
      <c r="A97" s="2" t="s">
        <v>462</v>
      </c>
      <c r="B97" s="2" t="s">
        <v>498</v>
      </c>
      <c r="C97" s="2" t="s">
        <v>65</v>
      </c>
      <c r="D97" s="7"/>
      <c r="E97" s="20">
        <v>0</v>
      </c>
      <c r="F97" s="2" t="s">
        <v>4391</v>
      </c>
      <c r="G97" s="2" t="s">
        <v>4392</v>
      </c>
      <c r="H97" s="2" t="s">
        <v>2080</v>
      </c>
      <c r="I97" s="2" t="s">
        <v>499</v>
      </c>
    </row>
    <row r="98" spans="1:9" ht="34" customHeight="1">
      <c r="A98" s="2" t="s">
        <v>510</v>
      </c>
      <c r="B98" s="2" t="s">
        <v>511</v>
      </c>
      <c r="C98" s="2" t="s">
        <v>65</v>
      </c>
      <c r="D98" s="7"/>
      <c r="E98" s="20">
        <v>0</v>
      </c>
      <c r="F98" s="2" t="s">
        <v>4391</v>
      </c>
      <c r="G98" s="2" t="s">
        <v>4402</v>
      </c>
      <c r="H98" s="2" t="s">
        <v>2088</v>
      </c>
      <c r="I98" s="2" t="s">
        <v>513</v>
      </c>
    </row>
    <row r="99" spans="1:9" ht="34" customHeight="1">
      <c r="A99" s="2" t="s">
        <v>510</v>
      </c>
      <c r="B99" s="2" t="s">
        <v>516</v>
      </c>
      <c r="C99" s="2" t="s">
        <v>254</v>
      </c>
      <c r="D99" s="7" t="s">
        <v>4403</v>
      </c>
      <c r="E99" s="7">
        <v>0.25</v>
      </c>
      <c r="F99" s="2" t="s">
        <v>4390</v>
      </c>
      <c r="G99" s="2"/>
      <c r="H99" s="2" t="s">
        <v>2092</v>
      </c>
      <c r="I99" s="2" t="s">
        <v>520</v>
      </c>
    </row>
    <row r="100" spans="1:9" ht="34" customHeight="1">
      <c r="A100" s="2" t="s">
        <v>510</v>
      </c>
      <c r="B100" s="2" t="s">
        <v>516</v>
      </c>
      <c r="C100" s="2" t="s">
        <v>124</v>
      </c>
      <c r="D100" s="7"/>
      <c r="E100" s="20">
        <v>1</v>
      </c>
      <c r="F100" s="2" t="s">
        <v>4391</v>
      </c>
      <c r="G100" s="2" t="s">
        <v>4404</v>
      </c>
      <c r="H100" s="2" t="s">
        <v>2095</v>
      </c>
      <c r="I100" s="2" t="s">
        <v>520</v>
      </c>
    </row>
    <row r="101" spans="1:9" ht="34" customHeight="1">
      <c r="A101" s="2" t="s">
        <v>510</v>
      </c>
      <c r="B101" s="2" t="s">
        <v>516</v>
      </c>
      <c r="C101" s="2" t="s">
        <v>65</v>
      </c>
      <c r="D101" s="7"/>
      <c r="E101" s="20">
        <v>0</v>
      </c>
      <c r="F101" s="2" t="s">
        <v>4391</v>
      </c>
      <c r="G101" s="2" t="s">
        <v>4405</v>
      </c>
      <c r="H101" s="2" t="s">
        <v>2095</v>
      </c>
      <c r="I101" s="2" t="s">
        <v>520</v>
      </c>
    </row>
    <row r="102" spans="1:9" ht="34" customHeight="1">
      <c r="A102" s="2" t="s">
        <v>510</v>
      </c>
      <c r="B102" s="2" t="s">
        <v>516</v>
      </c>
      <c r="C102" s="2" t="s">
        <v>222</v>
      </c>
      <c r="D102" s="7" t="s">
        <v>4406</v>
      </c>
      <c r="E102" s="7" t="s">
        <v>517</v>
      </c>
      <c r="F102" s="2" t="s">
        <v>4390</v>
      </c>
      <c r="G102" s="2"/>
      <c r="H102" s="2" t="s">
        <v>2092</v>
      </c>
      <c r="I102" s="2" t="s">
        <v>520</v>
      </c>
    </row>
    <row r="103" spans="1:9" ht="34" customHeight="1">
      <c r="A103" s="2" t="s">
        <v>510</v>
      </c>
      <c r="B103" s="2" t="s">
        <v>531</v>
      </c>
      <c r="C103" s="2" t="s">
        <v>65</v>
      </c>
      <c r="D103" s="7"/>
      <c r="E103" s="20">
        <v>0</v>
      </c>
      <c r="F103" s="2" t="s">
        <v>4391</v>
      </c>
      <c r="G103" s="2" t="s">
        <v>4402</v>
      </c>
      <c r="H103" s="2" t="s">
        <v>2088</v>
      </c>
      <c r="I103" s="2" t="s">
        <v>532</v>
      </c>
    </row>
    <row r="104" spans="1:9" ht="34" customHeight="1">
      <c r="A104" s="2" t="s">
        <v>510</v>
      </c>
      <c r="B104" s="2" t="s">
        <v>538</v>
      </c>
      <c r="C104" s="2" t="s">
        <v>124</v>
      </c>
      <c r="D104" s="7"/>
      <c r="E104" s="20">
        <v>1</v>
      </c>
      <c r="F104" s="2" t="s">
        <v>4391</v>
      </c>
      <c r="G104" s="2" t="s">
        <v>4407</v>
      </c>
      <c r="H104" s="2" t="s">
        <v>2106</v>
      </c>
      <c r="I104" s="2" t="s">
        <v>539</v>
      </c>
    </row>
    <row r="105" spans="1:9" ht="34" customHeight="1">
      <c r="A105" s="2" t="s">
        <v>510</v>
      </c>
      <c r="B105" s="2" t="s">
        <v>538</v>
      </c>
      <c r="C105" s="2" t="s">
        <v>65</v>
      </c>
      <c r="D105" s="7"/>
      <c r="E105" s="20">
        <v>0</v>
      </c>
      <c r="F105" s="2" t="s">
        <v>4391</v>
      </c>
      <c r="G105" s="2" t="s">
        <v>4408</v>
      </c>
      <c r="H105" s="2" t="s">
        <v>2106</v>
      </c>
      <c r="I105" s="2" t="s">
        <v>539</v>
      </c>
    </row>
    <row r="106" spans="1:9" ht="34" customHeight="1">
      <c r="A106" s="2" t="s">
        <v>510</v>
      </c>
      <c r="B106" s="2" t="s">
        <v>548</v>
      </c>
      <c r="C106" s="2" t="s">
        <v>254</v>
      </c>
      <c r="D106" s="7">
        <v>1.47</v>
      </c>
      <c r="E106" s="20">
        <v>1.4733333333333329</v>
      </c>
      <c r="F106" s="2" t="s">
        <v>4390</v>
      </c>
      <c r="G106" s="2" t="s">
        <v>4409</v>
      </c>
      <c r="H106" s="2" t="s">
        <v>2116</v>
      </c>
      <c r="I106" s="2" t="s">
        <v>552</v>
      </c>
    </row>
    <row r="107" spans="1:9" ht="34" customHeight="1">
      <c r="A107" s="2" t="s">
        <v>510</v>
      </c>
      <c r="B107" s="2" t="s">
        <v>548</v>
      </c>
      <c r="C107" s="2" t="s">
        <v>124</v>
      </c>
      <c r="D107" s="7"/>
      <c r="E107" s="7">
        <v>1.7</v>
      </c>
      <c r="F107" s="2" t="s">
        <v>4391</v>
      </c>
      <c r="G107" s="2"/>
      <c r="H107" s="2" t="s">
        <v>2113</v>
      </c>
      <c r="I107" s="2" t="s">
        <v>552</v>
      </c>
    </row>
    <row r="108" spans="1:9" ht="34" customHeight="1">
      <c r="A108" s="2" t="s">
        <v>510</v>
      </c>
      <c r="B108" s="2" t="s">
        <v>548</v>
      </c>
      <c r="C108" s="2" t="s">
        <v>65</v>
      </c>
      <c r="D108" s="7"/>
      <c r="E108" s="7">
        <v>0.24</v>
      </c>
      <c r="F108" s="2" t="s">
        <v>4391</v>
      </c>
      <c r="G108" s="2"/>
      <c r="H108" s="2" t="s">
        <v>2113</v>
      </c>
      <c r="I108" s="2" t="s">
        <v>552</v>
      </c>
    </row>
    <row r="109" spans="1:9" ht="34" customHeight="1">
      <c r="A109" s="2" t="s">
        <v>556</v>
      </c>
      <c r="B109" s="2" t="s">
        <v>557</v>
      </c>
      <c r="C109" s="2" t="s">
        <v>124</v>
      </c>
      <c r="D109" s="7"/>
      <c r="E109" s="20">
        <v>1</v>
      </c>
      <c r="F109" s="2" t="s">
        <v>4391</v>
      </c>
      <c r="G109" s="2" t="s">
        <v>4410</v>
      </c>
      <c r="H109" s="2" t="s">
        <v>2122</v>
      </c>
      <c r="I109" s="2" t="s">
        <v>561</v>
      </c>
    </row>
    <row r="110" spans="1:9" ht="34" customHeight="1">
      <c r="A110" s="2" t="s">
        <v>556</v>
      </c>
      <c r="B110" s="2" t="s">
        <v>557</v>
      </c>
      <c r="C110" s="2" t="s">
        <v>65</v>
      </c>
      <c r="D110" s="7"/>
      <c r="E110" s="20">
        <v>0</v>
      </c>
      <c r="F110" s="2" t="s">
        <v>4391</v>
      </c>
      <c r="G110" s="2" t="s">
        <v>4411</v>
      </c>
      <c r="H110" s="2" t="s">
        <v>2122</v>
      </c>
      <c r="I110" s="2" t="s">
        <v>561</v>
      </c>
    </row>
    <row r="111" spans="1:9" ht="34" customHeight="1">
      <c r="A111" s="2" t="s">
        <v>565</v>
      </c>
      <c r="B111" s="2" t="s">
        <v>566</v>
      </c>
      <c r="C111" s="2" t="s">
        <v>1757</v>
      </c>
      <c r="D111" s="7"/>
      <c r="E111" s="7">
        <v>0.15</v>
      </c>
      <c r="F111" s="2" t="s">
        <v>4391</v>
      </c>
      <c r="G111" s="2"/>
      <c r="H111" s="2" t="s">
        <v>2127</v>
      </c>
      <c r="I111" s="2" t="s">
        <v>570</v>
      </c>
    </row>
    <row r="112" spans="1:9" ht="34" customHeight="1">
      <c r="A112" s="2" t="s">
        <v>565</v>
      </c>
      <c r="B112" s="2" t="s">
        <v>566</v>
      </c>
      <c r="C112" s="2" t="s">
        <v>254</v>
      </c>
      <c r="D112" s="7"/>
      <c r="E112" s="7">
        <v>0.09</v>
      </c>
      <c r="F112" s="2" t="s">
        <v>4391</v>
      </c>
      <c r="G112" s="2"/>
      <c r="H112" s="2" t="s">
        <v>2127</v>
      </c>
      <c r="I112" s="2" t="s">
        <v>570</v>
      </c>
    </row>
    <row r="113" spans="1:9" ht="34" customHeight="1">
      <c r="A113" s="2" t="s">
        <v>565</v>
      </c>
      <c r="B113" s="2" t="s">
        <v>589</v>
      </c>
      <c r="C113" s="2" t="s">
        <v>124</v>
      </c>
      <c r="D113" s="7">
        <v>2.67</v>
      </c>
      <c r="E113" s="7">
        <v>2.2999999999999998</v>
      </c>
      <c r="F113" s="2" t="s">
        <v>4390</v>
      </c>
      <c r="G113" s="2"/>
      <c r="H113" s="2" t="s">
        <v>2141</v>
      </c>
      <c r="I113" s="2" t="s">
        <v>593</v>
      </c>
    </row>
    <row r="114" spans="1:9" ht="34" customHeight="1">
      <c r="A114" s="2" t="s">
        <v>565</v>
      </c>
      <c r="B114" s="2" t="s">
        <v>589</v>
      </c>
      <c r="C114" s="2" t="s">
        <v>222</v>
      </c>
      <c r="D114" s="7"/>
      <c r="E114" s="7">
        <v>5.3999999999999999E-2</v>
      </c>
      <c r="F114" s="2" t="s">
        <v>4391</v>
      </c>
      <c r="G114" s="2"/>
      <c r="H114" s="2" t="s">
        <v>2141</v>
      </c>
      <c r="I114" s="2" t="s">
        <v>593</v>
      </c>
    </row>
    <row r="115" spans="1:9" ht="34" customHeight="1">
      <c r="A115" s="2" t="s">
        <v>599</v>
      </c>
      <c r="B115" s="2" t="s">
        <v>600</v>
      </c>
      <c r="C115" s="2" t="s">
        <v>65</v>
      </c>
      <c r="D115" s="7"/>
      <c r="E115" s="20">
        <v>0</v>
      </c>
      <c r="F115" s="2" t="s">
        <v>4391</v>
      </c>
      <c r="G115" s="2" t="s">
        <v>4412</v>
      </c>
      <c r="H115" s="2" t="s">
        <v>2152</v>
      </c>
      <c r="I115" s="2" t="s">
        <v>603</v>
      </c>
    </row>
    <row r="116" spans="1:9" ht="34" customHeight="1">
      <c r="A116" s="2" t="s">
        <v>599</v>
      </c>
      <c r="B116" s="2" t="s">
        <v>607</v>
      </c>
      <c r="C116" s="2" t="s">
        <v>124</v>
      </c>
      <c r="D116" s="7"/>
      <c r="E116" s="20">
        <v>1</v>
      </c>
      <c r="F116" s="2" t="s">
        <v>4391</v>
      </c>
      <c r="G116" s="2" t="s">
        <v>4413</v>
      </c>
      <c r="H116" s="2" t="s">
        <v>2157</v>
      </c>
      <c r="I116" s="2" t="s">
        <v>609</v>
      </c>
    </row>
    <row r="117" spans="1:9" ht="34" customHeight="1">
      <c r="A117" s="2" t="s">
        <v>599</v>
      </c>
      <c r="B117" s="2" t="s">
        <v>607</v>
      </c>
      <c r="C117" s="2" t="s">
        <v>65</v>
      </c>
      <c r="D117" s="7"/>
      <c r="E117" s="20">
        <v>0</v>
      </c>
      <c r="F117" s="2" t="s">
        <v>4391</v>
      </c>
      <c r="G117" s="2" t="s">
        <v>4414</v>
      </c>
      <c r="H117" s="2" t="s">
        <v>2157</v>
      </c>
      <c r="I117" s="2" t="s">
        <v>609</v>
      </c>
    </row>
    <row r="118" spans="1:9" ht="34" customHeight="1">
      <c r="A118" s="2" t="s">
        <v>599</v>
      </c>
      <c r="B118" s="2" t="s">
        <v>620</v>
      </c>
      <c r="C118" s="2" t="s">
        <v>65</v>
      </c>
      <c r="D118" s="7"/>
      <c r="E118" s="20">
        <v>0</v>
      </c>
      <c r="F118" s="2" t="s">
        <v>4391</v>
      </c>
      <c r="G118" s="2" t="s">
        <v>4415</v>
      </c>
      <c r="H118" s="2" t="s">
        <v>2164</v>
      </c>
      <c r="I118" s="2" t="s">
        <v>622</v>
      </c>
    </row>
    <row r="119" spans="1:9" ht="37" customHeight="1">
      <c r="A119" s="2" t="s">
        <v>635</v>
      </c>
      <c r="B119" s="2" t="s">
        <v>636</v>
      </c>
      <c r="C119" s="2" t="s">
        <v>65</v>
      </c>
      <c r="D119" s="7"/>
      <c r="E119" s="20">
        <v>0</v>
      </c>
      <c r="F119" s="2" t="s">
        <v>4391</v>
      </c>
      <c r="G119" s="2" t="s">
        <v>4416</v>
      </c>
      <c r="H119" s="2" t="s">
        <v>2171</v>
      </c>
      <c r="I119" s="2" t="s">
        <v>637</v>
      </c>
    </row>
    <row r="120" spans="1:9" ht="34" customHeight="1">
      <c r="A120" s="2" t="s">
        <v>640</v>
      </c>
      <c r="B120" s="2" t="s">
        <v>647</v>
      </c>
      <c r="C120" s="2" t="s">
        <v>1757</v>
      </c>
      <c r="D120" s="7"/>
      <c r="E120" s="7">
        <v>7.8</v>
      </c>
      <c r="F120" s="2" t="s">
        <v>4391</v>
      </c>
      <c r="G120" s="2"/>
      <c r="H120" s="2" t="s">
        <v>2178</v>
      </c>
      <c r="I120" s="2" t="s">
        <v>651</v>
      </c>
    </row>
    <row r="121" spans="1:9" ht="34" customHeight="1">
      <c r="A121" s="2" t="s">
        <v>640</v>
      </c>
      <c r="B121" s="2" t="s">
        <v>647</v>
      </c>
      <c r="C121" s="2" t="s">
        <v>254</v>
      </c>
      <c r="D121" s="7"/>
      <c r="E121" s="7">
        <v>1.5</v>
      </c>
      <c r="F121" s="2" t="s">
        <v>4391</v>
      </c>
      <c r="G121" s="2"/>
      <c r="H121" s="2" t="s">
        <v>2178</v>
      </c>
      <c r="I121" s="2" t="s">
        <v>651</v>
      </c>
    </row>
    <row r="122" spans="1:9" ht="34" customHeight="1">
      <c r="A122" s="2" t="s">
        <v>640</v>
      </c>
      <c r="B122" s="2" t="s">
        <v>647</v>
      </c>
      <c r="C122" s="2" t="s">
        <v>124</v>
      </c>
      <c r="D122" s="7"/>
      <c r="E122" s="7">
        <v>1.85</v>
      </c>
      <c r="F122" s="2" t="s">
        <v>4391</v>
      </c>
      <c r="G122" s="2"/>
      <c r="H122" s="2" t="s">
        <v>2178</v>
      </c>
      <c r="I122" s="2" t="s">
        <v>651</v>
      </c>
    </row>
    <row r="123" spans="1:9" ht="34" customHeight="1">
      <c r="A123" s="2" t="s">
        <v>640</v>
      </c>
      <c r="B123" s="2" t="s">
        <v>647</v>
      </c>
      <c r="C123" s="2" t="s">
        <v>222</v>
      </c>
      <c r="D123" s="7">
        <v>5</v>
      </c>
      <c r="E123" s="7">
        <v>10</v>
      </c>
      <c r="F123" s="2" t="s">
        <v>4390</v>
      </c>
      <c r="G123" s="2"/>
      <c r="H123" s="2" t="s">
        <v>2178</v>
      </c>
      <c r="I123" s="2" t="s">
        <v>651</v>
      </c>
    </row>
    <row r="124" spans="1:9" ht="34" customHeight="1">
      <c r="A124" s="2" t="s">
        <v>640</v>
      </c>
      <c r="B124" s="2" t="s">
        <v>654</v>
      </c>
      <c r="C124" s="2" t="s">
        <v>1757</v>
      </c>
      <c r="D124" s="7"/>
      <c r="E124" s="7">
        <v>0.5</v>
      </c>
      <c r="F124" s="2" t="s">
        <v>4417</v>
      </c>
      <c r="G124" s="2"/>
      <c r="H124" s="2" t="s">
        <v>2182</v>
      </c>
      <c r="I124" s="2" t="s">
        <v>658</v>
      </c>
    </row>
    <row r="125" spans="1:9" ht="34" customHeight="1">
      <c r="A125" s="2" t="s">
        <v>640</v>
      </c>
      <c r="B125" s="2" t="s">
        <v>654</v>
      </c>
      <c r="C125" s="2" t="s">
        <v>254</v>
      </c>
      <c r="D125" s="7"/>
      <c r="E125" s="7">
        <v>0.3</v>
      </c>
      <c r="F125" s="2" t="s">
        <v>4417</v>
      </c>
      <c r="G125" s="2"/>
      <c r="H125" s="2" t="s">
        <v>2182</v>
      </c>
      <c r="I125" s="2" t="s">
        <v>658</v>
      </c>
    </row>
    <row r="126" spans="1:9" ht="34" customHeight="1">
      <c r="A126" s="2" t="s">
        <v>640</v>
      </c>
      <c r="B126" s="2" t="s">
        <v>654</v>
      </c>
      <c r="C126" s="2" t="s">
        <v>124</v>
      </c>
      <c r="D126" s="7"/>
      <c r="E126" s="7">
        <v>2.75</v>
      </c>
      <c r="F126" s="2" t="s">
        <v>4417</v>
      </c>
      <c r="G126" s="2"/>
      <c r="H126" s="2" t="s">
        <v>2182</v>
      </c>
      <c r="I126" s="2" t="s">
        <v>658</v>
      </c>
    </row>
    <row r="127" spans="1:9" ht="34" customHeight="1">
      <c r="A127" s="2" t="s">
        <v>640</v>
      </c>
      <c r="B127" s="2" t="s">
        <v>654</v>
      </c>
      <c r="C127" s="2" t="s">
        <v>65</v>
      </c>
      <c r="D127" s="7"/>
      <c r="E127" s="7">
        <v>0.5</v>
      </c>
      <c r="F127" s="2" t="s">
        <v>4417</v>
      </c>
      <c r="G127" s="2"/>
      <c r="H127" s="2" t="s">
        <v>2182</v>
      </c>
      <c r="I127" s="2" t="s">
        <v>658</v>
      </c>
    </row>
    <row r="128" spans="1:9" ht="34" customHeight="1">
      <c r="A128" s="2" t="s">
        <v>640</v>
      </c>
      <c r="B128" s="2" t="s">
        <v>654</v>
      </c>
      <c r="C128" s="2" t="s">
        <v>222</v>
      </c>
      <c r="D128" s="7"/>
      <c r="E128" s="7">
        <v>1.5</v>
      </c>
      <c r="F128" s="2" t="s">
        <v>4417</v>
      </c>
      <c r="G128" s="2"/>
      <c r="H128" s="2" t="s">
        <v>2182</v>
      </c>
      <c r="I128" s="2" t="s">
        <v>658</v>
      </c>
    </row>
    <row r="129" spans="1:9" ht="37" customHeight="1">
      <c r="A129" s="2" t="s">
        <v>640</v>
      </c>
      <c r="B129" s="2" t="s">
        <v>661</v>
      </c>
      <c r="C129" s="2" t="s">
        <v>124</v>
      </c>
      <c r="D129" s="7"/>
      <c r="E129" s="20">
        <v>1</v>
      </c>
      <c r="F129" s="2" t="s">
        <v>4391</v>
      </c>
      <c r="G129" s="2" t="s">
        <v>4418</v>
      </c>
      <c r="H129" s="2" t="s">
        <v>2188</v>
      </c>
      <c r="I129" s="2" t="s">
        <v>666</v>
      </c>
    </row>
    <row r="130" spans="1:9" ht="37" customHeight="1">
      <c r="A130" s="2" t="s">
        <v>640</v>
      </c>
      <c r="B130" s="2" t="s">
        <v>661</v>
      </c>
      <c r="C130" s="2" t="s">
        <v>65</v>
      </c>
      <c r="D130" s="7"/>
      <c r="E130" s="20">
        <v>0</v>
      </c>
      <c r="F130" s="2" t="s">
        <v>4391</v>
      </c>
      <c r="G130" s="2" t="s">
        <v>4419</v>
      </c>
      <c r="H130" s="2" t="s">
        <v>2188</v>
      </c>
      <c r="I130" s="2" t="s">
        <v>666</v>
      </c>
    </row>
    <row r="131" spans="1:9" ht="37" customHeight="1">
      <c r="A131" s="2" t="s">
        <v>640</v>
      </c>
      <c r="B131" s="2" t="s">
        <v>669</v>
      </c>
      <c r="C131" s="2" t="s">
        <v>65</v>
      </c>
      <c r="D131" s="7"/>
      <c r="E131" s="20">
        <v>0</v>
      </c>
      <c r="F131" s="2" t="s">
        <v>4391</v>
      </c>
      <c r="G131" s="2" t="s">
        <v>4420</v>
      </c>
      <c r="H131" s="2" t="s">
        <v>2192</v>
      </c>
      <c r="I131" s="2" t="s">
        <v>673</v>
      </c>
    </row>
    <row r="132" spans="1:9" ht="34" customHeight="1">
      <c r="A132" s="2" t="s">
        <v>640</v>
      </c>
      <c r="B132" s="2" t="s">
        <v>676</v>
      </c>
      <c r="C132" s="2" t="s">
        <v>1757</v>
      </c>
      <c r="D132" s="7"/>
      <c r="E132" s="7">
        <v>1</v>
      </c>
      <c r="F132" s="2" t="s">
        <v>4417</v>
      </c>
      <c r="G132" s="2"/>
      <c r="H132" s="2" t="s">
        <v>2196</v>
      </c>
      <c r="I132" s="2" t="s">
        <v>678</v>
      </c>
    </row>
    <row r="133" spans="1:9" ht="34" customHeight="1">
      <c r="A133" s="2" t="s">
        <v>640</v>
      </c>
      <c r="B133" s="2" t="s">
        <v>676</v>
      </c>
      <c r="C133" s="2" t="s">
        <v>254</v>
      </c>
      <c r="D133" s="7"/>
      <c r="E133" s="7">
        <v>0.53</v>
      </c>
      <c r="F133" s="2" t="s">
        <v>4417</v>
      </c>
      <c r="G133" s="2"/>
      <c r="H133" s="2" t="s">
        <v>2196</v>
      </c>
      <c r="I133" s="2" t="s">
        <v>678</v>
      </c>
    </row>
    <row r="134" spans="1:9" ht="34" customHeight="1">
      <c r="A134" s="2" t="s">
        <v>640</v>
      </c>
      <c r="B134" s="2" t="s">
        <v>676</v>
      </c>
      <c r="C134" s="2" t="s">
        <v>124</v>
      </c>
      <c r="D134" s="7"/>
      <c r="E134" s="7">
        <v>2.5</v>
      </c>
      <c r="F134" s="2" t="s">
        <v>4417</v>
      </c>
      <c r="G134" s="2"/>
      <c r="H134" s="2" t="s">
        <v>2196</v>
      </c>
      <c r="I134" s="2" t="s">
        <v>678</v>
      </c>
    </row>
    <row r="135" spans="1:9" ht="34" customHeight="1">
      <c r="A135" s="2" t="s">
        <v>640</v>
      </c>
      <c r="B135" s="2" t="s">
        <v>676</v>
      </c>
      <c r="C135" s="2" t="s">
        <v>65</v>
      </c>
      <c r="D135" s="7"/>
      <c r="E135" s="7">
        <v>0.7</v>
      </c>
      <c r="F135" s="2" t="s">
        <v>4417</v>
      </c>
      <c r="G135" s="2"/>
      <c r="H135" s="2" t="s">
        <v>2196</v>
      </c>
      <c r="I135" s="2" t="s">
        <v>678</v>
      </c>
    </row>
    <row r="136" spans="1:9" ht="34" customHeight="1">
      <c r="A136" s="2" t="s">
        <v>640</v>
      </c>
      <c r="B136" s="2" t="s">
        <v>676</v>
      </c>
      <c r="C136" s="2" t="s">
        <v>222</v>
      </c>
      <c r="D136" s="7"/>
      <c r="E136" s="7">
        <v>3.5</v>
      </c>
      <c r="F136" s="2" t="s">
        <v>4417</v>
      </c>
      <c r="G136" s="2"/>
      <c r="H136" s="2" t="s">
        <v>2196</v>
      </c>
      <c r="I136" s="2" t="s">
        <v>678</v>
      </c>
    </row>
    <row r="137" spans="1:9" ht="34" customHeight="1">
      <c r="A137" s="2" t="s">
        <v>640</v>
      </c>
      <c r="B137" s="2" t="s">
        <v>691</v>
      </c>
      <c r="C137" s="2" t="s">
        <v>124</v>
      </c>
      <c r="D137" s="7">
        <v>1.6</v>
      </c>
      <c r="E137" s="7">
        <v>2</v>
      </c>
      <c r="F137" s="2" t="s">
        <v>4390</v>
      </c>
      <c r="G137" s="2"/>
      <c r="H137" s="2" t="s">
        <v>2206</v>
      </c>
      <c r="I137" s="2" t="s">
        <v>697</v>
      </c>
    </row>
    <row r="138" spans="1:9" ht="34" customHeight="1">
      <c r="A138" s="2" t="s">
        <v>640</v>
      </c>
      <c r="B138" s="2" t="s">
        <v>691</v>
      </c>
      <c r="C138" s="2" t="s">
        <v>65</v>
      </c>
      <c r="D138" s="7"/>
      <c r="E138" s="7">
        <v>0.5</v>
      </c>
      <c r="F138" s="2" t="s">
        <v>4391</v>
      </c>
      <c r="G138" s="2"/>
      <c r="H138" s="2" t="s">
        <v>2206</v>
      </c>
      <c r="I138" s="2" t="s">
        <v>697</v>
      </c>
    </row>
    <row r="139" spans="1:9" ht="34" customHeight="1">
      <c r="A139" s="2" t="s">
        <v>640</v>
      </c>
      <c r="B139" s="2" t="s">
        <v>691</v>
      </c>
      <c r="C139" s="2" t="s">
        <v>222</v>
      </c>
      <c r="D139" s="7">
        <v>0.35</v>
      </c>
      <c r="E139" s="7">
        <v>0.36</v>
      </c>
      <c r="F139" s="2" t="s">
        <v>4390</v>
      </c>
      <c r="G139" s="2"/>
      <c r="H139" s="2" t="s">
        <v>2206</v>
      </c>
      <c r="I139" s="2" t="s">
        <v>697</v>
      </c>
    </row>
    <row r="140" spans="1:9" ht="34" customHeight="1">
      <c r="A140" s="2" t="s">
        <v>640</v>
      </c>
      <c r="B140" s="2" t="s">
        <v>699</v>
      </c>
      <c r="C140" s="2" t="s">
        <v>1757</v>
      </c>
      <c r="D140" s="7">
        <v>0.16</v>
      </c>
      <c r="E140" s="7">
        <v>0.16200000000000001</v>
      </c>
      <c r="F140" s="2" t="s">
        <v>4390</v>
      </c>
      <c r="G140" s="2"/>
      <c r="H140" s="2" t="s">
        <v>2209</v>
      </c>
      <c r="I140" s="2" t="s">
        <v>702</v>
      </c>
    </row>
    <row r="141" spans="1:9" ht="34" customHeight="1">
      <c r="A141" s="2" t="s">
        <v>640</v>
      </c>
      <c r="B141" s="2" t="s">
        <v>699</v>
      </c>
      <c r="C141" s="2" t="s">
        <v>254</v>
      </c>
      <c r="D141" s="7">
        <v>8.4000000000000005E-2</v>
      </c>
      <c r="E141" s="7">
        <v>7.9000000000000001E-2</v>
      </c>
      <c r="F141" s="2" t="s">
        <v>4390</v>
      </c>
      <c r="G141" s="2"/>
      <c r="H141" s="2" t="s">
        <v>2209</v>
      </c>
      <c r="I141" s="2" t="s">
        <v>702</v>
      </c>
    </row>
    <row r="142" spans="1:9" ht="34" customHeight="1">
      <c r="A142" s="2" t="s">
        <v>640</v>
      </c>
      <c r="B142" s="2" t="s">
        <v>699</v>
      </c>
      <c r="C142" s="2" t="s">
        <v>124</v>
      </c>
      <c r="D142" s="7">
        <v>2</v>
      </c>
      <c r="E142" s="7">
        <v>1.33</v>
      </c>
      <c r="F142" s="2" t="s">
        <v>4390</v>
      </c>
      <c r="G142" s="2"/>
      <c r="H142" s="2" t="s">
        <v>2209</v>
      </c>
      <c r="I142" s="2" t="s">
        <v>702</v>
      </c>
    </row>
    <row r="143" spans="1:9" ht="34" customHeight="1">
      <c r="A143" s="2" t="s">
        <v>640</v>
      </c>
      <c r="B143" s="2" t="s">
        <v>699</v>
      </c>
      <c r="C143" s="2" t="s">
        <v>65</v>
      </c>
      <c r="D143" s="7"/>
      <c r="E143" s="7">
        <v>0.08</v>
      </c>
      <c r="F143" s="2" t="s">
        <v>4391</v>
      </c>
      <c r="G143" s="2"/>
      <c r="H143" s="2" t="s">
        <v>2209</v>
      </c>
      <c r="I143" s="2" t="s">
        <v>702</v>
      </c>
    </row>
    <row r="144" spans="1:9" ht="34" customHeight="1">
      <c r="A144" s="2" t="s">
        <v>640</v>
      </c>
      <c r="B144" s="2" t="s">
        <v>699</v>
      </c>
      <c r="C144" s="2" t="s">
        <v>222</v>
      </c>
      <c r="D144" s="7">
        <v>0.15</v>
      </c>
      <c r="E144" s="7">
        <v>2.5000000000000001E-2</v>
      </c>
      <c r="F144" s="2" t="s">
        <v>4390</v>
      </c>
      <c r="G144" s="2"/>
      <c r="H144" s="2" t="s">
        <v>2209</v>
      </c>
      <c r="I144" s="2" t="s">
        <v>702</v>
      </c>
    </row>
    <row r="145" spans="1:9" ht="34" customHeight="1">
      <c r="A145" s="2" t="s">
        <v>640</v>
      </c>
      <c r="B145" s="2" t="s">
        <v>712</v>
      </c>
      <c r="C145" s="2" t="s">
        <v>1757</v>
      </c>
      <c r="D145" s="7"/>
      <c r="E145" s="7">
        <v>1.7</v>
      </c>
      <c r="F145" s="2" t="s">
        <v>4417</v>
      </c>
      <c r="G145" s="2"/>
      <c r="H145" s="2" t="s">
        <v>2216</v>
      </c>
      <c r="I145" s="2" t="s">
        <v>717</v>
      </c>
    </row>
    <row r="146" spans="1:9" ht="34" customHeight="1">
      <c r="A146" s="2" t="s">
        <v>640</v>
      </c>
      <c r="B146" s="2" t="s">
        <v>712</v>
      </c>
      <c r="C146" s="2" t="s">
        <v>254</v>
      </c>
      <c r="D146" s="7"/>
      <c r="E146" s="7">
        <v>1.1299999999999999</v>
      </c>
      <c r="F146" s="2" t="s">
        <v>4417</v>
      </c>
      <c r="G146" s="2"/>
      <c r="H146" s="2" t="s">
        <v>2216</v>
      </c>
      <c r="I146" s="2" t="s">
        <v>717</v>
      </c>
    </row>
    <row r="147" spans="1:9" ht="34" customHeight="1">
      <c r="A147" s="2" t="s">
        <v>640</v>
      </c>
      <c r="B147" s="2" t="s">
        <v>712</v>
      </c>
      <c r="C147" s="2" t="s">
        <v>124</v>
      </c>
      <c r="D147" s="7"/>
      <c r="E147" s="7">
        <v>2.5</v>
      </c>
      <c r="F147" s="2" t="s">
        <v>4417</v>
      </c>
      <c r="G147" s="2"/>
      <c r="H147" s="2" t="s">
        <v>2216</v>
      </c>
      <c r="I147" s="2" t="s">
        <v>717</v>
      </c>
    </row>
    <row r="148" spans="1:9" ht="34" customHeight="1">
      <c r="A148" s="2" t="s">
        <v>640</v>
      </c>
      <c r="B148" s="2" t="s">
        <v>712</v>
      </c>
      <c r="C148" s="2" t="s">
        <v>222</v>
      </c>
      <c r="D148" s="7"/>
      <c r="E148" s="7">
        <v>14</v>
      </c>
      <c r="F148" s="2" t="s">
        <v>4417</v>
      </c>
      <c r="G148" s="2"/>
      <c r="H148" s="2" t="s">
        <v>2216</v>
      </c>
      <c r="I148" s="2" t="s">
        <v>717</v>
      </c>
    </row>
    <row r="149" spans="1:9" ht="37" customHeight="1">
      <c r="A149" s="2" t="s">
        <v>640</v>
      </c>
      <c r="B149" s="2" t="s">
        <v>720</v>
      </c>
      <c r="C149" s="2" t="s">
        <v>124</v>
      </c>
      <c r="D149" s="7"/>
      <c r="E149" s="20">
        <v>1</v>
      </c>
      <c r="F149" s="2" t="s">
        <v>4391</v>
      </c>
      <c r="G149" s="2" t="s">
        <v>4421</v>
      </c>
      <c r="H149" s="2" t="s">
        <v>2221</v>
      </c>
      <c r="I149" s="2" t="s">
        <v>722</v>
      </c>
    </row>
    <row r="150" spans="1:9" ht="37" customHeight="1">
      <c r="A150" s="2" t="s">
        <v>640</v>
      </c>
      <c r="B150" s="2" t="s">
        <v>720</v>
      </c>
      <c r="C150" s="2" t="s">
        <v>65</v>
      </c>
      <c r="D150" s="7"/>
      <c r="E150" s="20">
        <v>0</v>
      </c>
      <c r="F150" s="2" t="s">
        <v>4391</v>
      </c>
      <c r="G150" s="2" t="s">
        <v>4422</v>
      </c>
      <c r="H150" s="2" t="s">
        <v>2221</v>
      </c>
      <c r="I150" s="2" t="s">
        <v>722</v>
      </c>
    </row>
    <row r="151" spans="1:9" ht="34" customHeight="1">
      <c r="A151" s="2" t="s">
        <v>640</v>
      </c>
      <c r="B151" s="2" t="s">
        <v>724</v>
      </c>
      <c r="C151" s="2" t="s">
        <v>65</v>
      </c>
      <c r="D151" s="7"/>
      <c r="E151" s="7">
        <v>0</v>
      </c>
      <c r="F151" s="2" t="s">
        <v>4391</v>
      </c>
      <c r="G151" s="2"/>
      <c r="H151" s="2" t="s">
        <v>2225</v>
      </c>
      <c r="I151" s="2" t="s">
        <v>727</v>
      </c>
    </row>
    <row r="152" spans="1:9" ht="37" customHeight="1">
      <c r="A152" s="2" t="s">
        <v>640</v>
      </c>
      <c r="B152" s="2" t="s">
        <v>729</v>
      </c>
      <c r="C152" s="2" t="s">
        <v>124</v>
      </c>
      <c r="D152" s="7"/>
      <c r="E152" s="20">
        <v>1</v>
      </c>
      <c r="F152" s="2" t="s">
        <v>4391</v>
      </c>
      <c r="G152" s="2" t="s">
        <v>4421</v>
      </c>
      <c r="H152" s="2" t="s">
        <v>2221</v>
      </c>
      <c r="I152" s="2" t="s">
        <v>730</v>
      </c>
    </row>
    <row r="153" spans="1:9" ht="37" customHeight="1">
      <c r="A153" s="2" t="s">
        <v>640</v>
      </c>
      <c r="B153" s="2" t="s">
        <v>729</v>
      </c>
      <c r="C153" s="2" t="s">
        <v>65</v>
      </c>
      <c r="D153" s="7"/>
      <c r="E153" s="20">
        <v>0</v>
      </c>
      <c r="F153" s="2" t="s">
        <v>4391</v>
      </c>
      <c r="G153" s="2" t="s">
        <v>4422</v>
      </c>
      <c r="H153" s="2" t="s">
        <v>2221</v>
      </c>
      <c r="I153" s="2" t="s">
        <v>730</v>
      </c>
    </row>
    <row r="154" spans="1:9" ht="37" customHeight="1">
      <c r="A154" s="2" t="s">
        <v>640</v>
      </c>
      <c r="B154" s="2" t="s">
        <v>731</v>
      </c>
      <c r="C154" s="2" t="s">
        <v>65</v>
      </c>
      <c r="D154" s="7"/>
      <c r="E154" s="20">
        <v>0</v>
      </c>
      <c r="F154" s="2" t="s">
        <v>4391</v>
      </c>
      <c r="G154" s="2" t="s">
        <v>4423</v>
      </c>
      <c r="H154" s="2" t="s">
        <v>2230</v>
      </c>
      <c r="I154" s="2" t="s">
        <v>733</v>
      </c>
    </row>
    <row r="155" spans="1:9" ht="37" customHeight="1">
      <c r="A155" s="2" t="s">
        <v>640</v>
      </c>
      <c r="B155" s="2" t="s">
        <v>740</v>
      </c>
      <c r="C155" s="2" t="s">
        <v>124</v>
      </c>
      <c r="D155" s="7"/>
      <c r="E155" s="20">
        <v>1</v>
      </c>
      <c r="F155" s="2" t="s">
        <v>4391</v>
      </c>
      <c r="G155" s="2" t="s">
        <v>4421</v>
      </c>
      <c r="H155" s="2" t="s">
        <v>2221</v>
      </c>
      <c r="I155" s="2" t="s">
        <v>741</v>
      </c>
    </row>
    <row r="156" spans="1:9" ht="37" customHeight="1">
      <c r="A156" s="2" t="s">
        <v>640</v>
      </c>
      <c r="B156" s="2" t="s">
        <v>740</v>
      </c>
      <c r="C156" s="2" t="s">
        <v>65</v>
      </c>
      <c r="D156" s="7"/>
      <c r="E156" s="20">
        <v>0</v>
      </c>
      <c r="F156" s="2" t="s">
        <v>4391</v>
      </c>
      <c r="G156" s="2" t="s">
        <v>4422</v>
      </c>
      <c r="H156" s="2" t="s">
        <v>2221</v>
      </c>
      <c r="I156" s="2" t="s">
        <v>741</v>
      </c>
    </row>
    <row r="157" spans="1:9" ht="37" customHeight="1">
      <c r="A157" s="2" t="s">
        <v>640</v>
      </c>
      <c r="B157" s="2" t="s">
        <v>761</v>
      </c>
      <c r="C157" s="2" t="s">
        <v>124</v>
      </c>
      <c r="D157" s="7"/>
      <c r="E157" s="20">
        <v>1</v>
      </c>
      <c r="F157" s="2" t="s">
        <v>4391</v>
      </c>
      <c r="G157" s="2" t="s">
        <v>4424</v>
      </c>
      <c r="H157" s="2" t="s">
        <v>2250</v>
      </c>
      <c r="I157" s="2" t="s">
        <v>766</v>
      </c>
    </row>
    <row r="158" spans="1:9" ht="37" customHeight="1">
      <c r="A158" s="2" t="s">
        <v>640</v>
      </c>
      <c r="B158" s="2" t="s">
        <v>761</v>
      </c>
      <c r="C158" s="2" t="s">
        <v>65</v>
      </c>
      <c r="D158" s="7"/>
      <c r="E158" s="20">
        <v>0</v>
      </c>
      <c r="F158" s="2" t="s">
        <v>4391</v>
      </c>
      <c r="G158" s="2" t="s">
        <v>4425</v>
      </c>
      <c r="H158" s="2" t="s">
        <v>2250</v>
      </c>
      <c r="I158" s="2" t="s">
        <v>766</v>
      </c>
    </row>
    <row r="159" spans="1:9" ht="37" customHeight="1">
      <c r="A159" s="2" t="s">
        <v>640</v>
      </c>
      <c r="B159" s="2" t="s">
        <v>769</v>
      </c>
      <c r="C159" s="2" t="s">
        <v>124</v>
      </c>
      <c r="D159" s="7"/>
      <c r="E159" s="20">
        <v>1</v>
      </c>
      <c r="F159" s="2" t="s">
        <v>4391</v>
      </c>
      <c r="G159" s="2" t="s">
        <v>4421</v>
      </c>
      <c r="H159" s="2" t="s">
        <v>2221</v>
      </c>
      <c r="I159" s="2" t="s">
        <v>771</v>
      </c>
    </row>
    <row r="160" spans="1:9" ht="37" customHeight="1">
      <c r="A160" s="2" t="s">
        <v>640</v>
      </c>
      <c r="B160" s="2" t="s">
        <v>769</v>
      </c>
      <c r="C160" s="2" t="s">
        <v>65</v>
      </c>
      <c r="D160" s="7"/>
      <c r="E160" s="20">
        <v>0</v>
      </c>
      <c r="F160" s="2" t="s">
        <v>4391</v>
      </c>
      <c r="G160" s="2" t="s">
        <v>4422</v>
      </c>
      <c r="H160" s="2" t="s">
        <v>2221</v>
      </c>
      <c r="I160" s="2" t="s">
        <v>771</v>
      </c>
    </row>
    <row r="161" spans="1:9" ht="37" customHeight="1">
      <c r="A161" s="2" t="s">
        <v>640</v>
      </c>
      <c r="B161" s="2" t="s">
        <v>773</v>
      </c>
      <c r="C161" s="2" t="s">
        <v>124</v>
      </c>
      <c r="D161" s="7"/>
      <c r="E161" s="20">
        <v>1</v>
      </c>
      <c r="F161" s="2" t="s">
        <v>4391</v>
      </c>
      <c r="G161" s="2" t="s">
        <v>4426</v>
      </c>
      <c r="H161" s="2" t="s">
        <v>2263</v>
      </c>
      <c r="I161" s="2" t="s">
        <v>777</v>
      </c>
    </row>
    <row r="162" spans="1:9" ht="37" customHeight="1">
      <c r="A162" s="2" t="s">
        <v>640</v>
      </c>
      <c r="B162" s="2" t="s">
        <v>773</v>
      </c>
      <c r="C162" s="2" t="s">
        <v>65</v>
      </c>
      <c r="D162" s="7"/>
      <c r="E162" s="20">
        <v>0</v>
      </c>
      <c r="F162" s="2" t="s">
        <v>4391</v>
      </c>
      <c r="G162" s="2" t="s">
        <v>4427</v>
      </c>
      <c r="H162" s="2" t="s">
        <v>2263</v>
      </c>
      <c r="I162" s="2" t="s">
        <v>777</v>
      </c>
    </row>
    <row r="163" spans="1:9" ht="37" customHeight="1">
      <c r="A163" s="2" t="s">
        <v>640</v>
      </c>
      <c r="B163" s="2" t="s">
        <v>780</v>
      </c>
      <c r="C163" s="2" t="s">
        <v>124</v>
      </c>
      <c r="D163" s="7"/>
      <c r="E163" s="20">
        <v>1</v>
      </c>
      <c r="F163" s="2" t="s">
        <v>4391</v>
      </c>
      <c r="G163" s="2" t="s">
        <v>4424</v>
      </c>
      <c r="H163" s="2" t="s">
        <v>2250</v>
      </c>
      <c r="I163" s="2" t="s">
        <v>781</v>
      </c>
    </row>
    <row r="164" spans="1:9" ht="37" customHeight="1">
      <c r="A164" s="2" t="s">
        <v>640</v>
      </c>
      <c r="B164" s="2" t="s">
        <v>780</v>
      </c>
      <c r="C164" s="2" t="s">
        <v>65</v>
      </c>
      <c r="D164" s="7"/>
      <c r="E164" s="20">
        <v>0</v>
      </c>
      <c r="F164" s="2" t="s">
        <v>4391</v>
      </c>
      <c r="G164" s="2" t="s">
        <v>4425</v>
      </c>
      <c r="H164" s="2" t="s">
        <v>2250</v>
      </c>
      <c r="I164" s="2" t="s">
        <v>781</v>
      </c>
    </row>
    <row r="165" spans="1:9" ht="37" customHeight="1">
      <c r="A165" s="2" t="s">
        <v>640</v>
      </c>
      <c r="B165" s="2" t="s">
        <v>782</v>
      </c>
      <c r="C165" s="2" t="s">
        <v>124</v>
      </c>
      <c r="D165" s="7"/>
      <c r="E165" s="20">
        <v>1</v>
      </c>
      <c r="F165" s="2" t="s">
        <v>4391</v>
      </c>
      <c r="G165" s="2" t="s">
        <v>4421</v>
      </c>
      <c r="H165" s="2" t="s">
        <v>2221</v>
      </c>
      <c r="I165" s="2" t="s">
        <v>785</v>
      </c>
    </row>
    <row r="166" spans="1:9" ht="37" customHeight="1">
      <c r="A166" s="2" t="s">
        <v>640</v>
      </c>
      <c r="B166" s="2" t="s">
        <v>782</v>
      </c>
      <c r="C166" s="2" t="s">
        <v>65</v>
      </c>
      <c r="D166" s="7"/>
      <c r="E166" s="20">
        <v>0</v>
      </c>
      <c r="F166" s="2" t="s">
        <v>4391</v>
      </c>
      <c r="G166" s="2" t="s">
        <v>4422</v>
      </c>
      <c r="H166" s="2" t="s">
        <v>2221</v>
      </c>
      <c r="I166" s="2" t="s">
        <v>785</v>
      </c>
    </row>
    <row r="167" spans="1:9" ht="37" customHeight="1">
      <c r="A167" s="2" t="s">
        <v>640</v>
      </c>
      <c r="B167" s="2" t="s">
        <v>786</v>
      </c>
      <c r="C167" s="2" t="s">
        <v>124</v>
      </c>
      <c r="D167" s="7"/>
      <c r="E167" s="20">
        <v>1</v>
      </c>
      <c r="F167" s="2" t="s">
        <v>4391</v>
      </c>
      <c r="G167" s="2" t="s">
        <v>4424</v>
      </c>
      <c r="H167" s="2" t="s">
        <v>2250</v>
      </c>
      <c r="I167" s="2" t="s">
        <v>790</v>
      </c>
    </row>
    <row r="168" spans="1:9" ht="37" customHeight="1">
      <c r="A168" s="2" t="s">
        <v>640</v>
      </c>
      <c r="B168" s="2" t="s">
        <v>786</v>
      </c>
      <c r="C168" s="2" t="s">
        <v>65</v>
      </c>
      <c r="D168" s="7"/>
      <c r="E168" s="20">
        <v>0</v>
      </c>
      <c r="F168" s="2" t="s">
        <v>4391</v>
      </c>
      <c r="G168" s="2" t="s">
        <v>4425</v>
      </c>
      <c r="H168" s="2" t="s">
        <v>2250</v>
      </c>
      <c r="I168" s="2" t="s">
        <v>790</v>
      </c>
    </row>
    <row r="169" spans="1:9" ht="37" customHeight="1">
      <c r="A169" s="2" t="s">
        <v>640</v>
      </c>
      <c r="B169" s="2" t="s">
        <v>792</v>
      </c>
      <c r="C169" s="2" t="s">
        <v>124</v>
      </c>
      <c r="D169" s="7"/>
      <c r="E169" s="20">
        <v>1</v>
      </c>
      <c r="F169" s="2" t="s">
        <v>4391</v>
      </c>
      <c r="G169" s="2" t="s">
        <v>4421</v>
      </c>
      <c r="H169" s="2" t="s">
        <v>2221</v>
      </c>
      <c r="I169" s="2" t="s">
        <v>793</v>
      </c>
    </row>
    <row r="170" spans="1:9" ht="37" customHeight="1">
      <c r="A170" s="2" t="s">
        <v>640</v>
      </c>
      <c r="B170" s="2" t="s">
        <v>792</v>
      </c>
      <c r="C170" s="2" t="s">
        <v>65</v>
      </c>
      <c r="D170" s="7"/>
      <c r="E170" s="20">
        <v>0</v>
      </c>
      <c r="F170" s="2" t="s">
        <v>4391</v>
      </c>
      <c r="G170" s="2" t="s">
        <v>4422</v>
      </c>
      <c r="H170" s="2" t="s">
        <v>2221</v>
      </c>
      <c r="I170" s="2" t="s">
        <v>793</v>
      </c>
    </row>
    <row r="171" spans="1:9" ht="37" customHeight="1">
      <c r="A171" s="2" t="s">
        <v>640</v>
      </c>
      <c r="B171" s="2" t="s">
        <v>794</v>
      </c>
      <c r="C171" s="2" t="s">
        <v>124</v>
      </c>
      <c r="D171" s="7"/>
      <c r="E171" s="20">
        <v>1</v>
      </c>
      <c r="F171" s="2" t="s">
        <v>4391</v>
      </c>
      <c r="G171" s="2" t="s">
        <v>4421</v>
      </c>
      <c r="H171" s="2" t="s">
        <v>2221</v>
      </c>
      <c r="I171" s="2" t="s">
        <v>796</v>
      </c>
    </row>
    <row r="172" spans="1:9" ht="37" customHeight="1">
      <c r="A172" s="2" t="s">
        <v>640</v>
      </c>
      <c r="B172" s="2" t="s">
        <v>794</v>
      </c>
      <c r="C172" s="2" t="s">
        <v>65</v>
      </c>
      <c r="D172" s="7"/>
      <c r="E172" s="20">
        <v>0</v>
      </c>
      <c r="F172" s="2" t="s">
        <v>4391</v>
      </c>
      <c r="G172" s="2" t="s">
        <v>4422</v>
      </c>
      <c r="H172" s="2" t="s">
        <v>2221</v>
      </c>
      <c r="I172" s="2" t="s">
        <v>796</v>
      </c>
    </row>
    <row r="173" spans="1:9" ht="37" customHeight="1">
      <c r="A173" s="2" t="s">
        <v>640</v>
      </c>
      <c r="B173" s="2" t="s">
        <v>797</v>
      </c>
      <c r="C173" s="2" t="s">
        <v>124</v>
      </c>
      <c r="D173" s="7"/>
      <c r="E173" s="20">
        <v>1</v>
      </c>
      <c r="F173" s="2" t="s">
        <v>4391</v>
      </c>
      <c r="G173" s="2" t="s">
        <v>4424</v>
      </c>
      <c r="H173" s="2" t="s">
        <v>2250</v>
      </c>
      <c r="I173" s="2" t="s">
        <v>800</v>
      </c>
    </row>
    <row r="174" spans="1:9" ht="37" customHeight="1">
      <c r="A174" s="2" t="s">
        <v>640</v>
      </c>
      <c r="B174" s="2" t="s">
        <v>797</v>
      </c>
      <c r="C174" s="2" t="s">
        <v>65</v>
      </c>
      <c r="D174" s="7"/>
      <c r="E174" s="20">
        <v>0</v>
      </c>
      <c r="F174" s="2" t="s">
        <v>4391</v>
      </c>
      <c r="G174" s="2" t="s">
        <v>4425</v>
      </c>
      <c r="H174" s="2" t="s">
        <v>2250</v>
      </c>
      <c r="I174" s="2" t="s">
        <v>800</v>
      </c>
    </row>
    <row r="175" spans="1:9" ht="34" customHeight="1">
      <c r="A175" s="2" t="s">
        <v>640</v>
      </c>
      <c r="B175" s="2" t="s">
        <v>805</v>
      </c>
      <c r="C175" s="2" t="s">
        <v>254</v>
      </c>
      <c r="D175" s="7"/>
      <c r="E175" s="7">
        <v>7.0000000000000007E-2</v>
      </c>
      <c r="F175" s="2" t="s">
        <v>4391</v>
      </c>
      <c r="G175" s="2"/>
      <c r="H175" s="2" t="s">
        <v>2296</v>
      </c>
      <c r="I175" s="2" t="s">
        <v>808</v>
      </c>
    </row>
    <row r="176" spans="1:9" ht="34" customHeight="1">
      <c r="A176" s="2" t="s">
        <v>640</v>
      </c>
      <c r="B176" s="2" t="s">
        <v>805</v>
      </c>
      <c r="C176" s="2" t="s">
        <v>124</v>
      </c>
      <c r="D176" s="7"/>
      <c r="E176" s="7" t="s">
        <v>806</v>
      </c>
      <c r="F176" s="2" t="s">
        <v>4391</v>
      </c>
      <c r="G176" s="2"/>
      <c r="H176" s="2" t="s">
        <v>2296</v>
      </c>
      <c r="I176" s="2" t="s">
        <v>808</v>
      </c>
    </row>
    <row r="177" spans="1:9" ht="34" customHeight="1">
      <c r="A177" s="2" t="s">
        <v>640</v>
      </c>
      <c r="B177" s="2" t="s">
        <v>805</v>
      </c>
      <c r="C177" s="2" t="s">
        <v>222</v>
      </c>
      <c r="D177" s="7">
        <v>0.05</v>
      </c>
      <c r="E177" s="7">
        <v>0.04</v>
      </c>
      <c r="F177" s="2" t="s">
        <v>4390</v>
      </c>
      <c r="G177" s="2"/>
      <c r="H177" s="2" t="s">
        <v>2296</v>
      </c>
      <c r="I177" s="2" t="s">
        <v>808</v>
      </c>
    </row>
    <row r="178" spans="1:9" ht="37" customHeight="1">
      <c r="A178" s="2" t="s">
        <v>640</v>
      </c>
      <c r="B178" s="2" t="s">
        <v>810</v>
      </c>
      <c r="C178" s="2" t="s">
        <v>124</v>
      </c>
      <c r="D178" s="7"/>
      <c r="E178" s="20">
        <v>1</v>
      </c>
      <c r="F178" s="2" t="s">
        <v>4391</v>
      </c>
      <c r="G178" s="2" t="s">
        <v>4428</v>
      </c>
      <c r="H178" s="2" t="s">
        <v>2299</v>
      </c>
      <c r="I178" s="2" t="s">
        <v>812</v>
      </c>
    </row>
    <row r="179" spans="1:9" ht="37" customHeight="1">
      <c r="A179" s="2" t="s">
        <v>640</v>
      </c>
      <c r="B179" s="2" t="s">
        <v>810</v>
      </c>
      <c r="C179" s="2" t="s">
        <v>65</v>
      </c>
      <c r="D179" s="7"/>
      <c r="E179" s="20">
        <v>0</v>
      </c>
      <c r="F179" s="2" t="s">
        <v>4391</v>
      </c>
      <c r="G179" s="2" t="s">
        <v>4429</v>
      </c>
      <c r="H179" s="2" t="s">
        <v>2299</v>
      </c>
      <c r="I179" s="2" t="s">
        <v>812</v>
      </c>
    </row>
    <row r="180" spans="1:9" ht="37" customHeight="1">
      <c r="A180" s="2" t="s">
        <v>640</v>
      </c>
      <c r="B180" s="2" t="s">
        <v>814</v>
      </c>
      <c r="C180" s="2" t="s">
        <v>124</v>
      </c>
      <c r="D180" s="7"/>
      <c r="E180" s="20">
        <v>1</v>
      </c>
      <c r="F180" s="2" t="s">
        <v>4391</v>
      </c>
      <c r="G180" s="2" t="s">
        <v>4428</v>
      </c>
      <c r="H180" s="2" t="s">
        <v>2299</v>
      </c>
      <c r="I180" s="2" t="s">
        <v>816</v>
      </c>
    </row>
    <row r="181" spans="1:9" ht="37" customHeight="1">
      <c r="A181" s="2" t="s">
        <v>640</v>
      </c>
      <c r="B181" s="2" t="s">
        <v>814</v>
      </c>
      <c r="C181" s="2" t="s">
        <v>65</v>
      </c>
      <c r="D181" s="7"/>
      <c r="E181" s="20">
        <v>0</v>
      </c>
      <c r="F181" s="2" t="s">
        <v>4391</v>
      </c>
      <c r="G181" s="2" t="s">
        <v>4429</v>
      </c>
      <c r="H181" s="2" t="s">
        <v>2299</v>
      </c>
      <c r="I181" s="2" t="s">
        <v>816</v>
      </c>
    </row>
    <row r="182" spans="1:9" ht="37" customHeight="1">
      <c r="A182" s="2" t="s">
        <v>640</v>
      </c>
      <c r="B182" s="2" t="s">
        <v>817</v>
      </c>
      <c r="C182" s="2" t="s">
        <v>124</v>
      </c>
      <c r="D182" s="7"/>
      <c r="E182" s="20">
        <v>1</v>
      </c>
      <c r="F182" s="2" t="s">
        <v>4391</v>
      </c>
      <c r="G182" s="2" t="s">
        <v>4428</v>
      </c>
      <c r="H182" s="2" t="s">
        <v>2299</v>
      </c>
      <c r="I182" s="2" t="s">
        <v>818</v>
      </c>
    </row>
    <row r="183" spans="1:9" ht="37" customHeight="1">
      <c r="A183" s="2" t="s">
        <v>640</v>
      </c>
      <c r="B183" s="2" t="s">
        <v>817</v>
      </c>
      <c r="C183" s="2" t="s">
        <v>65</v>
      </c>
      <c r="D183" s="7"/>
      <c r="E183" s="20">
        <v>0</v>
      </c>
      <c r="F183" s="2" t="s">
        <v>4391</v>
      </c>
      <c r="G183" s="2" t="s">
        <v>4429</v>
      </c>
      <c r="H183" s="2" t="s">
        <v>2299</v>
      </c>
      <c r="I183" s="2" t="s">
        <v>818</v>
      </c>
    </row>
    <row r="184" spans="1:9" ht="37" customHeight="1">
      <c r="A184" s="2" t="s">
        <v>640</v>
      </c>
      <c r="B184" s="2" t="s">
        <v>819</v>
      </c>
      <c r="C184" s="2" t="s">
        <v>124</v>
      </c>
      <c r="D184" s="7"/>
      <c r="E184" s="20">
        <v>1</v>
      </c>
      <c r="F184" s="2" t="s">
        <v>4391</v>
      </c>
      <c r="G184" s="2" t="s">
        <v>4428</v>
      </c>
      <c r="H184" s="2" t="s">
        <v>2299</v>
      </c>
      <c r="I184" s="2" t="s">
        <v>820</v>
      </c>
    </row>
    <row r="185" spans="1:9" ht="37" customHeight="1">
      <c r="A185" s="2" t="s">
        <v>640</v>
      </c>
      <c r="B185" s="2" t="s">
        <v>819</v>
      </c>
      <c r="C185" s="2" t="s">
        <v>65</v>
      </c>
      <c r="D185" s="7"/>
      <c r="E185" s="20">
        <v>0</v>
      </c>
      <c r="F185" s="2" t="s">
        <v>4391</v>
      </c>
      <c r="G185" s="2" t="s">
        <v>4429</v>
      </c>
      <c r="H185" s="2" t="s">
        <v>2299</v>
      </c>
      <c r="I185" s="2" t="s">
        <v>820</v>
      </c>
    </row>
    <row r="186" spans="1:9" ht="37" customHeight="1">
      <c r="A186" s="2" t="s">
        <v>640</v>
      </c>
      <c r="B186" s="2" t="s">
        <v>821</v>
      </c>
      <c r="C186" s="2" t="s">
        <v>124</v>
      </c>
      <c r="D186" s="7"/>
      <c r="E186" s="20">
        <v>1</v>
      </c>
      <c r="F186" s="2" t="s">
        <v>4391</v>
      </c>
      <c r="G186" s="2" t="s">
        <v>4428</v>
      </c>
      <c r="H186" s="2" t="s">
        <v>2299</v>
      </c>
      <c r="I186" s="2" t="s">
        <v>822</v>
      </c>
    </row>
    <row r="187" spans="1:9" ht="37" customHeight="1">
      <c r="A187" s="2" t="s">
        <v>640</v>
      </c>
      <c r="B187" s="2" t="s">
        <v>821</v>
      </c>
      <c r="C187" s="2" t="s">
        <v>65</v>
      </c>
      <c r="D187" s="7"/>
      <c r="E187" s="20">
        <v>0</v>
      </c>
      <c r="F187" s="2" t="s">
        <v>4391</v>
      </c>
      <c r="G187" s="2" t="s">
        <v>4429</v>
      </c>
      <c r="H187" s="2" t="s">
        <v>2299</v>
      </c>
      <c r="I187" s="2" t="s">
        <v>822</v>
      </c>
    </row>
    <row r="188" spans="1:9" ht="37" customHeight="1">
      <c r="A188" s="2" t="s">
        <v>640</v>
      </c>
      <c r="B188" s="2" t="s">
        <v>824</v>
      </c>
      <c r="C188" s="2" t="s">
        <v>124</v>
      </c>
      <c r="D188" s="7"/>
      <c r="E188" s="20">
        <v>1</v>
      </c>
      <c r="F188" s="2" t="s">
        <v>4391</v>
      </c>
      <c r="G188" s="2" t="s">
        <v>4428</v>
      </c>
      <c r="H188" s="2" t="s">
        <v>2299</v>
      </c>
      <c r="I188" s="2" t="s">
        <v>825</v>
      </c>
    </row>
    <row r="189" spans="1:9" ht="37" customHeight="1">
      <c r="A189" s="2" t="s">
        <v>640</v>
      </c>
      <c r="B189" s="2" t="s">
        <v>824</v>
      </c>
      <c r="C189" s="2" t="s">
        <v>65</v>
      </c>
      <c r="D189" s="7"/>
      <c r="E189" s="20">
        <v>0</v>
      </c>
      <c r="F189" s="2" t="s">
        <v>4391</v>
      </c>
      <c r="G189" s="2" t="s">
        <v>4429</v>
      </c>
      <c r="H189" s="2" t="s">
        <v>2299</v>
      </c>
      <c r="I189" s="2" t="s">
        <v>825</v>
      </c>
    </row>
    <row r="190" spans="1:9" ht="37" customHeight="1">
      <c r="A190" s="2" t="s">
        <v>640</v>
      </c>
      <c r="B190" s="2" t="s">
        <v>826</v>
      </c>
      <c r="C190" s="2" t="s">
        <v>124</v>
      </c>
      <c r="D190" s="7"/>
      <c r="E190" s="20">
        <v>1</v>
      </c>
      <c r="F190" s="2" t="s">
        <v>4391</v>
      </c>
      <c r="G190" s="2" t="s">
        <v>4424</v>
      </c>
      <c r="H190" s="2" t="s">
        <v>2250</v>
      </c>
      <c r="I190" s="2" t="s">
        <v>827</v>
      </c>
    </row>
    <row r="191" spans="1:9" ht="37" customHeight="1">
      <c r="A191" s="2" t="s">
        <v>640</v>
      </c>
      <c r="B191" s="2" t="s">
        <v>826</v>
      </c>
      <c r="C191" s="2" t="s">
        <v>65</v>
      </c>
      <c r="D191" s="7"/>
      <c r="E191" s="20">
        <v>0</v>
      </c>
      <c r="F191" s="2" t="s">
        <v>4391</v>
      </c>
      <c r="G191" s="2" t="s">
        <v>4425</v>
      </c>
      <c r="H191" s="2" t="s">
        <v>2250</v>
      </c>
      <c r="I191" s="2" t="s">
        <v>827</v>
      </c>
    </row>
    <row r="192" spans="1:9" ht="37" customHeight="1">
      <c r="A192" s="2" t="s">
        <v>640</v>
      </c>
      <c r="B192" s="2" t="s">
        <v>828</v>
      </c>
      <c r="C192" s="2" t="s">
        <v>124</v>
      </c>
      <c r="D192" s="7"/>
      <c r="E192" s="20">
        <v>1</v>
      </c>
      <c r="F192" s="2" t="s">
        <v>4391</v>
      </c>
      <c r="G192" s="2" t="s">
        <v>4428</v>
      </c>
      <c r="H192" s="2" t="s">
        <v>2299</v>
      </c>
      <c r="I192" s="2" t="s">
        <v>830</v>
      </c>
    </row>
    <row r="193" spans="1:9" ht="37" customHeight="1">
      <c r="A193" s="2" t="s">
        <v>640</v>
      </c>
      <c r="B193" s="2" t="s">
        <v>828</v>
      </c>
      <c r="C193" s="2" t="s">
        <v>65</v>
      </c>
      <c r="D193" s="7"/>
      <c r="E193" s="20">
        <v>0</v>
      </c>
      <c r="F193" s="2" t="s">
        <v>4391</v>
      </c>
      <c r="G193" s="2" t="s">
        <v>4429</v>
      </c>
      <c r="H193" s="2" t="s">
        <v>2299</v>
      </c>
      <c r="I193" s="2" t="s">
        <v>830</v>
      </c>
    </row>
    <row r="194" spans="1:9" ht="37" customHeight="1">
      <c r="A194" s="2" t="s">
        <v>640</v>
      </c>
      <c r="B194" s="2" t="s">
        <v>838</v>
      </c>
      <c r="C194" s="2" t="s">
        <v>124</v>
      </c>
      <c r="D194" s="7"/>
      <c r="E194" s="20">
        <v>1</v>
      </c>
      <c r="F194" s="2" t="s">
        <v>4391</v>
      </c>
      <c r="G194" s="2" t="s">
        <v>4430</v>
      </c>
      <c r="H194" s="2" t="s">
        <v>2315</v>
      </c>
      <c r="I194" s="2" t="s">
        <v>839</v>
      </c>
    </row>
    <row r="195" spans="1:9" ht="37" customHeight="1">
      <c r="A195" s="2" t="s">
        <v>640</v>
      </c>
      <c r="B195" s="2" t="s">
        <v>838</v>
      </c>
      <c r="C195" s="2" t="s">
        <v>65</v>
      </c>
      <c r="D195" s="7"/>
      <c r="E195" s="20">
        <v>0</v>
      </c>
      <c r="F195" s="2" t="s">
        <v>4391</v>
      </c>
      <c r="G195" s="2" t="s">
        <v>4431</v>
      </c>
      <c r="H195" s="2" t="s">
        <v>2315</v>
      </c>
      <c r="I195" s="2" t="s">
        <v>839</v>
      </c>
    </row>
    <row r="196" spans="1:9" ht="34" customHeight="1">
      <c r="A196" s="2" t="s">
        <v>640</v>
      </c>
      <c r="B196" s="2" t="s">
        <v>841</v>
      </c>
      <c r="C196" s="2" t="s">
        <v>254</v>
      </c>
      <c r="D196" s="7"/>
      <c r="E196" s="7">
        <v>0.08</v>
      </c>
      <c r="F196" s="2" t="s">
        <v>4391</v>
      </c>
      <c r="G196" s="2"/>
      <c r="H196" s="2" t="s">
        <v>2318</v>
      </c>
      <c r="I196" s="2" t="s">
        <v>843</v>
      </c>
    </row>
    <row r="197" spans="1:9" ht="34" customHeight="1">
      <c r="A197" s="2" t="s">
        <v>640</v>
      </c>
      <c r="B197" s="2" t="s">
        <v>841</v>
      </c>
      <c r="C197" s="2" t="s">
        <v>124</v>
      </c>
      <c r="D197" s="7"/>
      <c r="E197" s="20">
        <v>1</v>
      </c>
      <c r="F197" s="2" t="s">
        <v>4391</v>
      </c>
      <c r="G197" s="2" t="s">
        <v>4432</v>
      </c>
      <c r="H197" s="2" t="s">
        <v>2320</v>
      </c>
      <c r="I197" s="2" t="s">
        <v>843</v>
      </c>
    </row>
    <row r="198" spans="1:9" ht="37" customHeight="1">
      <c r="A198" s="2" t="s">
        <v>640</v>
      </c>
      <c r="B198" s="2" t="s">
        <v>841</v>
      </c>
      <c r="C198" s="2" t="s">
        <v>65</v>
      </c>
      <c r="D198" s="7"/>
      <c r="E198" s="20">
        <v>0</v>
      </c>
      <c r="F198" s="2" t="s">
        <v>4391</v>
      </c>
      <c r="G198" s="2" t="s">
        <v>4433</v>
      </c>
      <c r="H198" s="2" t="s">
        <v>2320</v>
      </c>
      <c r="I198" s="2" t="s">
        <v>843</v>
      </c>
    </row>
    <row r="199" spans="1:9" ht="34" customHeight="1">
      <c r="A199" s="2" t="s">
        <v>640</v>
      </c>
      <c r="B199" s="2" t="s">
        <v>841</v>
      </c>
      <c r="C199" s="2" t="s">
        <v>222</v>
      </c>
      <c r="D199" s="7">
        <v>0.01</v>
      </c>
      <c r="E199" s="7">
        <v>0.08</v>
      </c>
      <c r="F199" s="2" t="s">
        <v>4390</v>
      </c>
      <c r="G199" s="2"/>
      <c r="H199" s="2" t="s">
        <v>2318</v>
      </c>
      <c r="I199" s="2" t="s">
        <v>843</v>
      </c>
    </row>
    <row r="200" spans="1:9" ht="37" customHeight="1">
      <c r="A200" s="2" t="s">
        <v>640</v>
      </c>
      <c r="B200" s="2" t="s">
        <v>845</v>
      </c>
      <c r="C200" s="2" t="s">
        <v>124</v>
      </c>
      <c r="D200" s="7"/>
      <c r="E200" s="20">
        <v>1</v>
      </c>
      <c r="F200" s="2" t="s">
        <v>4391</v>
      </c>
      <c r="G200" s="2" t="s">
        <v>4434</v>
      </c>
      <c r="H200" s="2" t="s">
        <v>2325</v>
      </c>
      <c r="I200" s="2" t="s">
        <v>848</v>
      </c>
    </row>
    <row r="201" spans="1:9" ht="37" customHeight="1">
      <c r="A201" s="2" t="s">
        <v>640</v>
      </c>
      <c r="B201" s="2" t="s">
        <v>845</v>
      </c>
      <c r="C201" s="2" t="s">
        <v>65</v>
      </c>
      <c r="D201" s="7"/>
      <c r="E201" s="20">
        <v>0</v>
      </c>
      <c r="F201" s="2" t="s">
        <v>4391</v>
      </c>
      <c r="G201" s="2" t="s">
        <v>4435</v>
      </c>
      <c r="H201" s="2" t="s">
        <v>2325</v>
      </c>
      <c r="I201" s="2" t="s">
        <v>848</v>
      </c>
    </row>
    <row r="202" spans="1:9" ht="37" customHeight="1">
      <c r="A202" s="2" t="s">
        <v>640</v>
      </c>
      <c r="B202" s="2" t="s">
        <v>851</v>
      </c>
      <c r="C202" s="2" t="s">
        <v>65</v>
      </c>
      <c r="D202" s="7"/>
      <c r="E202" s="20">
        <v>0</v>
      </c>
      <c r="F202" s="2" t="s">
        <v>4391</v>
      </c>
      <c r="G202" s="2" t="s">
        <v>4435</v>
      </c>
      <c r="H202" s="2" t="s">
        <v>2325</v>
      </c>
      <c r="I202" s="2" t="s">
        <v>853</v>
      </c>
    </row>
    <row r="203" spans="1:9" ht="34" customHeight="1">
      <c r="A203" s="2" t="s">
        <v>640</v>
      </c>
      <c r="B203" s="2" t="s">
        <v>856</v>
      </c>
      <c r="C203" s="2" t="s">
        <v>1757</v>
      </c>
      <c r="D203" s="7"/>
      <c r="E203" s="7">
        <v>0.24</v>
      </c>
      <c r="F203" s="2" t="s">
        <v>4417</v>
      </c>
      <c r="G203" s="2"/>
      <c r="H203" s="2" t="s">
        <v>2332</v>
      </c>
      <c r="I203" s="2" t="s">
        <v>860</v>
      </c>
    </row>
    <row r="204" spans="1:9" ht="34" customHeight="1">
      <c r="A204" s="2" t="s">
        <v>640</v>
      </c>
      <c r="B204" s="2" t="s">
        <v>856</v>
      </c>
      <c r="C204" s="2" t="s">
        <v>254</v>
      </c>
      <c r="D204" s="7"/>
      <c r="E204" s="7">
        <v>0.04</v>
      </c>
      <c r="F204" s="2" t="s">
        <v>4417</v>
      </c>
      <c r="G204" s="2"/>
      <c r="H204" s="2" t="s">
        <v>2332</v>
      </c>
      <c r="I204" s="2" t="s">
        <v>860</v>
      </c>
    </row>
    <row r="205" spans="1:9" ht="34" customHeight="1">
      <c r="A205" s="2" t="s">
        <v>640</v>
      </c>
      <c r="B205" s="2" t="s">
        <v>856</v>
      </c>
      <c r="C205" s="2" t="s">
        <v>124</v>
      </c>
      <c r="D205" s="7"/>
      <c r="E205" s="20">
        <v>1</v>
      </c>
      <c r="F205" s="2" t="s">
        <v>4417</v>
      </c>
      <c r="G205" s="2" t="s">
        <v>4436</v>
      </c>
      <c r="H205" s="2" t="s">
        <v>2334</v>
      </c>
      <c r="I205" s="2" t="s">
        <v>860</v>
      </c>
    </row>
    <row r="206" spans="1:9" ht="37" customHeight="1">
      <c r="A206" s="2" t="s">
        <v>640</v>
      </c>
      <c r="B206" s="2" t="s">
        <v>856</v>
      </c>
      <c r="C206" s="2" t="s">
        <v>65</v>
      </c>
      <c r="D206" s="7"/>
      <c r="E206" s="20">
        <v>0</v>
      </c>
      <c r="F206" s="2" t="s">
        <v>4417</v>
      </c>
      <c r="G206" s="2" t="s">
        <v>4437</v>
      </c>
      <c r="H206" s="2" t="s">
        <v>2334</v>
      </c>
      <c r="I206" s="2" t="s">
        <v>860</v>
      </c>
    </row>
    <row r="207" spans="1:9" ht="34" customHeight="1">
      <c r="A207" s="2" t="s">
        <v>640</v>
      </c>
      <c r="B207" s="2" t="s">
        <v>856</v>
      </c>
      <c r="C207" s="2" t="s">
        <v>222</v>
      </c>
      <c r="D207" s="7"/>
      <c r="E207" s="7">
        <v>1.4999999999999999E-2</v>
      </c>
      <c r="F207" s="2" t="s">
        <v>4417</v>
      </c>
      <c r="G207" s="2"/>
      <c r="H207" s="2" t="s">
        <v>2332</v>
      </c>
      <c r="I207" s="2" t="s">
        <v>860</v>
      </c>
    </row>
    <row r="208" spans="1:9" ht="34" customHeight="1">
      <c r="A208" s="2" t="s">
        <v>640</v>
      </c>
      <c r="B208" s="2" t="s">
        <v>864</v>
      </c>
      <c r="C208" s="2" t="s">
        <v>1757</v>
      </c>
      <c r="D208" s="7"/>
      <c r="E208" s="7">
        <v>0.37</v>
      </c>
      <c r="F208" s="2" t="s">
        <v>4391</v>
      </c>
      <c r="G208" s="2"/>
      <c r="H208" s="2" t="s">
        <v>2337</v>
      </c>
      <c r="I208" s="2" t="s">
        <v>867</v>
      </c>
    </row>
    <row r="209" spans="1:9" ht="34" customHeight="1">
      <c r="A209" s="2" t="s">
        <v>640</v>
      </c>
      <c r="B209" s="2" t="s">
        <v>864</v>
      </c>
      <c r="C209" s="2" t="s">
        <v>124</v>
      </c>
      <c r="D209" s="7"/>
      <c r="E209" s="7">
        <v>4</v>
      </c>
      <c r="F209" s="2" t="s">
        <v>4391</v>
      </c>
      <c r="G209" s="2"/>
      <c r="H209" s="2" t="s">
        <v>2339</v>
      </c>
      <c r="I209" s="2" t="s">
        <v>867</v>
      </c>
    </row>
    <row r="210" spans="1:9" ht="34" customHeight="1">
      <c r="A210" s="2" t="s">
        <v>640</v>
      </c>
      <c r="B210" s="2" t="s">
        <v>864</v>
      </c>
      <c r="C210" s="2" t="s">
        <v>222</v>
      </c>
      <c r="D210" s="7"/>
      <c r="E210" s="7">
        <v>0.05</v>
      </c>
      <c r="F210" s="2" t="s">
        <v>4391</v>
      </c>
      <c r="G210" s="2"/>
      <c r="H210" s="2" t="s">
        <v>2337</v>
      </c>
      <c r="I210" s="2" t="s">
        <v>867</v>
      </c>
    </row>
    <row r="211" spans="1:9" ht="37" customHeight="1">
      <c r="A211" s="2" t="s">
        <v>869</v>
      </c>
      <c r="B211" s="2" t="s">
        <v>870</v>
      </c>
      <c r="C211" s="2" t="s">
        <v>124</v>
      </c>
      <c r="D211" s="7"/>
      <c r="E211" s="20">
        <v>1</v>
      </c>
      <c r="F211" s="2" t="s">
        <v>4391</v>
      </c>
      <c r="G211" s="2" t="s">
        <v>4428</v>
      </c>
      <c r="H211" s="2" t="s">
        <v>2299</v>
      </c>
      <c r="I211" s="2" t="s">
        <v>872</v>
      </c>
    </row>
    <row r="212" spans="1:9" ht="37" customHeight="1">
      <c r="A212" s="2" t="s">
        <v>869</v>
      </c>
      <c r="B212" s="2" t="s">
        <v>870</v>
      </c>
      <c r="C212" s="2" t="s">
        <v>65</v>
      </c>
      <c r="D212" s="7"/>
      <c r="E212" s="20">
        <v>0</v>
      </c>
      <c r="F212" s="2" t="s">
        <v>4391</v>
      </c>
      <c r="G212" s="2" t="s">
        <v>4429</v>
      </c>
      <c r="H212" s="2" t="s">
        <v>2299</v>
      </c>
      <c r="I212" s="2" t="s">
        <v>872</v>
      </c>
    </row>
    <row r="213" spans="1:9" ht="34" customHeight="1">
      <c r="A213" s="2" t="s">
        <v>874</v>
      </c>
      <c r="B213" s="2" t="s">
        <v>875</v>
      </c>
      <c r="C213" s="2" t="s">
        <v>124</v>
      </c>
      <c r="D213" s="7"/>
      <c r="E213" s="20">
        <v>1</v>
      </c>
      <c r="F213" s="2" t="s">
        <v>4391</v>
      </c>
      <c r="G213" s="2" t="s">
        <v>4438</v>
      </c>
      <c r="H213" s="2" t="s">
        <v>2346</v>
      </c>
      <c r="I213" s="2" t="s">
        <v>878</v>
      </c>
    </row>
    <row r="214" spans="1:9" ht="34" customHeight="1">
      <c r="A214" s="2" t="s">
        <v>874</v>
      </c>
      <c r="B214" s="2" t="s">
        <v>875</v>
      </c>
      <c r="C214" s="2" t="s">
        <v>65</v>
      </c>
      <c r="D214" s="7"/>
      <c r="E214" s="20">
        <v>0</v>
      </c>
      <c r="F214" s="2" t="s">
        <v>4391</v>
      </c>
      <c r="G214" s="2" t="s">
        <v>4439</v>
      </c>
      <c r="H214" s="2" t="s">
        <v>2346</v>
      </c>
      <c r="I214" s="2" t="s">
        <v>878</v>
      </c>
    </row>
    <row r="215" spans="1:9" ht="34" customHeight="1">
      <c r="A215" s="2" t="s">
        <v>874</v>
      </c>
      <c r="B215" s="2" t="s">
        <v>882</v>
      </c>
      <c r="C215" s="2" t="s">
        <v>254</v>
      </c>
      <c r="D215" s="7">
        <v>0.21</v>
      </c>
      <c r="E215" s="7">
        <v>0.17</v>
      </c>
      <c r="F215" s="2" t="s">
        <v>4390</v>
      </c>
      <c r="G215" s="2"/>
      <c r="H215" s="2" t="s">
        <v>2350</v>
      </c>
      <c r="I215" s="2" t="s">
        <v>886</v>
      </c>
    </row>
    <row r="216" spans="1:9" ht="34" customHeight="1">
      <c r="A216" s="2" t="s">
        <v>874</v>
      </c>
      <c r="B216" s="2" t="s">
        <v>882</v>
      </c>
      <c r="C216" s="2" t="s">
        <v>124</v>
      </c>
      <c r="D216" s="7"/>
      <c r="E216" s="7">
        <v>1.7</v>
      </c>
      <c r="F216" s="2" t="s">
        <v>4391</v>
      </c>
      <c r="G216" s="2"/>
      <c r="H216" s="2" t="s">
        <v>2350</v>
      </c>
      <c r="I216" s="2" t="s">
        <v>886</v>
      </c>
    </row>
    <row r="217" spans="1:9" ht="34" customHeight="1">
      <c r="A217" s="2" t="s">
        <v>874</v>
      </c>
      <c r="B217" s="2" t="s">
        <v>882</v>
      </c>
      <c r="C217" s="2" t="s">
        <v>65</v>
      </c>
      <c r="D217" s="7"/>
      <c r="E217" s="7">
        <v>0.4</v>
      </c>
      <c r="F217" s="2" t="s">
        <v>4391</v>
      </c>
      <c r="G217" s="2"/>
      <c r="H217" s="2" t="s">
        <v>2350</v>
      </c>
      <c r="I217" s="2" t="s">
        <v>886</v>
      </c>
    </row>
    <row r="218" spans="1:9" ht="34" customHeight="1">
      <c r="A218" s="2" t="s">
        <v>874</v>
      </c>
      <c r="B218" s="2" t="s">
        <v>882</v>
      </c>
      <c r="C218" s="2" t="s">
        <v>222</v>
      </c>
      <c r="D218" s="7">
        <v>0.32</v>
      </c>
      <c r="E218" s="7">
        <v>0.17</v>
      </c>
      <c r="F218" s="2" t="s">
        <v>4390</v>
      </c>
      <c r="G218" s="2"/>
      <c r="H218" s="2" t="s">
        <v>2353</v>
      </c>
      <c r="I218" s="2" t="s">
        <v>886</v>
      </c>
    </row>
    <row r="219" spans="1:9" ht="34" customHeight="1">
      <c r="A219" s="2" t="s">
        <v>874</v>
      </c>
      <c r="B219" s="2" t="s">
        <v>888</v>
      </c>
      <c r="C219" s="2" t="s">
        <v>124</v>
      </c>
      <c r="D219" s="7"/>
      <c r="E219" s="20">
        <v>1</v>
      </c>
      <c r="F219" s="2" t="s">
        <v>4391</v>
      </c>
      <c r="G219" s="2" t="s">
        <v>4440</v>
      </c>
      <c r="H219" s="2" t="s">
        <v>2356</v>
      </c>
      <c r="I219" s="2" t="s">
        <v>890</v>
      </c>
    </row>
    <row r="220" spans="1:9" ht="37" customHeight="1">
      <c r="A220" s="2" t="s">
        <v>874</v>
      </c>
      <c r="B220" s="2" t="s">
        <v>888</v>
      </c>
      <c r="C220" s="2" t="s">
        <v>65</v>
      </c>
      <c r="D220" s="7"/>
      <c r="E220" s="20">
        <v>0</v>
      </c>
      <c r="F220" s="2" t="s">
        <v>4391</v>
      </c>
      <c r="G220" s="2" t="s">
        <v>4441</v>
      </c>
      <c r="H220" s="2" t="s">
        <v>2356</v>
      </c>
      <c r="I220" s="2" t="s">
        <v>890</v>
      </c>
    </row>
    <row r="221" spans="1:9" ht="34" customHeight="1">
      <c r="A221" s="2" t="s">
        <v>874</v>
      </c>
      <c r="B221" s="2" t="s">
        <v>893</v>
      </c>
      <c r="C221" s="2" t="s">
        <v>1757</v>
      </c>
      <c r="D221" s="7">
        <v>2.96</v>
      </c>
      <c r="E221" s="7">
        <v>2.9670000000000001</v>
      </c>
      <c r="F221" s="2" t="s">
        <v>4390</v>
      </c>
      <c r="G221" s="2"/>
      <c r="H221" s="2" t="s">
        <v>2359</v>
      </c>
      <c r="I221" s="2" t="s">
        <v>898</v>
      </c>
    </row>
    <row r="222" spans="1:9" ht="34" customHeight="1">
      <c r="A222" s="2" t="s">
        <v>874</v>
      </c>
      <c r="B222" s="2" t="s">
        <v>893</v>
      </c>
      <c r="C222" s="2" t="s">
        <v>254</v>
      </c>
      <c r="D222" s="7">
        <v>1.25</v>
      </c>
      <c r="E222" s="7">
        <v>1.163</v>
      </c>
      <c r="F222" s="2" t="s">
        <v>4390</v>
      </c>
      <c r="G222" s="2"/>
      <c r="H222" s="2" t="s">
        <v>2359</v>
      </c>
      <c r="I222" s="2" t="s">
        <v>898</v>
      </c>
    </row>
    <row r="223" spans="1:9" ht="34" customHeight="1">
      <c r="A223" s="2" t="s">
        <v>874</v>
      </c>
      <c r="B223" s="2" t="s">
        <v>893</v>
      </c>
      <c r="C223" s="2" t="s">
        <v>124</v>
      </c>
      <c r="D223" s="7"/>
      <c r="E223" s="7">
        <v>1.431</v>
      </c>
      <c r="F223" s="2" t="s">
        <v>4391</v>
      </c>
      <c r="G223" s="2"/>
      <c r="H223" s="2" t="s">
        <v>2359</v>
      </c>
      <c r="I223" s="2" t="s">
        <v>898</v>
      </c>
    </row>
    <row r="224" spans="1:9" ht="34" customHeight="1">
      <c r="A224" s="2" t="s">
        <v>874</v>
      </c>
      <c r="B224" s="2" t="s">
        <v>893</v>
      </c>
      <c r="C224" s="2" t="s">
        <v>65</v>
      </c>
      <c r="D224" s="7"/>
      <c r="E224" s="7">
        <v>-2.5999999999999999E-2</v>
      </c>
      <c r="F224" s="2" t="s">
        <v>4391</v>
      </c>
      <c r="G224" s="2"/>
      <c r="H224" s="2" t="s">
        <v>2359</v>
      </c>
      <c r="I224" s="2" t="s">
        <v>898</v>
      </c>
    </row>
    <row r="225" spans="1:9" ht="34" customHeight="1">
      <c r="A225" s="2" t="s">
        <v>874</v>
      </c>
      <c r="B225" s="2" t="s">
        <v>893</v>
      </c>
      <c r="C225" s="2" t="s">
        <v>222</v>
      </c>
      <c r="D225" s="7">
        <v>5</v>
      </c>
      <c r="E225" s="7">
        <v>3.0539999999999998</v>
      </c>
      <c r="F225" s="2" t="s">
        <v>4390</v>
      </c>
      <c r="G225" s="2"/>
      <c r="H225" s="2" t="s">
        <v>2359</v>
      </c>
      <c r="I225" s="2" t="s">
        <v>898</v>
      </c>
    </row>
    <row r="226" spans="1:9" ht="34" customHeight="1">
      <c r="A226" s="2" t="s">
        <v>874</v>
      </c>
      <c r="B226" s="2" t="s">
        <v>918</v>
      </c>
      <c r="C226" s="2" t="s">
        <v>254</v>
      </c>
      <c r="D226" s="7"/>
      <c r="E226" s="20">
        <v>1.98</v>
      </c>
      <c r="F226" s="2" t="s">
        <v>4391</v>
      </c>
      <c r="G226" s="2" t="s">
        <v>4442</v>
      </c>
      <c r="H226" s="2" t="s">
        <v>2374</v>
      </c>
      <c r="I226" s="2" t="s">
        <v>923</v>
      </c>
    </row>
    <row r="227" spans="1:9" ht="34" customHeight="1">
      <c r="A227" s="2" t="s">
        <v>874</v>
      </c>
      <c r="B227" s="2" t="s">
        <v>927</v>
      </c>
      <c r="C227" s="2" t="s">
        <v>254</v>
      </c>
      <c r="D227" s="7"/>
      <c r="E227" s="20">
        <v>2.17</v>
      </c>
      <c r="F227" s="2" t="s">
        <v>4391</v>
      </c>
      <c r="G227" s="2" t="s">
        <v>4443</v>
      </c>
      <c r="H227" s="2" t="s">
        <v>2374</v>
      </c>
      <c r="I227" s="2" t="s">
        <v>929</v>
      </c>
    </row>
    <row r="228" spans="1:9" ht="34" customHeight="1">
      <c r="A228" s="2" t="s">
        <v>874</v>
      </c>
      <c r="B228" s="2" t="s">
        <v>937</v>
      </c>
      <c r="C228" s="2" t="s">
        <v>1757</v>
      </c>
      <c r="D228" s="7"/>
      <c r="E228" s="7">
        <v>0.25</v>
      </c>
      <c r="F228" s="2" t="s">
        <v>4391</v>
      </c>
      <c r="G228" s="2"/>
      <c r="H228" s="2" t="s">
        <v>2384</v>
      </c>
      <c r="I228" s="2" t="s">
        <v>941</v>
      </c>
    </row>
    <row r="229" spans="1:9" ht="34" customHeight="1">
      <c r="A229" s="2" t="s">
        <v>874</v>
      </c>
      <c r="B229" s="2" t="s">
        <v>967</v>
      </c>
      <c r="C229" s="2" t="s">
        <v>254</v>
      </c>
      <c r="D229" s="7">
        <v>0.1</v>
      </c>
      <c r="E229" s="7" t="s">
        <v>968</v>
      </c>
      <c r="F229" s="2" t="s">
        <v>4390</v>
      </c>
      <c r="G229" s="2"/>
      <c r="H229" s="2" t="s">
        <v>2397</v>
      </c>
      <c r="I229" s="2" t="s">
        <v>973</v>
      </c>
    </row>
    <row r="230" spans="1:9" ht="34" customHeight="1">
      <c r="A230" s="2" t="s">
        <v>874</v>
      </c>
      <c r="B230" s="2" t="s">
        <v>967</v>
      </c>
      <c r="C230" s="2" t="s">
        <v>124</v>
      </c>
      <c r="D230" s="7"/>
      <c r="E230" s="7" t="s">
        <v>969</v>
      </c>
      <c r="F230" s="2" t="s">
        <v>4391</v>
      </c>
      <c r="G230" s="2"/>
      <c r="H230" s="2" t="s">
        <v>2397</v>
      </c>
      <c r="I230" s="2" t="s">
        <v>973</v>
      </c>
    </row>
    <row r="231" spans="1:9" ht="34" customHeight="1">
      <c r="A231" s="2" t="s">
        <v>874</v>
      </c>
      <c r="B231" s="2" t="s">
        <v>967</v>
      </c>
      <c r="C231" s="2" t="s">
        <v>65</v>
      </c>
      <c r="D231" s="7"/>
      <c r="E231" s="20">
        <v>0</v>
      </c>
      <c r="F231" s="2" t="s">
        <v>4391</v>
      </c>
      <c r="G231" s="2" t="s">
        <v>4444</v>
      </c>
      <c r="H231" s="2" t="s">
        <v>2400</v>
      </c>
      <c r="I231" s="2" t="s">
        <v>973</v>
      </c>
    </row>
    <row r="232" spans="1:9" ht="34" customHeight="1">
      <c r="A232" s="2" t="s">
        <v>874</v>
      </c>
      <c r="B232" s="2" t="s">
        <v>967</v>
      </c>
      <c r="C232" s="2" t="s">
        <v>222</v>
      </c>
      <c r="D232" s="7">
        <v>2.5000000000000001E-2</v>
      </c>
      <c r="E232" s="7" t="s">
        <v>970</v>
      </c>
      <c r="F232" s="2" t="s">
        <v>4390</v>
      </c>
      <c r="G232" s="2"/>
      <c r="H232" s="2" t="s">
        <v>2397</v>
      </c>
      <c r="I232" s="2" t="s">
        <v>973</v>
      </c>
    </row>
    <row r="233" spans="1:9" ht="34" customHeight="1">
      <c r="A233" s="2" t="s">
        <v>977</v>
      </c>
      <c r="B233" s="2" t="s">
        <v>990</v>
      </c>
      <c r="C233" s="2" t="s">
        <v>124</v>
      </c>
      <c r="D233" s="7"/>
      <c r="E233" s="20">
        <v>1</v>
      </c>
      <c r="F233" s="2" t="s">
        <v>4391</v>
      </c>
      <c r="G233" s="2" t="s">
        <v>4440</v>
      </c>
      <c r="H233" s="2" t="s">
        <v>2412</v>
      </c>
      <c r="I233" s="2" t="s">
        <v>991</v>
      </c>
    </row>
    <row r="234" spans="1:9" ht="37" customHeight="1">
      <c r="A234" s="2" t="s">
        <v>977</v>
      </c>
      <c r="B234" s="2" t="s">
        <v>990</v>
      </c>
      <c r="C234" s="2" t="s">
        <v>65</v>
      </c>
      <c r="D234" s="7"/>
      <c r="E234" s="20">
        <v>0</v>
      </c>
      <c r="F234" s="2" t="s">
        <v>4391</v>
      </c>
      <c r="G234" s="2" t="s">
        <v>4441</v>
      </c>
      <c r="H234" s="2" t="s">
        <v>2412</v>
      </c>
      <c r="I234" s="2" t="s">
        <v>991</v>
      </c>
    </row>
    <row r="235" spans="1:9" ht="34" customHeight="1">
      <c r="A235" s="2" t="s">
        <v>977</v>
      </c>
      <c r="B235" s="2" t="s">
        <v>994</v>
      </c>
      <c r="C235" s="2" t="s">
        <v>124</v>
      </c>
      <c r="D235" s="7"/>
      <c r="E235" s="20">
        <v>1</v>
      </c>
      <c r="F235" s="2" t="s">
        <v>4391</v>
      </c>
      <c r="G235" s="2" t="s">
        <v>4440</v>
      </c>
      <c r="H235" s="2" t="s">
        <v>2412</v>
      </c>
      <c r="I235" s="2" t="s">
        <v>995</v>
      </c>
    </row>
    <row r="236" spans="1:9" ht="37" customHeight="1">
      <c r="A236" s="2" t="s">
        <v>977</v>
      </c>
      <c r="B236" s="2" t="s">
        <v>994</v>
      </c>
      <c r="C236" s="2" t="s">
        <v>65</v>
      </c>
      <c r="D236" s="7"/>
      <c r="E236" s="20">
        <v>0</v>
      </c>
      <c r="F236" s="2" t="s">
        <v>4391</v>
      </c>
      <c r="G236" s="2" t="s">
        <v>4441</v>
      </c>
      <c r="H236" s="2" t="s">
        <v>2412</v>
      </c>
      <c r="I236" s="2" t="s">
        <v>995</v>
      </c>
    </row>
    <row r="237" spans="1:9" ht="34" customHeight="1">
      <c r="A237" s="2" t="s">
        <v>977</v>
      </c>
      <c r="B237" s="2" t="s">
        <v>997</v>
      </c>
      <c r="C237" s="2" t="s">
        <v>124</v>
      </c>
      <c r="D237" s="7"/>
      <c r="E237" s="20">
        <v>1</v>
      </c>
      <c r="F237" s="2" t="s">
        <v>4391</v>
      </c>
      <c r="G237" s="2" t="s">
        <v>4440</v>
      </c>
      <c r="H237" s="2" t="s">
        <v>2415</v>
      </c>
      <c r="I237" s="2" t="s">
        <v>999</v>
      </c>
    </row>
    <row r="238" spans="1:9" ht="37" customHeight="1">
      <c r="A238" s="2" t="s">
        <v>977</v>
      </c>
      <c r="B238" s="2" t="s">
        <v>997</v>
      </c>
      <c r="C238" s="2" t="s">
        <v>65</v>
      </c>
      <c r="D238" s="7"/>
      <c r="E238" s="20">
        <v>0</v>
      </c>
      <c r="F238" s="2" t="s">
        <v>4391</v>
      </c>
      <c r="G238" s="2" t="s">
        <v>4441</v>
      </c>
      <c r="H238" s="2" t="s">
        <v>2415</v>
      </c>
      <c r="I238" s="2" t="s">
        <v>999</v>
      </c>
    </row>
    <row r="239" spans="1:9" ht="34" customHeight="1">
      <c r="A239" s="2" t="s">
        <v>977</v>
      </c>
      <c r="B239" s="2" t="s">
        <v>1002</v>
      </c>
      <c r="C239" s="2" t="s">
        <v>124</v>
      </c>
      <c r="D239" s="7"/>
      <c r="E239" s="20">
        <v>1</v>
      </c>
      <c r="F239" s="2" t="s">
        <v>4391</v>
      </c>
      <c r="G239" s="2" t="s">
        <v>4440</v>
      </c>
      <c r="H239" s="2" t="s">
        <v>2415</v>
      </c>
      <c r="I239" s="2" t="s">
        <v>1003</v>
      </c>
    </row>
    <row r="240" spans="1:9" ht="37" customHeight="1">
      <c r="A240" s="2" t="s">
        <v>977</v>
      </c>
      <c r="B240" s="2" t="s">
        <v>1002</v>
      </c>
      <c r="C240" s="2" t="s">
        <v>65</v>
      </c>
      <c r="D240" s="7"/>
      <c r="E240" s="20">
        <v>0</v>
      </c>
      <c r="F240" s="2" t="s">
        <v>4391</v>
      </c>
      <c r="G240" s="2" t="s">
        <v>4441</v>
      </c>
      <c r="H240" s="2" t="s">
        <v>2415</v>
      </c>
      <c r="I240" s="2" t="s">
        <v>1003</v>
      </c>
    </row>
    <row r="241" spans="1:9" ht="34" customHeight="1">
      <c r="A241" s="2" t="s">
        <v>977</v>
      </c>
      <c r="B241" s="2" t="s">
        <v>1005</v>
      </c>
      <c r="C241" s="2" t="s">
        <v>1757</v>
      </c>
      <c r="D241" s="7">
        <v>2.25</v>
      </c>
      <c r="E241" s="7">
        <v>2.2829999999999999</v>
      </c>
      <c r="F241" s="2" t="s">
        <v>4390</v>
      </c>
      <c r="G241" s="2"/>
      <c r="H241" s="2" t="s">
        <v>2420</v>
      </c>
      <c r="I241" s="2" t="s">
        <v>1008</v>
      </c>
    </row>
    <row r="242" spans="1:9" ht="34" customHeight="1">
      <c r="A242" s="2" t="s">
        <v>977</v>
      </c>
      <c r="B242" s="2" t="s">
        <v>1005</v>
      </c>
      <c r="C242" s="2" t="s">
        <v>254</v>
      </c>
      <c r="D242" s="7">
        <v>0.7</v>
      </c>
      <c r="E242" s="7">
        <v>0.71319999999999995</v>
      </c>
      <c r="F242" s="2" t="s">
        <v>4390</v>
      </c>
      <c r="G242" s="2"/>
      <c r="H242" s="2" t="s">
        <v>2420</v>
      </c>
      <c r="I242" s="2" t="s">
        <v>1008</v>
      </c>
    </row>
    <row r="243" spans="1:9" ht="34" customHeight="1">
      <c r="A243" s="2" t="s">
        <v>977</v>
      </c>
      <c r="B243" s="2" t="s">
        <v>1005</v>
      </c>
      <c r="C243" s="2" t="s">
        <v>124</v>
      </c>
      <c r="D243" s="7"/>
      <c r="E243" s="7">
        <v>1</v>
      </c>
      <c r="F243" s="2" t="s">
        <v>4391</v>
      </c>
      <c r="G243" s="2"/>
      <c r="H243" s="2" t="s">
        <v>2420</v>
      </c>
      <c r="I243" s="2" t="s">
        <v>1008</v>
      </c>
    </row>
    <row r="244" spans="1:9" ht="34" customHeight="1">
      <c r="A244" s="2" t="s">
        <v>977</v>
      </c>
      <c r="B244" s="2" t="s">
        <v>1005</v>
      </c>
      <c r="C244" s="2" t="s">
        <v>65</v>
      </c>
      <c r="D244" s="7"/>
      <c r="E244" s="7">
        <v>0</v>
      </c>
      <c r="F244" s="2" t="s">
        <v>4391</v>
      </c>
      <c r="G244" s="2"/>
      <c r="H244" s="2" t="s">
        <v>2420</v>
      </c>
      <c r="I244" s="2" t="s">
        <v>1008</v>
      </c>
    </row>
    <row r="245" spans="1:9" ht="34" customHeight="1">
      <c r="A245" s="2" t="s">
        <v>977</v>
      </c>
      <c r="B245" s="2" t="s">
        <v>1005</v>
      </c>
      <c r="C245" s="2" t="s">
        <v>222</v>
      </c>
      <c r="D245" s="7">
        <v>2</v>
      </c>
      <c r="E245" s="7">
        <v>0.4022</v>
      </c>
      <c r="F245" s="2" t="s">
        <v>4390</v>
      </c>
      <c r="G245" s="2"/>
      <c r="H245" s="2" t="s">
        <v>2420</v>
      </c>
      <c r="I245" s="2" t="s">
        <v>1008</v>
      </c>
    </row>
    <row r="246" spans="1:9" ht="34" customHeight="1">
      <c r="A246" s="2" t="s">
        <v>977</v>
      </c>
      <c r="B246" s="2" t="s">
        <v>1011</v>
      </c>
      <c r="C246" s="2" t="s">
        <v>124</v>
      </c>
      <c r="D246" s="7"/>
      <c r="E246" s="20">
        <v>1</v>
      </c>
      <c r="F246" s="2" t="s">
        <v>4391</v>
      </c>
      <c r="G246" s="2" t="s">
        <v>4440</v>
      </c>
      <c r="H246" s="2" t="s">
        <v>2425</v>
      </c>
      <c r="I246" s="2" t="s">
        <v>1013</v>
      </c>
    </row>
    <row r="247" spans="1:9" ht="37" customHeight="1">
      <c r="A247" s="2" t="s">
        <v>977</v>
      </c>
      <c r="B247" s="2" t="s">
        <v>1011</v>
      </c>
      <c r="C247" s="2" t="s">
        <v>65</v>
      </c>
      <c r="D247" s="7"/>
      <c r="E247" s="20">
        <v>0</v>
      </c>
      <c r="F247" s="2" t="s">
        <v>4391</v>
      </c>
      <c r="G247" s="2" t="s">
        <v>4441</v>
      </c>
      <c r="H247" s="2" t="s">
        <v>2425</v>
      </c>
      <c r="I247" s="2" t="s">
        <v>1013</v>
      </c>
    </row>
    <row r="248" spans="1:9" ht="34" customHeight="1">
      <c r="A248" s="2" t="s">
        <v>1021</v>
      </c>
      <c r="B248" s="2" t="s">
        <v>1022</v>
      </c>
      <c r="C248" s="2" t="s">
        <v>124</v>
      </c>
      <c r="D248" s="7"/>
      <c r="E248" s="20">
        <v>1</v>
      </c>
      <c r="F248" s="2" t="s">
        <v>4391</v>
      </c>
      <c r="G248" s="2" t="s">
        <v>4445</v>
      </c>
      <c r="H248" s="2" t="s">
        <v>2346</v>
      </c>
      <c r="I248" s="2" t="s">
        <v>1026</v>
      </c>
    </row>
    <row r="249" spans="1:9" ht="34" customHeight="1">
      <c r="A249" s="2" t="s">
        <v>1021</v>
      </c>
      <c r="B249" s="2" t="s">
        <v>1022</v>
      </c>
      <c r="C249" s="2" t="s">
        <v>65</v>
      </c>
      <c r="D249" s="7"/>
      <c r="E249" s="20">
        <v>0</v>
      </c>
      <c r="F249" s="2" t="s">
        <v>4391</v>
      </c>
      <c r="G249" s="2" t="s">
        <v>4446</v>
      </c>
      <c r="H249" s="2" t="s">
        <v>2346</v>
      </c>
      <c r="I249" s="2" t="s">
        <v>1026</v>
      </c>
    </row>
    <row r="250" spans="1:9" ht="34" customHeight="1">
      <c r="A250" s="2" t="s">
        <v>1021</v>
      </c>
      <c r="B250" s="2" t="s">
        <v>1036</v>
      </c>
      <c r="C250" s="2" t="s">
        <v>124</v>
      </c>
      <c r="D250" s="7"/>
      <c r="E250" s="20">
        <v>1</v>
      </c>
      <c r="F250" s="2" t="s">
        <v>4391</v>
      </c>
      <c r="G250" s="2" t="s">
        <v>4440</v>
      </c>
      <c r="H250" s="2" t="s">
        <v>2412</v>
      </c>
      <c r="I250" s="2" t="s">
        <v>1037</v>
      </c>
    </row>
    <row r="251" spans="1:9" ht="37" customHeight="1">
      <c r="A251" s="2" t="s">
        <v>1021</v>
      </c>
      <c r="B251" s="2" t="s">
        <v>1036</v>
      </c>
      <c r="C251" s="2" t="s">
        <v>65</v>
      </c>
      <c r="D251" s="7"/>
      <c r="E251" s="20">
        <v>0</v>
      </c>
      <c r="F251" s="2" t="s">
        <v>4391</v>
      </c>
      <c r="G251" s="2" t="s">
        <v>4441</v>
      </c>
      <c r="H251" s="2" t="s">
        <v>2412</v>
      </c>
      <c r="I251" s="2" t="s">
        <v>1037</v>
      </c>
    </row>
    <row r="252" spans="1:9" ht="34" customHeight="1">
      <c r="A252" s="2" t="s">
        <v>1021</v>
      </c>
      <c r="B252" s="2" t="s">
        <v>1040</v>
      </c>
      <c r="C252" s="2" t="s">
        <v>124</v>
      </c>
      <c r="D252" s="7"/>
      <c r="E252" s="20">
        <v>1</v>
      </c>
      <c r="F252" s="2" t="s">
        <v>4391</v>
      </c>
      <c r="G252" s="2" t="s">
        <v>4440</v>
      </c>
      <c r="H252" s="2" t="s">
        <v>2444</v>
      </c>
      <c r="I252" s="2" t="s">
        <v>1042</v>
      </c>
    </row>
    <row r="253" spans="1:9" ht="37" customHeight="1">
      <c r="A253" s="2" t="s">
        <v>1021</v>
      </c>
      <c r="B253" s="2" t="s">
        <v>1040</v>
      </c>
      <c r="C253" s="2" t="s">
        <v>65</v>
      </c>
      <c r="D253" s="7"/>
      <c r="E253" s="20">
        <v>0</v>
      </c>
      <c r="F253" s="2" t="s">
        <v>4391</v>
      </c>
      <c r="G253" s="2" t="s">
        <v>4441</v>
      </c>
      <c r="H253" s="2" t="s">
        <v>2444</v>
      </c>
      <c r="I253" s="2" t="s">
        <v>1042</v>
      </c>
    </row>
    <row r="254" spans="1:9" ht="34" customHeight="1">
      <c r="A254" s="2" t="s">
        <v>1021</v>
      </c>
      <c r="B254" s="2" t="s">
        <v>1045</v>
      </c>
      <c r="C254" s="2" t="s">
        <v>254</v>
      </c>
      <c r="D254" s="7">
        <v>0.47</v>
      </c>
      <c r="E254" s="7">
        <v>0.46500000000000002</v>
      </c>
      <c r="F254" s="2" t="s">
        <v>4390</v>
      </c>
      <c r="G254" s="2"/>
      <c r="H254" s="2" t="s">
        <v>2447</v>
      </c>
      <c r="I254" s="2" t="s">
        <v>1049</v>
      </c>
    </row>
    <row r="255" spans="1:9" ht="34" customHeight="1">
      <c r="A255" s="2" t="s">
        <v>1021</v>
      </c>
      <c r="B255" s="2" t="s">
        <v>1045</v>
      </c>
      <c r="C255" s="2" t="s">
        <v>124</v>
      </c>
      <c r="D255" s="7"/>
      <c r="E255" s="7">
        <v>1</v>
      </c>
      <c r="F255" s="2" t="s">
        <v>4391</v>
      </c>
      <c r="G255" s="2"/>
      <c r="H255" s="2" t="s">
        <v>2447</v>
      </c>
      <c r="I255" s="2" t="s">
        <v>1049</v>
      </c>
    </row>
    <row r="256" spans="1:9" ht="34" customHeight="1">
      <c r="A256" s="2" t="s">
        <v>1021</v>
      </c>
      <c r="B256" s="2" t="s">
        <v>1045</v>
      </c>
      <c r="C256" s="2" t="s">
        <v>65</v>
      </c>
      <c r="D256" s="7"/>
      <c r="E256" s="7">
        <v>0</v>
      </c>
      <c r="F256" s="2" t="s">
        <v>4391</v>
      </c>
      <c r="G256" s="2"/>
      <c r="H256" s="2" t="s">
        <v>2447</v>
      </c>
      <c r="I256" s="2" t="s">
        <v>1049</v>
      </c>
    </row>
    <row r="257" spans="1:9" ht="34" customHeight="1">
      <c r="A257" s="2" t="s">
        <v>1021</v>
      </c>
      <c r="B257" s="2" t="s">
        <v>1045</v>
      </c>
      <c r="C257" s="2" t="s">
        <v>222</v>
      </c>
      <c r="D257" s="7">
        <v>0.8</v>
      </c>
      <c r="E257" s="7">
        <v>0.39600000000000002</v>
      </c>
      <c r="F257" s="2" t="s">
        <v>4390</v>
      </c>
      <c r="G257" s="2"/>
      <c r="H257" s="2" t="s">
        <v>2447</v>
      </c>
      <c r="I257" s="2" t="s">
        <v>1049</v>
      </c>
    </row>
    <row r="258" spans="1:9" ht="34" customHeight="1">
      <c r="A258" s="2" t="s">
        <v>1021</v>
      </c>
      <c r="B258" s="2" t="s">
        <v>1051</v>
      </c>
      <c r="C258" s="2" t="s">
        <v>124</v>
      </c>
      <c r="D258" s="7"/>
      <c r="E258" s="20">
        <v>1</v>
      </c>
      <c r="F258" s="2" t="s">
        <v>4391</v>
      </c>
      <c r="G258" s="2" t="s">
        <v>4440</v>
      </c>
      <c r="H258" s="2" t="s">
        <v>2451</v>
      </c>
      <c r="I258" s="2" t="s">
        <v>1052</v>
      </c>
    </row>
    <row r="259" spans="1:9" ht="37" customHeight="1">
      <c r="A259" s="2" t="s">
        <v>1021</v>
      </c>
      <c r="B259" s="2" t="s">
        <v>1051</v>
      </c>
      <c r="C259" s="2" t="s">
        <v>65</v>
      </c>
      <c r="D259" s="7"/>
      <c r="E259" s="20">
        <v>0</v>
      </c>
      <c r="F259" s="2" t="s">
        <v>4391</v>
      </c>
      <c r="G259" s="2" t="s">
        <v>4441</v>
      </c>
      <c r="H259" s="2" t="s">
        <v>2451</v>
      </c>
      <c r="I259" s="2" t="s">
        <v>1052</v>
      </c>
    </row>
    <row r="260" spans="1:9" ht="34" customHeight="1">
      <c r="A260" s="2" t="s">
        <v>1055</v>
      </c>
      <c r="B260" s="2" t="s">
        <v>1062</v>
      </c>
      <c r="C260" s="2" t="s">
        <v>124</v>
      </c>
      <c r="D260" s="7"/>
      <c r="E260" s="7" t="s">
        <v>1063</v>
      </c>
      <c r="F260" s="2" t="s">
        <v>4391</v>
      </c>
      <c r="G260" s="2"/>
      <c r="H260" s="2" t="s">
        <v>2456</v>
      </c>
      <c r="I260" s="2" t="s">
        <v>1067</v>
      </c>
    </row>
    <row r="261" spans="1:9" ht="34" customHeight="1">
      <c r="A261" s="2" t="s">
        <v>1055</v>
      </c>
      <c r="B261" s="2" t="s">
        <v>1062</v>
      </c>
      <c r="C261" s="2" t="s">
        <v>65</v>
      </c>
      <c r="D261" s="7">
        <v>0.3</v>
      </c>
      <c r="E261" s="7" t="s">
        <v>1064</v>
      </c>
      <c r="F261" s="2" t="s">
        <v>4390</v>
      </c>
      <c r="G261" s="2"/>
      <c r="H261" s="2" t="s">
        <v>2456</v>
      </c>
      <c r="I261" s="2" t="s">
        <v>1067</v>
      </c>
    </row>
    <row r="262" spans="1:9" ht="34" customHeight="1">
      <c r="A262" s="2" t="s">
        <v>1055</v>
      </c>
      <c r="B262" s="2" t="s">
        <v>1079</v>
      </c>
      <c r="C262" s="2" t="s">
        <v>1757</v>
      </c>
      <c r="D262" s="7">
        <v>0.93500000000000005</v>
      </c>
      <c r="E262" s="7">
        <v>0.94450000000000001</v>
      </c>
      <c r="F262" s="2" t="s">
        <v>4390</v>
      </c>
      <c r="G262" s="2"/>
      <c r="H262" s="2" t="s">
        <v>2466</v>
      </c>
      <c r="I262" s="2" t="s">
        <v>1083</v>
      </c>
    </row>
    <row r="263" spans="1:9" ht="34" customHeight="1">
      <c r="A263" s="2" t="s">
        <v>1055</v>
      </c>
      <c r="B263" s="2" t="s">
        <v>1079</v>
      </c>
      <c r="C263" s="2" t="s">
        <v>254</v>
      </c>
      <c r="D263" s="7">
        <v>0.30499999999999999</v>
      </c>
      <c r="E263" s="7">
        <v>0.28810000000000002</v>
      </c>
      <c r="F263" s="2" t="s">
        <v>4390</v>
      </c>
      <c r="G263" s="2"/>
      <c r="H263" s="2" t="s">
        <v>2466</v>
      </c>
      <c r="I263" s="2" t="s">
        <v>1083</v>
      </c>
    </row>
    <row r="264" spans="1:9" ht="34" customHeight="1">
      <c r="A264" s="2" t="s">
        <v>1055</v>
      </c>
      <c r="B264" s="2" t="s">
        <v>1079</v>
      </c>
      <c r="C264" s="2" t="s">
        <v>124</v>
      </c>
      <c r="D264" s="7"/>
      <c r="E264" s="7">
        <v>1.0649999999999999</v>
      </c>
      <c r="F264" s="2" t="s">
        <v>4391</v>
      </c>
      <c r="G264" s="2"/>
      <c r="H264" s="2" t="s">
        <v>2466</v>
      </c>
      <c r="I264" s="2" t="s">
        <v>1083</v>
      </c>
    </row>
    <row r="265" spans="1:9" ht="34" customHeight="1">
      <c r="A265" s="2" t="s">
        <v>1055</v>
      </c>
      <c r="B265" s="2" t="s">
        <v>1079</v>
      </c>
      <c r="C265" s="2" t="s">
        <v>65</v>
      </c>
      <c r="D265" s="7"/>
      <c r="E265" s="20">
        <v>0</v>
      </c>
      <c r="F265" s="2" t="s">
        <v>4391</v>
      </c>
      <c r="G265" s="2" t="s">
        <v>4447</v>
      </c>
      <c r="H265" s="2" t="s">
        <v>2466</v>
      </c>
      <c r="I265" s="2" t="s">
        <v>1083</v>
      </c>
    </row>
    <row r="266" spans="1:9" ht="34" customHeight="1">
      <c r="A266" s="2" t="s">
        <v>1055</v>
      </c>
      <c r="B266" s="2" t="s">
        <v>1079</v>
      </c>
      <c r="C266" s="2" t="s">
        <v>222</v>
      </c>
      <c r="D266" s="7">
        <v>1.6</v>
      </c>
      <c r="E266" s="7">
        <v>0.48020000000000002</v>
      </c>
      <c r="F266" s="2" t="s">
        <v>4390</v>
      </c>
      <c r="G266" s="2"/>
      <c r="H266" s="2" t="s">
        <v>2466</v>
      </c>
      <c r="I266" s="2" t="s">
        <v>1083</v>
      </c>
    </row>
    <row r="267" spans="1:9" ht="34" customHeight="1">
      <c r="A267" s="2" t="s">
        <v>1055</v>
      </c>
      <c r="B267" s="2" t="s">
        <v>1086</v>
      </c>
      <c r="C267" s="2" t="s">
        <v>124</v>
      </c>
      <c r="D267" s="7"/>
      <c r="E267" s="20">
        <v>1</v>
      </c>
      <c r="F267" s="2" t="s">
        <v>4391</v>
      </c>
      <c r="G267" s="2" t="s">
        <v>4440</v>
      </c>
      <c r="H267" s="2" t="s">
        <v>2471</v>
      </c>
      <c r="I267" s="2" t="s">
        <v>1088</v>
      </c>
    </row>
    <row r="268" spans="1:9" ht="37" customHeight="1">
      <c r="A268" s="2" t="s">
        <v>1055</v>
      </c>
      <c r="B268" s="2" t="s">
        <v>1086</v>
      </c>
      <c r="C268" s="2" t="s">
        <v>65</v>
      </c>
      <c r="D268" s="7"/>
      <c r="E268" s="20">
        <v>0</v>
      </c>
      <c r="F268" s="2" t="s">
        <v>4391</v>
      </c>
      <c r="G268" s="2" t="s">
        <v>4441</v>
      </c>
      <c r="H268" s="2" t="s">
        <v>2471</v>
      </c>
      <c r="I268" s="2" t="s">
        <v>1088</v>
      </c>
    </row>
    <row r="269" spans="1:9" ht="34" customHeight="1">
      <c r="A269" s="2" t="s">
        <v>1055</v>
      </c>
      <c r="B269" s="2" t="s">
        <v>1106</v>
      </c>
      <c r="C269" s="2" t="s">
        <v>254</v>
      </c>
      <c r="D269" s="7">
        <v>0.45900000000000002</v>
      </c>
      <c r="E269" s="7" t="s">
        <v>1107</v>
      </c>
      <c r="F269" s="2" t="s">
        <v>4390</v>
      </c>
      <c r="G269" s="2"/>
      <c r="H269" s="2" t="s">
        <v>2482</v>
      </c>
      <c r="I269" s="2" t="s">
        <v>1111</v>
      </c>
    </row>
    <row r="270" spans="1:9" ht="34" customHeight="1">
      <c r="A270" s="2" t="s">
        <v>1055</v>
      </c>
      <c r="B270" s="2" t="s">
        <v>1106</v>
      </c>
      <c r="C270" s="2" t="s">
        <v>124</v>
      </c>
      <c r="D270" s="7"/>
      <c r="E270" s="20">
        <v>1</v>
      </c>
      <c r="F270" s="2" t="s">
        <v>4391</v>
      </c>
      <c r="G270" s="2" t="s">
        <v>4448</v>
      </c>
      <c r="H270" s="2" t="s">
        <v>2484</v>
      </c>
      <c r="I270" s="2" t="s">
        <v>1111</v>
      </c>
    </row>
    <row r="271" spans="1:9" ht="34" customHeight="1">
      <c r="A271" s="2" t="s">
        <v>1055</v>
      </c>
      <c r="B271" s="2" t="s">
        <v>1106</v>
      </c>
      <c r="C271" s="2" t="s">
        <v>65</v>
      </c>
      <c r="D271" s="7"/>
      <c r="E271" s="20">
        <v>0</v>
      </c>
      <c r="F271" s="2" t="s">
        <v>4391</v>
      </c>
      <c r="G271" s="2" t="s">
        <v>4449</v>
      </c>
      <c r="H271" s="2" t="s">
        <v>2484</v>
      </c>
      <c r="I271" s="2" t="s">
        <v>1111</v>
      </c>
    </row>
    <row r="272" spans="1:9" ht="34" customHeight="1">
      <c r="A272" s="2" t="s">
        <v>1055</v>
      </c>
      <c r="B272" s="2" t="s">
        <v>1106</v>
      </c>
      <c r="C272" s="2" t="s">
        <v>222</v>
      </c>
      <c r="D272" s="7">
        <v>0.2</v>
      </c>
      <c r="E272" s="7" t="s">
        <v>1108</v>
      </c>
      <c r="F272" s="2" t="s">
        <v>4390</v>
      </c>
      <c r="G272" s="2"/>
      <c r="H272" s="2" t="s">
        <v>2482</v>
      </c>
      <c r="I272" s="2" t="s">
        <v>1111</v>
      </c>
    </row>
    <row r="273" spans="1:9" ht="34" customHeight="1">
      <c r="A273" s="2" t="s">
        <v>1055</v>
      </c>
      <c r="B273" s="2" t="s">
        <v>1115</v>
      </c>
      <c r="C273" s="2" t="s">
        <v>124</v>
      </c>
      <c r="D273" s="7"/>
      <c r="E273" s="20">
        <v>1</v>
      </c>
      <c r="F273" s="2" t="s">
        <v>4391</v>
      </c>
      <c r="G273" s="2" t="s">
        <v>4440</v>
      </c>
      <c r="H273" s="2" t="s">
        <v>2415</v>
      </c>
      <c r="I273" s="2" t="s">
        <v>1117</v>
      </c>
    </row>
    <row r="274" spans="1:9" ht="37" customHeight="1">
      <c r="A274" s="2" t="s">
        <v>1055</v>
      </c>
      <c r="B274" s="2" t="s">
        <v>1115</v>
      </c>
      <c r="C274" s="2" t="s">
        <v>65</v>
      </c>
      <c r="D274" s="7"/>
      <c r="E274" s="20">
        <v>0</v>
      </c>
      <c r="F274" s="2" t="s">
        <v>4391</v>
      </c>
      <c r="G274" s="2" t="s">
        <v>4441</v>
      </c>
      <c r="H274" s="2" t="s">
        <v>2415</v>
      </c>
      <c r="I274" s="2" t="s">
        <v>1117</v>
      </c>
    </row>
    <row r="275" spans="1:9" ht="34" customHeight="1">
      <c r="A275" s="2" t="s">
        <v>1055</v>
      </c>
      <c r="B275" s="2" t="s">
        <v>1120</v>
      </c>
      <c r="C275" s="2" t="s">
        <v>124</v>
      </c>
      <c r="D275" s="7"/>
      <c r="E275" s="20">
        <v>1</v>
      </c>
      <c r="F275" s="2" t="s">
        <v>4391</v>
      </c>
      <c r="G275" s="2" t="s">
        <v>4440</v>
      </c>
      <c r="H275" s="2" t="s">
        <v>2451</v>
      </c>
      <c r="I275" s="2" t="s">
        <v>1121</v>
      </c>
    </row>
    <row r="276" spans="1:9" ht="37" customHeight="1">
      <c r="A276" s="2" t="s">
        <v>1055</v>
      </c>
      <c r="B276" s="2" t="s">
        <v>1120</v>
      </c>
      <c r="C276" s="2" t="s">
        <v>65</v>
      </c>
      <c r="D276" s="7"/>
      <c r="E276" s="20">
        <v>0</v>
      </c>
      <c r="F276" s="2" t="s">
        <v>4391</v>
      </c>
      <c r="G276" s="2" t="s">
        <v>4441</v>
      </c>
      <c r="H276" s="2" t="s">
        <v>2451</v>
      </c>
      <c r="I276" s="2" t="s">
        <v>1121</v>
      </c>
    </row>
    <row r="277" spans="1:9" ht="34" customHeight="1">
      <c r="A277" s="2" t="s">
        <v>1123</v>
      </c>
      <c r="B277" s="2" t="s">
        <v>1124</v>
      </c>
      <c r="C277" s="2" t="s">
        <v>124</v>
      </c>
      <c r="D277" s="7"/>
      <c r="E277" s="20">
        <v>1</v>
      </c>
      <c r="F277" s="2" t="s">
        <v>4391</v>
      </c>
      <c r="G277" s="2" t="s">
        <v>4440</v>
      </c>
      <c r="H277" s="2" t="s">
        <v>2415</v>
      </c>
      <c r="I277" s="2" t="s">
        <v>1125</v>
      </c>
    </row>
    <row r="278" spans="1:9" ht="37" customHeight="1">
      <c r="A278" s="2" t="s">
        <v>1123</v>
      </c>
      <c r="B278" s="2" t="s">
        <v>1124</v>
      </c>
      <c r="C278" s="2" t="s">
        <v>65</v>
      </c>
      <c r="D278" s="7"/>
      <c r="E278" s="20">
        <v>0</v>
      </c>
      <c r="F278" s="2" t="s">
        <v>4391</v>
      </c>
      <c r="G278" s="2" t="s">
        <v>4441</v>
      </c>
      <c r="H278" s="2" t="s">
        <v>2415</v>
      </c>
      <c r="I278" s="2" t="s">
        <v>1125</v>
      </c>
    </row>
    <row r="279" spans="1:9" ht="34" customHeight="1">
      <c r="A279" s="2" t="s">
        <v>1134</v>
      </c>
      <c r="B279" s="2" t="s">
        <v>1135</v>
      </c>
      <c r="C279" s="2" t="s">
        <v>124</v>
      </c>
      <c r="D279" s="7"/>
      <c r="E279" s="20">
        <v>1</v>
      </c>
      <c r="F279" s="2" t="s">
        <v>4391</v>
      </c>
      <c r="G279" s="2" t="s">
        <v>4450</v>
      </c>
      <c r="H279" s="2" t="s">
        <v>2492</v>
      </c>
      <c r="I279" s="2" t="s">
        <v>1138</v>
      </c>
    </row>
    <row r="280" spans="1:9" ht="34" customHeight="1">
      <c r="A280" s="2" t="s">
        <v>1134</v>
      </c>
      <c r="B280" s="2" t="s">
        <v>1135</v>
      </c>
      <c r="C280" s="2" t="s">
        <v>65</v>
      </c>
      <c r="D280" s="7"/>
      <c r="E280" s="20">
        <v>0</v>
      </c>
      <c r="F280" s="2" t="s">
        <v>4391</v>
      </c>
      <c r="G280" s="2" t="s">
        <v>4451</v>
      </c>
      <c r="H280" s="2" t="s">
        <v>2492</v>
      </c>
      <c r="I280" s="2" t="s">
        <v>1138</v>
      </c>
    </row>
    <row r="281" spans="1:9" ht="34" customHeight="1">
      <c r="A281" s="2" t="s">
        <v>1134</v>
      </c>
      <c r="B281" s="2" t="s">
        <v>1152</v>
      </c>
      <c r="C281" s="2" t="s">
        <v>124</v>
      </c>
      <c r="D281" s="7"/>
      <c r="E281" s="20">
        <v>1</v>
      </c>
      <c r="F281" s="2" t="s">
        <v>4391</v>
      </c>
      <c r="G281" s="2" t="s">
        <v>4452</v>
      </c>
      <c r="H281" s="2" t="s">
        <v>2506</v>
      </c>
      <c r="I281" s="2" t="s">
        <v>1157</v>
      </c>
    </row>
    <row r="282" spans="1:9" ht="34" customHeight="1">
      <c r="A282" s="2" t="s">
        <v>1134</v>
      </c>
      <c r="B282" s="2" t="s">
        <v>1152</v>
      </c>
      <c r="C282" s="2" t="s">
        <v>65</v>
      </c>
      <c r="D282" s="7"/>
      <c r="E282" s="20">
        <v>0</v>
      </c>
      <c r="F282" s="2" t="s">
        <v>4391</v>
      </c>
      <c r="G282" s="2" t="s">
        <v>4453</v>
      </c>
      <c r="H282" s="2" t="s">
        <v>2506</v>
      </c>
      <c r="I282" s="2" t="s">
        <v>1157</v>
      </c>
    </row>
    <row r="283" spans="1:9" ht="34" customHeight="1">
      <c r="A283" s="2" t="s">
        <v>1161</v>
      </c>
      <c r="B283" s="2" t="s">
        <v>1170</v>
      </c>
      <c r="C283" s="2" t="s">
        <v>124</v>
      </c>
      <c r="D283" s="7"/>
      <c r="E283" s="20">
        <v>1</v>
      </c>
      <c r="F283" s="2" t="s">
        <v>4391</v>
      </c>
      <c r="G283" s="2" t="s">
        <v>4440</v>
      </c>
      <c r="H283" s="2" t="s">
        <v>2415</v>
      </c>
      <c r="I283" s="2" t="s">
        <v>1173</v>
      </c>
    </row>
    <row r="284" spans="1:9" ht="37" customHeight="1">
      <c r="A284" s="2" t="s">
        <v>1161</v>
      </c>
      <c r="B284" s="2" t="s">
        <v>1170</v>
      </c>
      <c r="C284" s="2" t="s">
        <v>65</v>
      </c>
      <c r="D284" s="7"/>
      <c r="E284" s="20">
        <v>0</v>
      </c>
      <c r="F284" s="2" t="s">
        <v>4391</v>
      </c>
      <c r="G284" s="2" t="s">
        <v>4441</v>
      </c>
      <c r="H284" s="2" t="s">
        <v>2415</v>
      </c>
      <c r="I284" s="2" t="s">
        <v>1173</v>
      </c>
    </row>
    <row r="285" spans="1:9" ht="34" customHeight="1">
      <c r="A285" s="2" t="s">
        <v>1176</v>
      </c>
      <c r="B285" s="2" t="s">
        <v>1177</v>
      </c>
      <c r="C285" s="2" t="s">
        <v>124</v>
      </c>
      <c r="D285" s="7"/>
      <c r="E285" s="20">
        <v>1</v>
      </c>
      <c r="F285" s="2" t="s">
        <v>4391</v>
      </c>
      <c r="G285" s="2" t="s">
        <v>4452</v>
      </c>
      <c r="H285" s="2" t="s">
        <v>2517</v>
      </c>
      <c r="I285" s="2" t="s">
        <v>1180</v>
      </c>
    </row>
    <row r="286" spans="1:9" ht="34" customHeight="1">
      <c r="A286" s="2" t="s">
        <v>1176</v>
      </c>
      <c r="B286" s="2" t="s">
        <v>1177</v>
      </c>
      <c r="C286" s="2" t="s">
        <v>65</v>
      </c>
      <c r="D286" s="7"/>
      <c r="E286" s="20">
        <v>0</v>
      </c>
      <c r="F286" s="2" t="s">
        <v>4391</v>
      </c>
      <c r="G286" s="2" t="s">
        <v>4453</v>
      </c>
      <c r="H286" s="2" t="s">
        <v>2517</v>
      </c>
      <c r="I286" s="2" t="s">
        <v>1180</v>
      </c>
    </row>
    <row r="287" spans="1:9" ht="34" customHeight="1">
      <c r="A287" s="2" t="s">
        <v>1183</v>
      </c>
      <c r="B287" s="2" t="s">
        <v>1184</v>
      </c>
      <c r="C287" s="2" t="s">
        <v>1757</v>
      </c>
      <c r="D287" s="7">
        <v>0.72</v>
      </c>
      <c r="E287" s="7">
        <v>0.72089999999999999</v>
      </c>
      <c r="F287" s="2" t="s">
        <v>4390</v>
      </c>
      <c r="G287" s="2"/>
      <c r="H287" s="2" t="s">
        <v>2521</v>
      </c>
      <c r="I287" s="2" t="s">
        <v>1187</v>
      </c>
    </row>
    <row r="288" spans="1:9" ht="34" customHeight="1">
      <c r="A288" s="2" t="s">
        <v>1183</v>
      </c>
      <c r="B288" s="2" t="s">
        <v>1184</v>
      </c>
      <c r="C288" s="2" t="s">
        <v>254</v>
      </c>
      <c r="D288" s="7">
        <v>0.16</v>
      </c>
      <c r="E288" s="7">
        <v>0.16400000000000001</v>
      </c>
      <c r="F288" s="2" t="s">
        <v>4390</v>
      </c>
      <c r="G288" s="2"/>
      <c r="H288" s="2" t="s">
        <v>2521</v>
      </c>
      <c r="I288" s="2" t="s">
        <v>1187</v>
      </c>
    </row>
    <row r="289" spans="1:9" ht="34" customHeight="1">
      <c r="A289" s="2" t="s">
        <v>1183</v>
      </c>
      <c r="B289" s="2" t="s">
        <v>1184</v>
      </c>
      <c r="C289" s="2" t="s">
        <v>124</v>
      </c>
      <c r="D289" s="7"/>
      <c r="E289" s="20">
        <v>1</v>
      </c>
      <c r="F289" s="2" t="s">
        <v>4391</v>
      </c>
      <c r="G289" s="2" t="s">
        <v>4454</v>
      </c>
      <c r="H289" s="2" t="s">
        <v>2521</v>
      </c>
      <c r="I289" s="2" t="s">
        <v>1187</v>
      </c>
    </row>
    <row r="290" spans="1:9" ht="34" customHeight="1">
      <c r="A290" s="2" t="s">
        <v>1183</v>
      </c>
      <c r="B290" s="2" t="s">
        <v>1184</v>
      </c>
      <c r="C290" s="2" t="s">
        <v>65</v>
      </c>
      <c r="D290" s="7"/>
      <c r="E290" s="20">
        <v>0</v>
      </c>
      <c r="F290" s="2" t="s">
        <v>4391</v>
      </c>
      <c r="G290" s="2" t="s">
        <v>4455</v>
      </c>
      <c r="H290" s="2" t="s">
        <v>2521</v>
      </c>
      <c r="I290" s="2" t="s">
        <v>1187</v>
      </c>
    </row>
    <row r="291" spans="1:9" ht="34" customHeight="1">
      <c r="A291" s="2" t="s">
        <v>1183</v>
      </c>
      <c r="B291" s="2" t="s">
        <v>1184</v>
      </c>
      <c r="C291" s="2" t="s">
        <v>222</v>
      </c>
      <c r="D291" s="7">
        <v>0.16</v>
      </c>
      <c r="E291" s="7">
        <v>7.7539999999999998E-2</v>
      </c>
      <c r="F291" s="2" t="s">
        <v>4390</v>
      </c>
      <c r="G291" s="2"/>
      <c r="H291" s="2" t="s">
        <v>2521</v>
      </c>
      <c r="I291" s="2" t="s">
        <v>1187</v>
      </c>
    </row>
    <row r="292" spans="1:9" ht="34" customHeight="1">
      <c r="A292" s="2" t="s">
        <v>1183</v>
      </c>
      <c r="B292" s="2" t="s">
        <v>1191</v>
      </c>
      <c r="C292" s="2" t="s">
        <v>254</v>
      </c>
      <c r="D292" s="7">
        <v>0.09</v>
      </c>
      <c r="E292" s="7">
        <v>8.5000000000000006E-2</v>
      </c>
      <c r="F292" s="2" t="s">
        <v>4390</v>
      </c>
      <c r="G292" s="2"/>
      <c r="H292" s="2" t="s">
        <v>2526</v>
      </c>
      <c r="I292" s="2" t="s">
        <v>1196</v>
      </c>
    </row>
    <row r="293" spans="1:9" ht="34" customHeight="1">
      <c r="A293" s="2" t="s">
        <v>1183</v>
      </c>
      <c r="B293" s="2" t="s">
        <v>1191</v>
      </c>
      <c r="C293" s="2" t="s">
        <v>124</v>
      </c>
      <c r="D293" s="7"/>
      <c r="E293" s="20">
        <v>1</v>
      </c>
      <c r="F293" s="2" t="s">
        <v>4391</v>
      </c>
      <c r="G293" s="2" t="s">
        <v>4440</v>
      </c>
      <c r="H293" s="2" t="s">
        <v>2529</v>
      </c>
      <c r="I293" s="2" t="s">
        <v>1196</v>
      </c>
    </row>
    <row r="294" spans="1:9" ht="37" customHeight="1">
      <c r="A294" s="2" t="s">
        <v>1183</v>
      </c>
      <c r="B294" s="2" t="s">
        <v>1191</v>
      </c>
      <c r="C294" s="2" t="s">
        <v>65</v>
      </c>
      <c r="D294" s="7"/>
      <c r="E294" s="20">
        <v>0</v>
      </c>
      <c r="F294" s="2" t="s">
        <v>4391</v>
      </c>
      <c r="G294" s="2" t="s">
        <v>4441</v>
      </c>
      <c r="H294" s="2" t="s">
        <v>2529</v>
      </c>
      <c r="I294" s="2" t="s">
        <v>1196</v>
      </c>
    </row>
    <row r="295" spans="1:9" ht="34" customHeight="1">
      <c r="A295" s="2" t="s">
        <v>1183</v>
      </c>
      <c r="B295" s="2" t="s">
        <v>1191</v>
      </c>
      <c r="C295" s="2" t="s">
        <v>222</v>
      </c>
      <c r="D295" s="7"/>
      <c r="E295" s="7" t="s">
        <v>1192</v>
      </c>
      <c r="F295" s="2" t="s">
        <v>4391</v>
      </c>
      <c r="G295" s="2"/>
      <c r="H295" s="2" t="s">
        <v>2526</v>
      </c>
      <c r="I295" s="2" t="s">
        <v>1196</v>
      </c>
    </row>
    <row r="296" spans="1:9" ht="34" customHeight="1">
      <c r="A296" s="2" t="s">
        <v>1198</v>
      </c>
      <c r="B296" s="2" t="s">
        <v>1199</v>
      </c>
      <c r="C296" s="2" t="s">
        <v>124</v>
      </c>
      <c r="D296" s="7"/>
      <c r="E296" s="20">
        <v>1</v>
      </c>
      <c r="F296" s="2" t="s">
        <v>4391</v>
      </c>
      <c r="G296" s="2" t="s">
        <v>4440</v>
      </c>
      <c r="H296" s="2" t="s">
        <v>2471</v>
      </c>
      <c r="I296" s="2" t="s">
        <v>1201</v>
      </c>
    </row>
    <row r="297" spans="1:9" ht="37" customHeight="1">
      <c r="A297" s="2" t="s">
        <v>1198</v>
      </c>
      <c r="B297" s="2" t="s">
        <v>1199</v>
      </c>
      <c r="C297" s="2" t="s">
        <v>65</v>
      </c>
      <c r="D297" s="7"/>
      <c r="E297" s="20">
        <v>0</v>
      </c>
      <c r="F297" s="2" t="s">
        <v>4391</v>
      </c>
      <c r="G297" s="2" t="s">
        <v>4441</v>
      </c>
      <c r="H297" s="2" t="s">
        <v>2471</v>
      </c>
      <c r="I297" s="2" t="s">
        <v>1201</v>
      </c>
    </row>
    <row r="298" spans="1:9" ht="34" customHeight="1">
      <c r="A298" s="2" t="s">
        <v>1204</v>
      </c>
      <c r="B298" s="2" t="s">
        <v>1205</v>
      </c>
      <c r="C298" s="2" t="s">
        <v>124</v>
      </c>
      <c r="D298" s="7"/>
      <c r="E298" s="20">
        <v>1</v>
      </c>
      <c r="F298" s="2" t="s">
        <v>4391</v>
      </c>
      <c r="G298" s="2" t="s">
        <v>4440</v>
      </c>
      <c r="H298" s="2" t="s">
        <v>2534</v>
      </c>
      <c r="I298" s="2" t="s">
        <v>1209</v>
      </c>
    </row>
    <row r="299" spans="1:9" ht="37" customHeight="1">
      <c r="A299" s="2" t="s">
        <v>1204</v>
      </c>
      <c r="B299" s="2" t="s">
        <v>1205</v>
      </c>
      <c r="C299" s="2" t="s">
        <v>65</v>
      </c>
      <c r="D299" s="7"/>
      <c r="E299" s="20">
        <v>0</v>
      </c>
      <c r="F299" s="2" t="s">
        <v>4391</v>
      </c>
      <c r="G299" s="2" t="s">
        <v>4441</v>
      </c>
      <c r="H299" s="2" t="s">
        <v>2534</v>
      </c>
      <c r="I299" s="2" t="s">
        <v>1209</v>
      </c>
    </row>
    <row r="300" spans="1:9" ht="34" customHeight="1">
      <c r="A300" s="2" t="s">
        <v>1204</v>
      </c>
      <c r="B300" s="2" t="s">
        <v>1212</v>
      </c>
      <c r="C300" s="2" t="s">
        <v>254</v>
      </c>
      <c r="D300" s="7"/>
      <c r="E300" s="7">
        <v>0.125</v>
      </c>
      <c r="F300" s="2" t="s">
        <v>4391</v>
      </c>
      <c r="G300" s="2"/>
      <c r="H300" s="2" t="s">
        <v>2540</v>
      </c>
      <c r="I300" s="2" t="s">
        <v>1214</v>
      </c>
    </row>
    <row r="301" spans="1:9" ht="34" customHeight="1">
      <c r="A301" s="2" t="s">
        <v>1217</v>
      </c>
      <c r="B301" s="2" t="s">
        <v>1218</v>
      </c>
      <c r="C301" s="2" t="s">
        <v>124</v>
      </c>
      <c r="D301" s="7"/>
      <c r="E301" s="20">
        <v>1</v>
      </c>
      <c r="F301" s="2" t="s">
        <v>4391</v>
      </c>
      <c r="G301" s="2" t="s">
        <v>4440</v>
      </c>
      <c r="H301" s="2" t="s">
        <v>2544</v>
      </c>
      <c r="I301" s="2" t="s">
        <v>1219</v>
      </c>
    </row>
    <row r="302" spans="1:9" ht="37" customHeight="1">
      <c r="A302" s="2" t="s">
        <v>1217</v>
      </c>
      <c r="B302" s="2" t="s">
        <v>1218</v>
      </c>
      <c r="C302" s="2" t="s">
        <v>65</v>
      </c>
      <c r="D302" s="7"/>
      <c r="E302" s="20">
        <v>0</v>
      </c>
      <c r="F302" s="2" t="s">
        <v>4391</v>
      </c>
      <c r="G302" s="2" t="s">
        <v>4441</v>
      </c>
      <c r="H302" s="2" t="s">
        <v>2544</v>
      </c>
      <c r="I302" s="2" t="s">
        <v>1219</v>
      </c>
    </row>
    <row r="303" spans="1:9" ht="34" customHeight="1">
      <c r="A303" s="2" t="s">
        <v>1217</v>
      </c>
      <c r="B303" s="2" t="s">
        <v>1222</v>
      </c>
      <c r="C303" s="2" t="s">
        <v>124</v>
      </c>
      <c r="D303" s="7"/>
      <c r="E303" s="20">
        <v>1</v>
      </c>
      <c r="F303" s="2" t="s">
        <v>4391</v>
      </c>
      <c r="G303" s="2" t="s">
        <v>4440</v>
      </c>
      <c r="H303" s="2" t="s">
        <v>2544</v>
      </c>
      <c r="I303" s="2" t="s">
        <v>1223</v>
      </c>
    </row>
    <row r="304" spans="1:9" ht="37" customHeight="1">
      <c r="A304" s="2" t="s">
        <v>1217</v>
      </c>
      <c r="B304" s="2" t="s">
        <v>1222</v>
      </c>
      <c r="C304" s="2" t="s">
        <v>65</v>
      </c>
      <c r="D304" s="7"/>
      <c r="E304" s="20">
        <v>0</v>
      </c>
      <c r="F304" s="2" t="s">
        <v>4391</v>
      </c>
      <c r="G304" s="2" t="s">
        <v>4441</v>
      </c>
      <c r="H304" s="2" t="s">
        <v>2544</v>
      </c>
      <c r="I304" s="2" t="s">
        <v>1223</v>
      </c>
    </row>
    <row r="305" spans="1:9" ht="34" customHeight="1">
      <c r="A305" s="2" t="s">
        <v>1232</v>
      </c>
      <c r="B305" s="2" t="s">
        <v>1238</v>
      </c>
      <c r="C305" s="2" t="s">
        <v>1757</v>
      </c>
      <c r="D305" s="7">
        <v>6.3</v>
      </c>
      <c r="E305" s="7">
        <v>5.18</v>
      </c>
      <c r="F305" s="2" t="s">
        <v>4390</v>
      </c>
      <c r="G305" s="2"/>
      <c r="H305" s="2" t="s">
        <v>2553</v>
      </c>
      <c r="I305" s="2" t="s">
        <v>1243</v>
      </c>
    </row>
    <row r="306" spans="1:9" ht="34" customHeight="1">
      <c r="A306" s="2" t="s">
        <v>1232</v>
      </c>
      <c r="B306" s="2" t="s">
        <v>1238</v>
      </c>
      <c r="C306" s="2" t="s">
        <v>254</v>
      </c>
      <c r="D306" s="7">
        <v>2</v>
      </c>
      <c r="E306" s="7">
        <v>1.35</v>
      </c>
      <c r="F306" s="2" t="s">
        <v>4390</v>
      </c>
      <c r="G306" s="2"/>
      <c r="H306" s="2" t="s">
        <v>2553</v>
      </c>
      <c r="I306" s="2" t="s">
        <v>1243</v>
      </c>
    </row>
    <row r="307" spans="1:9" ht="34" customHeight="1">
      <c r="A307" s="2" t="s">
        <v>1232</v>
      </c>
      <c r="B307" s="2" t="s">
        <v>1238</v>
      </c>
      <c r="C307" s="2" t="s">
        <v>124</v>
      </c>
      <c r="D307" s="7"/>
      <c r="E307" s="7">
        <v>2.1800000000000002</v>
      </c>
      <c r="F307" s="2" t="s">
        <v>4391</v>
      </c>
      <c r="G307" s="2"/>
      <c r="H307" s="2" t="s">
        <v>2553</v>
      </c>
      <c r="I307" s="2" t="s">
        <v>1243</v>
      </c>
    </row>
    <row r="308" spans="1:9" ht="34" customHeight="1">
      <c r="A308" s="2" t="s">
        <v>1232</v>
      </c>
      <c r="B308" s="2" t="s">
        <v>1238</v>
      </c>
      <c r="C308" s="2" t="s">
        <v>65</v>
      </c>
      <c r="D308" s="7"/>
      <c r="E308" s="7">
        <v>0.65</v>
      </c>
      <c r="F308" s="2" t="s">
        <v>4391</v>
      </c>
      <c r="G308" s="2"/>
      <c r="H308" s="2" t="s">
        <v>2553</v>
      </c>
      <c r="I308" s="2" t="s">
        <v>1243</v>
      </c>
    </row>
    <row r="309" spans="1:9" ht="34" customHeight="1">
      <c r="A309" s="2" t="s">
        <v>1232</v>
      </c>
      <c r="B309" s="2" t="s">
        <v>1238</v>
      </c>
      <c r="C309" s="2" t="s">
        <v>222</v>
      </c>
      <c r="D309" s="7"/>
      <c r="E309" s="7">
        <v>10.8</v>
      </c>
      <c r="F309" s="2" t="s">
        <v>4391</v>
      </c>
      <c r="G309" s="2"/>
      <c r="H309" s="2" t="s">
        <v>2553</v>
      </c>
      <c r="I309" s="2" t="s">
        <v>1243</v>
      </c>
    </row>
    <row r="310" spans="1:9" ht="34" customHeight="1">
      <c r="A310" s="2" t="s">
        <v>1232</v>
      </c>
      <c r="B310" s="2" t="s">
        <v>1246</v>
      </c>
      <c r="C310" s="2" t="s">
        <v>254</v>
      </c>
      <c r="D310" s="7"/>
      <c r="E310" s="20">
        <v>3.18</v>
      </c>
      <c r="F310" s="2" t="s">
        <v>4391</v>
      </c>
      <c r="G310" s="2" t="s">
        <v>4456</v>
      </c>
      <c r="H310" s="2" t="s">
        <v>2560</v>
      </c>
      <c r="I310" s="2" t="s">
        <v>1250</v>
      </c>
    </row>
    <row r="311" spans="1:9" ht="34" customHeight="1">
      <c r="A311" s="2" t="s">
        <v>1232</v>
      </c>
      <c r="B311" s="2" t="s">
        <v>1254</v>
      </c>
      <c r="C311" s="2" t="s">
        <v>254</v>
      </c>
      <c r="D311" s="7"/>
      <c r="E311" s="20">
        <v>2.87</v>
      </c>
      <c r="F311" s="2" t="s">
        <v>4391</v>
      </c>
      <c r="G311" s="2" t="s">
        <v>4457</v>
      </c>
      <c r="H311" s="2" t="s">
        <v>2560</v>
      </c>
      <c r="I311" s="2" t="s">
        <v>1256</v>
      </c>
    </row>
    <row r="312" spans="1:9" ht="34" customHeight="1">
      <c r="A312" s="2" t="s">
        <v>1232</v>
      </c>
      <c r="B312" s="2" t="s">
        <v>1258</v>
      </c>
      <c r="C312" s="2" t="s">
        <v>254</v>
      </c>
      <c r="D312" s="7"/>
      <c r="E312" s="20">
        <v>2.5</v>
      </c>
      <c r="F312" s="2" t="s">
        <v>4391</v>
      </c>
      <c r="G312" s="2" t="s">
        <v>4458</v>
      </c>
      <c r="H312" s="2" t="s">
        <v>2560</v>
      </c>
      <c r="I312" s="2" t="s">
        <v>1260</v>
      </c>
    </row>
    <row r="313" spans="1:9" ht="34" customHeight="1">
      <c r="A313" s="2" t="s">
        <v>1232</v>
      </c>
      <c r="B313" s="2" t="s">
        <v>1262</v>
      </c>
      <c r="C313" s="2" t="s">
        <v>254</v>
      </c>
      <c r="D313" s="7"/>
      <c r="E313" s="20">
        <v>2.0299999999999998</v>
      </c>
      <c r="F313" s="2" t="s">
        <v>4391</v>
      </c>
      <c r="G313" s="2" t="s">
        <v>4459</v>
      </c>
      <c r="H313" s="2" t="s">
        <v>2560</v>
      </c>
      <c r="I313" s="2" t="s">
        <v>1264</v>
      </c>
    </row>
    <row r="314" spans="1:9" ht="34" customHeight="1">
      <c r="A314" s="2" t="s">
        <v>1272</v>
      </c>
      <c r="B314" s="2" t="s">
        <v>1273</v>
      </c>
      <c r="C314" s="2" t="s">
        <v>124</v>
      </c>
      <c r="D314" s="7"/>
      <c r="E314" s="20">
        <v>1</v>
      </c>
      <c r="F314" s="2" t="s">
        <v>4391</v>
      </c>
      <c r="G314" s="2" t="s">
        <v>4460</v>
      </c>
      <c r="H314" s="2" t="s">
        <v>2574</v>
      </c>
      <c r="I314" s="2" t="s">
        <v>1278</v>
      </c>
    </row>
    <row r="315" spans="1:9" ht="34" customHeight="1">
      <c r="A315" s="2" t="s">
        <v>1272</v>
      </c>
      <c r="B315" s="2" t="s">
        <v>1273</v>
      </c>
      <c r="C315" s="2" t="s">
        <v>65</v>
      </c>
      <c r="D315" s="7"/>
      <c r="E315" s="20">
        <v>0</v>
      </c>
      <c r="F315" s="2" t="s">
        <v>4391</v>
      </c>
      <c r="G315" s="2" t="s">
        <v>4461</v>
      </c>
      <c r="H315" s="2" t="s">
        <v>2574</v>
      </c>
      <c r="I315" s="2" t="s">
        <v>1278</v>
      </c>
    </row>
    <row r="316" spans="1:9" ht="34" customHeight="1">
      <c r="A316" s="2" t="s">
        <v>1272</v>
      </c>
      <c r="B316" s="2" t="s">
        <v>1282</v>
      </c>
      <c r="C316" s="2" t="s">
        <v>124</v>
      </c>
      <c r="D316" s="7"/>
      <c r="E316" s="20">
        <v>1</v>
      </c>
      <c r="F316" s="2" t="s">
        <v>4391</v>
      </c>
      <c r="G316" s="2" t="s">
        <v>4460</v>
      </c>
      <c r="H316" s="2" t="s">
        <v>2574</v>
      </c>
      <c r="I316" s="2" t="s">
        <v>1283</v>
      </c>
    </row>
    <row r="317" spans="1:9" ht="34" customHeight="1">
      <c r="A317" s="2" t="s">
        <v>1272</v>
      </c>
      <c r="B317" s="2" t="s">
        <v>1282</v>
      </c>
      <c r="C317" s="2" t="s">
        <v>65</v>
      </c>
      <c r="D317" s="7"/>
      <c r="E317" s="20">
        <v>0</v>
      </c>
      <c r="F317" s="2" t="s">
        <v>4391</v>
      </c>
      <c r="G317" s="2" t="s">
        <v>4461</v>
      </c>
      <c r="H317" s="2" t="s">
        <v>2574</v>
      </c>
      <c r="I317" s="2" t="s">
        <v>1283</v>
      </c>
    </row>
    <row r="318" spans="1:9" ht="34" customHeight="1">
      <c r="A318" s="2" t="s">
        <v>1272</v>
      </c>
      <c r="B318" s="2" t="s">
        <v>1293</v>
      </c>
      <c r="C318" s="2" t="s">
        <v>1757</v>
      </c>
      <c r="D318" s="7"/>
      <c r="E318" s="7">
        <v>4.62</v>
      </c>
      <c r="F318" s="2" t="s">
        <v>4391</v>
      </c>
      <c r="G318" s="2"/>
      <c r="H318" s="2" t="s">
        <v>2587</v>
      </c>
      <c r="I318" s="2" t="s">
        <v>1298</v>
      </c>
    </row>
    <row r="319" spans="1:9" ht="34" customHeight="1">
      <c r="A319" s="2" t="s">
        <v>1272</v>
      </c>
      <c r="B319" s="2" t="s">
        <v>1293</v>
      </c>
      <c r="C319" s="2" t="s">
        <v>254</v>
      </c>
      <c r="D319" s="7"/>
      <c r="E319" s="7">
        <v>1.18</v>
      </c>
      <c r="F319" s="2" t="s">
        <v>4391</v>
      </c>
      <c r="G319" s="2"/>
      <c r="H319" s="2" t="s">
        <v>2587</v>
      </c>
      <c r="I319" s="2" t="s">
        <v>1298</v>
      </c>
    </row>
    <row r="320" spans="1:9" ht="34" customHeight="1">
      <c r="A320" s="2" t="s">
        <v>1272</v>
      </c>
      <c r="B320" s="2" t="s">
        <v>1293</v>
      </c>
      <c r="C320" s="2" t="s">
        <v>124</v>
      </c>
      <c r="D320" s="7"/>
      <c r="E320" s="7">
        <v>1.8</v>
      </c>
      <c r="F320" s="2" t="s">
        <v>4391</v>
      </c>
      <c r="G320" s="2"/>
      <c r="H320" s="2" t="s">
        <v>2587</v>
      </c>
      <c r="I320" s="2" t="s">
        <v>1298</v>
      </c>
    </row>
    <row r="321" spans="1:9" ht="34" customHeight="1">
      <c r="A321" s="2" t="s">
        <v>1272</v>
      </c>
      <c r="B321" s="2" t="s">
        <v>1293</v>
      </c>
      <c r="C321" s="2" t="s">
        <v>65</v>
      </c>
      <c r="D321" s="7"/>
      <c r="E321" s="7">
        <v>0.65</v>
      </c>
      <c r="F321" s="2" t="s">
        <v>4391</v>
      </c>
      <c r="G321" s="2"/>
      <c r="H321" s="2" t="s">
        <v>2587</v>
      </c>
      <c r="I321" s="2" t="s">
        <v>1298</v>
      </c>
    </row>
    <row r="322" spans="1:9" ht="34" customHeight="1">
      <c r="A322" s="2" t="s">
        <v>1272</v>
      </c>
      <c r="B322" s="2" t="s">
        <v>1293</v>
      </c>
      <c r="C322" s="2" t="s">
        <v>222</v>
      </c>
      <c r="D322" s="7"/>
      <c r="E322" s="7">
        <v>12</v>
      </c>
      <c r="F322" s="2" t="s">
        <v>4391</v>
      </c>
      <c r="G322" s="2"/>
      <c r="H322" s="2" t="s">
        <v>2587</v>
      </c>
      <c r="I322" s="2" t="s">
        <v>1298</v>
      </c>
    </row>
    <row r="323" spans="1:9" ht="34" customHeight="1">
      <c r="A323" s="2" t="s">
        <v>1272</v>
      </c>
      <c r="B323" s="2" t="s">
        <v>1327</v>
      </c>
      <c r="C323" s="2" t="s">
        <v>124</v>
      </c>
      <c r="D323" s="7"/>
      <c r="E323" s="7">
        <v>1.8</v>
      </c>
      <c r="F323" s="2" t="s">
        <v>4391</v>
      </c>
      <c r="G323" s="2"/>
      <c r="H323" s="2" t="s">
        <v>2608</v>
      </c>
      <c r="I323" s="2" t="s">
        <v>1332</v>
      </c>
    </row>
    <row r="324" spans="1:9" ht="34" customHeight="1">
      <c r="A324" s="2" t="s">
        <v>1272</v>
      </c>
      <c r="B324" s="2" t="s">
        <v>1327</v>
      </c>
      <c r="C324" s="2" t="s">
        <v>65</v>
      </c>
      <c r="D324" s="7"/>
      <c r="E324" s="7">
        <v>0.7</v>
      </c>
      <c r="F324" s="2" t="s">
        <v>4391</v>
      </c>
      <c r="G324" s="2"/>
      <c r="H324" s="2" t="s">
        <v>2608</v>
      </c>
      <c r="I324" s="2" t="s">
        <v>1332</v>
      </c>
    </row>
    <row r="325" spans="1:9" ht="34" customHeight="1">
      <c r="A325" s="2" t="s">
        <v>1272</v>
      </c>
      <c r="B325" s="2" t="s">
        <v>1327</v>
      </c>
      <c r="C325" s="2" t="s">
        <v>222</v>
      </c>
      <c r="D325" s="7"/>
      <c r="E325" s="7">
        <v>10.199999999999999</v>
      </c>
      <c r="F325" s="2" t="s">
        <v>4391</v>
      </c>
      <c r="G325" s="2"/>
      <c r="H325" s="2" t="s">
        <v>2608</v>
      </c>
      <c r="I325" s="2" t="s">
        <v>1332</v>
      </c>
    </row>
    <row r="326" spans="1:9" ht="34" customHeight="1">
      <c r="A326" s="2" t="s">
        <v>1272</v>
      </c>
      <c r="B326" s="2" t="s">
        <v>1338</v>
      </c>
      <c r="C326" s="2" t="s">
        <v>124</v>
      </c>
      <c r="D326" s="7">
        <v>1.84</v>
      </c>
      <c r="E326" s="7">
        <v>1.8420000000000001</v>
      </c>
      <c r="F326" s="2" t="s">
        <v>4390</v>
      </c>
      <c r="G326" s="2"/>
      <c r="H326" s="2" t="s">
        <v>2616</v>
      </c>
      <c r="I326" s="2" t="s">
        <v>1343</v>
      </c>
    </row>
    <row r="327" spans="1:9" ht="34" customHeight="1">
      <c r="A327" s="2" t="s">
        <v>1272</v>
      </c>
      <c r="B327" s="2" t="s">
        <v>1338</v>
      </c>
      <c r="C327" s="2" t="s">
        <v>65</v>
      </c>
      <c r="D327" s="7"/>
      <c r="E327" s="7">
        <v>0.81399999999999995</v>
      </c>
      <c r="F327" s="2" t="s">
        <v>4391</v>
      </c>
      <c r="G327" s="2"/>
      <c r="H327" s="2" t="s">
        <v>2616</v>
      </c>
      <c r="I327" s="2" t="s">
        <v>1343</v>
      </c>
    </row>
    <row r="328" spans="1:9" ht="34" customHeight="1">
      <c r="A328" s="2" t="s">
        <v>1272</v>
      </c>
      <c r="B328" s="2" t="s">
        <v>1338</v>
      </c>
      <c r="C328" s="2" t="s">
        <v>222</v>
      </c>
      <c r="D328" s="7">
        <v>29.9</v>
      </c>
      <c r="E328" s="7">
        <v>30</v>
      </c>
      <c r="F328" s="2" t="s">
        <v>4390</v>
      </c>
      <c r="G328" s="2"/>
      <c r="H328" s="2" t="s">
        <v>2616</v>
      </c>
      <c r="I328" s="2" t="s">
        <v>1343</v>
      </c>
    </row>
    <row r="329" spans="1:9" ht="34" customHeight="1">
      <c r="A329" s="2" t="s">
        <v>1272</v>
      </c>
      <c r="B329" s="2" t="s">
        <v>1352</v>
      </c>
      <c r="C329" s="2" t="s">
        <v>124</v>
      </c>
      <c r="D329" s="7">
        <v>1.9</v>
      </c>
      <c r="E329" s="7">
        <v>1.89</v>
      </c>
      <c r="F329" s="2" t="s">
        <v>4390</v>
      </c>
      <c r="G329" s="2"/>
      <c r="H329" s="2" t="s">
        <v>2624</v>
      </c>
      <c r="I329" s="2" t="s">
        <v>1355</v>
      </c>
    </row>
    <row r="330" spans="1:9" ht="34" customHeight="1">
      <c r="A330" s="2" t="s">
        <v>1272</v>
      </c>
      <c r="B330" s="2" t="s">
        <v>1352</v>
      </c>
      <c r="C330" s="2" t="s">
        <v>65</v>
      </c>
      <c r="D330" s="7"/>
      <c r="E330" s="7">
        <v>0.77</v>
      </c>
      <c r="F330" s="2" t="s">
        <v>4391</v>
      </c>
      <c r="G330" s="2"/>
      <c r="H330" s="2" t="s">
        <v>2624</v>
      </c>
      <c r="I330" s="2" t="s">
        <v>1355</v>
      </c>
    </row>
    <row r="331" spans="1:9" ht="34" customHeight="1">
      <c r="A331" s="2" t="s">
        <v>1272</v>
      </c>
      <c r="B331" s="2" t="s">
        <v>1352</v>
      </c>
      <c r="C331" s="2" t="s">
        <v>222</v>
      </c>
      <c r="D331" s="7">
        <v>11.3</v>
      </c>
      <c r="E331" s="7">
        <v>11.32</v>
      </c>
      <c r="F331" s="2" t="s">
        <v>4390</v>
      </c>
      <c r="G331" s="2"/>
      <c r="H331" s="2" t="s">
        <v>2627</v>
      </c>
      <c r="I331" s="2" t="s">
        <v>1355</v>
      </c>
    </row>
    <row r="332" spans="1:9" ht="34" customHeight="1">
      <c r="A332" s="2" t="s">
        <v>1272</v>
      </c>
      <c r="B332" s="2" t="s">
        <v>1360</v>
      </c>
      <c r="C332" s="2" t="s">
        <v>254</v>
      </c>
      <c r="D332" s="7"/>
      <c r="E332" s="7">
        <v>2</v>
      </c>
      <c r="F332" s="2" t="s">
        <v>4391</v>
      </c>
      <c r="G332" s="2"/>
      <c r="H332" s="2" t="s">
        <v>2634</v>
      </c>
      <c r="I332" s="2" t="s">
        <v>1364</v>
      </c>
    </row>
    <row r="333" spans="1:9" ht="34" customHeight="1">
      <c r="A333" s="2" t="s">
        <v>1272</v>
      </c>
      <c r="B333" s="2" t="s">
        <v>1360</v>
      </c>
      <c r="C333" s="2" t="s">
        <v>222</v>
      </c>
      <c r="D333" s="7">
        <v>28</v>
      </c>
      <c r="E333" s="7">
        <v>29</v>
      </c>
      <c r="F333" s="2" t="s">
        <v>4390</v>
      </c>
      <c r="G333" s="2"/>
      <c r="H333" s="2" t="s">
        <v>2634</v>
      </c>
      <c r="I333" s="2" t="s">
        <v>1364</v>
      </c>
    </row>
    <row r="334" spans="1:9" ht="34" customHeight="1">
      <c r="A334" s="2" t="s">
        <v>1272</v>
      </c>
      <c r="B334" s="2" t="s">
        <v>1384</v>
      </c>
      <c r="C334" s="2" t="s">
        <v>1757</v>
      </c>
      <c r="D334" s="7">
        <v>0.33500000000000002</v>
      </c>
      <c r="E334" s="7">
        <v>0.34</v>
      </c>
      <c r="F334" s="2" t="s">
        <v>4390</v>
      </c>
      <c r="G334" s="2"/>
      <c r="H334" s="2" t="s">
        <v>2647</v>
      </c>
      <c r="I334" s="2" t="s">
        <v>1391</v>
      </c>
    </row>
    <row r="335" spans="1:9" ht="34" customHeight="1">
      <c r="A335" s="2" t="s">
        <v>1272</v>
      </c>
      <c r="B335" s="2" t="s">
        <v>1384</v>
      </c>
      <c r="C335" s="2" t="s">
        <v>254</v>
      </c>
      <c r="D335" s="7">
        <v>0.22500000000000001</v>
      </c>
      <c r="E335" s="7">
        <v>0.22</v>
      </c>
      <c r="F335" s="2" t="s">
        <v>4390</v>
      </c>
      <c r="G335" s="2"/>
      <c r="H335" s="2" t="s">
        <v>2647</v>
      </c>
      <c r="I335" s="2" t="s">
        <v>1391</v>
      </c>
    </row>
    <row r="336" spans="1:9" ht="34" customHeight="1">
      <c r="A336" s="2" t="s">
        <v>1272</v>
      </c>
      <c r="B336" s="2" t="s">
        <v>1384</v>
      </c>
      <c r="C336" s="2" t="s">
        <v>124</v>
      </c>
      <c r="D336" s="7">
        <v>1.7</v>
      </c>
      <c r="E336" s="7" t="s">
        <v>1385</v>
      </c>
      <c r="F336" s="2" t="s">
        <v>4390</v>
      </c>
      <c r="G336" s="2"/>
      <c r="H336" s="2" t="s">
        <v>2647</v>
      </c>
      <c r="I336" s="2" t="s">
        <v>1391</v>
      </c>
    </row>
    <row r="337" spans="1:9" ht="34" customHeight="1">
      <c r="A337" s="2" t="s">
        <v>1272</v>
      </c>
      <c r="B337" s="2" t="s">
        <v>1384</v>
      </c>
      <c r="C337" s="2" t="s">
        <v>65</v>
      </c>
      <c r="D337" s="7"/>
      <c r="E337" s="7" t="s">
        <v>1386</v>
      </c>
      <c r="F337" s="2" t="s">
        <v>4391</v>
      </c>
      <c r="G337" s="2"/>
      <c r="H337" s="2" t="s">
        <v>2647</v>
      </c>
      <c r="I337" s="2" t="s">
        <v>1391</v>
      </c>
    </row>
    <row r="338" spans="1:9" ht="34" customHeight="1">
      <c r="A338" s="2" t="s">
        <v>1272</v>
      </c>
      <c r="B338" s="2" t="s">
        <v>1384</v>
      </c>
      <c r="C338" s="2" t="s">
        <v>222</v>
      </c>
      <c r="D338" s="7">
        <v>7.0000000000000007E-2</v>
      </c>
      <c r="E338" s="7" t="s">
        <v>1387</v>
      </c>
      <c r="F338" s="2" t="s">
        <v>4390</v>
      </c>
      <c r="G338" s="2"/>
      <c r="H338" s="2" t="s">
        <v>2647</v>
      </c>
      <c r="I338" s="2" t="s">
        <v>1391</v>
      </c>
    </row>
    <row r="339" spans="1:9" ht="34" customHeight="1">
      <c r="A339" s="2" t="s">
        <v>1272</v>
      </c>
      <c r="B339" s="2" t="s">
        <v>1439</v>
      </c>
      <c r="C339" s="2" t="s">
        <v>65</v>
      </c>
      <c r="D339" s="7"/>
      <c r="E339" s="20">
        <v>0</v>
      </c>
      <c r="F339" s="2" t="s">
        <v>4391</v>
      </c>
      <c r="G339" s="2" t="s">
        <v>4462</v>
      </c>
      <c r="H339" s="2" t="s">
        <v>2680</v>
      </c>
      <c r="I339" s="2" t="s">
        <v>1443</v>
      </c>
    </row>
    <row r="340" spans="1:9" ht="34" customHeight="1">
      <c r="A340" s="2" t="s">
        <v>1272</v>
      </c>
      <c r="B340" s="2" t="s">
        <v>1455</v>
      </c>
      <c r="C340" s="2" t="s">
        <v>124</v>
      </c>
      <c r="D340" s="7"/>
      <c r="E340" s="20">
        <v>1</v>
      </c>
      <c r="F340" s="2" t="s">
        <v>4391</v>
      </c>
      <c r="G340" s="2" t="s">
        <v>4463</v>
      </c>
      <c r="H340" s="2" t="s">
        <v>2691</v>
      </c>
      <c r="I340" s="2" t="s">
        <v>1459</v>
      </c>
    </row>
    <row r="341" spans="1:9" ht="34" customHeight="1">
      <c r="A341" s="2" t="s">
        <v>1272</v>
      </c>
      <c r="B341" s="2" t="s">
        <v>1455</v>
      </c>
      <c r="C341" s="2" t="s">
        <v>65</v>
      </c>
      <c r="D341" s="7"/>
      <c r="E341" s="20">
        <v>0</v>
      </c>
      <c r="F341" s="2" t="s">
        <v>4391</v>
      </c>
      <c r="G341" s="2" t="s">
        <v>4464</v>
      </c>
      <c r="H341" s="2" t="s">
        <v>2691</v>
      </c>
      <c r="I341" s="2" t="s">
        <v>1459</v>
      </c>
    </row>
    <row r="342" spans="1:9" ht="34" customHeight="1">
      <c r="A342" s="2" t="s">
        <v>1272</v>
      </c>
      <c r="B342" s="2" t="s">
        <v>1455</v>
      </c>
      <c r="C342" s="2" t="s">
        <v>222</v>
      </c>
      <c r="D342" s="7">
        <v>0.123</v>
      </c>
      <c r="E342" s="7">
        <v>0.2</v>
      </c>
      <c r="F342" s="2" t="s">
        <v>4390</v>
      </c>
      <c r="G342" s="2"/>
      <c r="H342" s="2" t="s">
        <v>2691</v>
      </c>
      <c r="I342" s="2" t="s">
        <v>1459</v>
      </c>
    </row>
    <row r="343" spans="1:9" ht="34" customHeight="1">
      <c r="A343" s="2" t="s">
        <v>1272</v>
      </c>
      <c r="B343" s="2" t="s">
        <v>1463</v>
      </c>
      <c r="C343" s="2" t="s">
        <v>1757</v>
      </c>
      <c r="D343" s="7">
        <v>0.93</v>
      </c>
      <c r="E343" s="7">
        <v>0.92</v>
      </c>
      <c r="F343" s="2" t="s">
        <v>4390</v>
      </c>
      <c r="G343" s="2"/>
      <c r="H343" s="2" t="s">
        <v>2691</v>
      </c>
      <c r="I343" s="2" t="s">
        <v>1466</v>
      </c>
    </row>
    <row r="344" spans="1:9" ht="34" customHeight="1">
      <c r="A344" s="2" t="s">
        <v>1272</v>
      </c>
      <c r="B344" s="2" t="s">
        <v>1463</v>
      </c>
      <c r="C344" s="2" t="s">
        <v>124</v>
      </c>
      <c r="D344" s="7"/>
      <c r="E344" s="20">
        <v>1.833333333333333</v>
      </c>
      <c r="F344" s="2" t="s">
        <v>4391</v>
      </c>
      <c r="G344" s="2" t="s">
        <v>4465</v>
      </c>
      <c r="H344" s="2" t="s">
        <v>2691</v>
      </c>
      <c r="I344" s="2" t="s">
        <v>1466</v>
      </c>
    </row>
    <row r="345" spans="1:9" ht="34" customHeight="1">
      <c r="A345" s="2" t="s">
        <v>1272</v>
      </c>
      <c r="B345" s="2" t="s">
        <v>1463</v>
      </c>
      <c r="C345" s="2" t="s">
        <v>65</v>
      </c>
      <c r="D345" s="7"/>
      <c r="E345" s="20">
        <v>0</v>
      </c>
      <c r="F345" s="2" t="s">
        <v>4391</v>
      </c>
      <c r="G345" s="2" t="s">
        <v>4466</v>
      </c>
      <c r="H345" s="2" t="s">
        <v>2691</v>
      </c>
      <c r="I345" s="2" t="s">
        <v>1466</v>
      </c>
    </row>
    <row r="346" spans="1:9" ht="34" customHeight="1">
      <c r="A346" s="2" t="s">
        <v>1272</v>
      </c>
      <c r="B346" s="2" t="s">
        <v>1463</v>
      </c>
      <c r="C346" s="2" t="s">
        <v>222</v>
      </c>
      <c r="D346" s="7"/>
      <c r="E346" s="7">
        <v>0.2</v>
      </c>
      <c r="F346" s="2" t="s">
        <v>4391</v>
      </c>
      <c r="G346" s="2"/>
      <c r="H346" s="2" t="s">
        <v>2691</v>
      </c>
      <c r="I346" s="2" t="s">
        <v>1466</v>
      </c>
    </row>
    <row r="347" spans="1:9" ht="34" customHeight="1">
      <c r="A347" s="2" t="s">
        <v>1272</v>
      </c>
      <c r="B347" s="2" t="s">
        <v>1470</v>
      </c>
      <c r="C347" s="2" t="s">
        <v>65</v>
      </c>
      <c r="D347" s="7"/>
      <c r="E347" s="7" t="s">
        <v>1471</v>
      </c>
      <c r="F347" s="2" t="s">
        <v>4391</v>
      </c>
      <c r="G347" s="2"/>
      <c r="H347" s="2" t="s">
        <v>2699</v>
      </c>
      <c r="I347" s="2" t="s">
        <v>1476</v>
      </c>
    </row>
    <row r="348" spans="1:9" ht="34" customHeight="1">
      <c r="A348" s="2" t="s">
        <v>1272</v>
      </c>
      <c r="B348" s="2" t="s">
        <v>1470</v>
      </c>
      <c r="C348" s="2" t="s">
        <v>222</v>
      </c>
      <c r="D348" s="7"/>
      <c r="E348" s="7" t="s">
        <v>1472</v>
      </c>
      <c r="F348" s="2" t="s">
        <v>4391</v>
      </c>
      <c r="G348" s="2"/>
      <c r="H348" s="2" t="s">
        <v>2699</v>
      </c>
      <c r="I348" s="2" t="s">
        <v>1476</v>
      </c>
    </row>
    <row r="349" spans="1:9" ht="34" customHeight="1">
      <c r="A349" s="2" t="s">
        <v>1272</v>
      </c>
      <c r="B349" s="2" t="s">
        <v>1484</v>
      </c>
      <c r="C349" s="2" t="s">
        <v>1757</v>
      </c>
      <c r="D349" s="7"/>
      <c r="E349" s="7">
        <v>0.9</v>
      </c>
      <c r="F349" s="2" t="s">
        <v>4391</v>
      </c>
      <c r="G349" s="2"/>
      <c r="H349" s="2" t="s">
        <v>2706</v>
      </c>
      <c r="I349" s="2" t="s">
        <v>1488</v>
      </c>
    </row>
    <row r="350" spans="1:9" ht="34" customHeight="1">
      <c r="A350" s="2" t="s">
        <v>1272</v>
      </c>
      <c r="B350" s="2" t="s">
        <v>1484</v>
      </c>
      <c r="C350" s="2" t="s">
        <v>254</v>
      </c>
      <c r="D350" s="7"/>
      <c r="E350" s="7">
        <v>0.4</v>
      </c>
      <c r="F350" s="2" t="s">
        <v>4391</v>
      </c>
      <c r="G350" s="2"/>
      <c r="H350" s="2" t="s">
        <v>2706</v>
      </c>
      <c r="I350" s="2" t="s">
        <v>1488</v>
      </c>
    </row>
    <row r="351" spans="1:9" ht="34" customHeight="1">
      <c r="A351" s="2" t="s">
        <v>1272</v>
      </c>
      <c r="B351" s="2" t="s">
        <v>1484</v>
      </c>
      <c r="C351" s="2" t="s">
        <v>222</v>
      </c>
      <c r="D351" s="7"/>
      <c r="E351" s="7" t="s">
        <v>1485</v>
      </c>
      <c r="F351" s="2" t="s">
        <v>4391</v>
      </c>
      <c r="G351" s="2"/>
      <c r="H351" s="2" t="s">
        <v>2706</v>
      </c>
      <c r="I351" s="2" t="s">
        <v>1488</v>
      </c>
    </row>
    <row r="352" spans="1:9" ht="34" customHeight="1">
      <c r="A352" s="2" t="s">
        <v>1272</v>
      </c>
      <c r="B352" s="2" t="s">
        <v>1503</v>
      </c>
      <c r="C352" s="2" t="s">
        <v>1757</v>
      </c>
      <c r="D352" s="7">
        <v>0.4</v>
      </c>
      <c r="E352" s="7">
        <v>0.3</v>
      </c>
      <c r="F352" s="2" t="s">
        <v>4390</v>
      </c>
      <c r="G352" s="2"/>
      <c r="H352" s="2" t="s">
        <v>2706</v>
      </c>
      <c r="I352" s="2" t="s">
        <v>1506</v>
      </c>
    </row>
    <row r="353" spans="1:9" ht="34" customHeight="1">
      <c r="A353" s="2" t="s">
        <v>1272</v>
      </c>
      <c r="B353" s="2" t="s">
        <v>1503</v>
      </c>
      <c r="C353" s="2" t="s">
        <v>254</v>
      </c>
      <c r="D353" s="7"/>
      <c r="E353" s="7">
        <v>0.1</v>
      </c>
      <c r="F353" s="2" t="s">
        <v>4391</v>
      </c>
      <c r="G353" s="2"/>
      <c r="H353" s="2" t="s">
        <v>2706</v>
      </c>
      <c r="I353" s="2" t="s">
        <v>1506</v>
      </c>
    </row>
    <row r="354" spans="1:9" ht="34" customHeight="1">
      <c r="A354" s="2" t="s">
        <v>1272</v>
      </c>
      <c r="B354" s="2" t="s">
        <v>1503</v>
      </c>
      <c r="C354" s="2" t="s">
        <v>222</v>
      </c>
      <c r="D354" s="7"/>
      <c r="E354" s="7" t="s">
        <v>1504</v>
      </c>
      <c r="F354" s="2" t="s">
        <v>4391</v>
      </c>
      <c r="G354" s="2"/>
      <c r="H354" s="2" t="s">
        <v>2706</v>
      </c>
      <c r="I354" s="2" t="s">
        <v>1506</v>
      </c>
    </row>
    <row r="355" spans="1:9" ht="34" customHeight="1">
      <c r="A355" s="2" t="s">
        <v>1272</v>
      </c>
      <c r="B355" s="2" t="s">
        <v>1535</v>
      </c>
      <c r="C355" s="2" t="s">
        <v>254</v>
      </c>
      <c r="D355" s="7">
        <v>0.3</v>
      </c>
      <c r="E355" s="7">
        <v>0.28000000000000003</v>
      </c>
      <c r="F355" s="2" t="s">
        <v>4390</v>
      </c>
      <c r="G355" s="2"/>
      <c r="H355" s="2" t="s">
        <v>2734</v>
      </c>
      <c r="I355" s="2" t="s">
        <v>1538</v>
      </c>
    </row>
    <row r="356" spans="1:9" ht="34" customHeight="1">
      <c r="A356" s="2" t="s">
        <v>1272</v>
      </c>
      <c r="B356" s="2" t="s">
        <v>1535</v>
      </c>
      <c r="C356" s="2" t="s">
        <v>124</v>
      </c>
      <c r="D356" s="7"/>
      <c r="E356" s="7">
        <v>1.7</v>
      </c>
      <c r="F356" s="2" t="s">
        <v>4391</v>
      </c>
      <c r="G356" s="2"/>
      <c r="H356" s="2" t="s">
        <v>2734</v>
      </c>
      <c r="I356" s="2" t="s">
        <v>1538</v>
      </c>
    </row>
    <row r="357" spans="1:9" ht="34" customHeight="1">
      <c r="A357" s="2" t="s">
        <v>1272</v>
      </c>
      <c r="B357" s="2" t="s">
        <v>1535</v>
      </c>
      <c r="C357" s="2" t="s">
        <v>65</v>
      </c>
      <c r="D357" s="7"/>
      <c r="E357" s="7">
        <v>0.7</v>
      </c>
      <c r="F357" s="2" t="s">
        <v>4391</v>
      </c>
      <c r="G357" s="2"/>
      <c r="H357" s="2" t="s">
        <v>2734</v>
      </c>
      <c r="I357" s="2" t="s">
        <v>1538</v>
      </c>
    </row>
    <row r="358" spans="1:9" ht="34" customHeight="1">
      <c r="A358" s="2" t="s">
        <v>1272</v>
      </c>
      <c r="B358" s="2" t="s">
        <v>1535</v>
      </c>
      <c r="C358" s="2" t="s">
        <v>222</v>
      </c>
      <c r="D358" s="7"/>
      <c r="E358" s="7">
        <v>0.34</v>
      </c>
      <c r="F358" s="2" t="s">
        <v>4391</v>
      </c>
      <c r="G358" s="2"/>
      <c r="H358" s="2" t="s">
        <v>2734</v>
      </c>
      <c r="I358" s="2" t="s">
        <v>1538</v>
      </c>
    </row>
    <row r="359" spans="1:9" ht="34" customHeight="1">
      <c r="A359" s="2" t="s">
        <v>1272</v>
      </c>
      <c r="B359" s="2" t="s">
        <v>1540</v>
      </c>
      <c r="C359" s="2" t="s">
        <v>124</v>
      </c>
      <c r="D359" s="7"/>
      <c r="E359" s="20">
        <v>1</v>
      </c>
      <c r="F359" s="2" t="s">
        <v>4391</v>
      </c>
      <c r="G359" s="2" t="s">
        <v>4467</v>
      </c>
      <c r="H359" s="2" t="s">
        <v>2738</v>
      </c>
      <c r="I359" s="2" t="s">
        <v>1543</v>
      </c>
    </row>
    <row r="360" spans="1:9" ht="34" customHeight="1">
      <c r="A360" s="2" t="s">
        <v>1272</v>
      </c>
      <c r="B360" s="2" t="s">
        <v>1540</v>
      </c>
      <c r="C360" s="2" t="s">
        <v>65</v>
      </c>
      <c r="D360" s="7"/>
      <c r="E360" s="20">
        <v>0</v>
      </c>
      <c r="F360" s="2" t="s">
        <v>4391</v>
      </c>
      <c r="G360" s="2" t="s">
        <v>4468</v>
      </c>
      <c r="H360" s="2" t="s">
        <v>2738</v>
      </c>
      <c r="I360" s="2" t="s">
        <v>1543</v>
      </c>
    </row>
    <row r="361" spans="1:9" ht="34" customHeight="1">
      <c r="A361" s="2" t="s">
        <v>1272</v>
      </c>
      <c r="B361" s="2" t="s">
        <v>1561</v>
      </c>
      <c r="C361" s="2" t="s">
        <v>124</v>
      </c>
      <c r="D361" s="7"/>
      <c r="E361" s="20">
        <v>1</v>
      </c>
      <c r="F361" s="2" t="s">
        <v>4391</v>
      </c>
      <c r="G361" s="2" t="s">
        <v>4469</v>
      </c>
      <c r="H361" s="2" t="s">
        <v>2753</v>
      </c>
      <c r="I361" s="2" t="s">
        <v>1565</v>
      </c>
    </row>
    <row r="362" spans="1:9" ht="34" customHeight="1">
      <c r="A362" s="2" t="s">
        <v>1272</v>
      </c>
      <c r="B362" s="2" t="s">
        <v>1561</v>
      </c>
      <c r="C362" s="2" t="s">
        <v>65</v>
      </c>
      <c r="D362" s="7"/>
      <c r="E362" s="20">
        <v>0</v>
      </c>
      <c r="F362" s="2" t="s">
        <v>4391</v>
      </c>
      <c r="G362" s="2" t="s">
        <v>4470</v>
      </c>
      <c r="H362" s="2" t="s">
        <v>2753</v>
      </c>
      <c r="I362" s="2" t="s">
        <v>1565</v>
      </c>
    </row>
    <row r="363" spans="1:9" ht="34" customHeight="1">
      <c r="A363" s="2" t="s">
        <v>1272</v>
      </c>
      <c r="B363" s="2" t="s">
        <v>1571</v>
      </c>
      <c r="C363" s="2" t="s">
        <v>1757</v>
      </c>
      <c r="D363" s="7"/>
      <c r="E363" s="7">
        <v>0.57999999999999996</v>
      </c>
      <c r="F363" s="2" t="s">
        <v>4391</v>
      </c>
      <c r="G363" s="2"/>
      <c r="H363" s="2" t="s">
        <v>2759</v>
      </c>
      <c r="I363" s="2" t="s">
        <v>1574</v>
      </c>
    </row>
    <row r="364" spans="1:9" ht="34" customHeight="1">
      <c r="A364" s="2" t="s">
        <v>1272</v>
      </c>
      <c r="B364" s="2" t="s">
        <v>1582</v>
      </c>
      <c r="C364" s="2" t="s">
        <v>254</v>
      </c>
      <c r="D364" s="7">
        <v>1.94</v>
      </c>
      <c r="E364" s="20">
        <v>1.944444444444444</v>
      </c>
      <c r="F364" s="2" t="s">
        <v>4390</v>
      </c>
      <c r="G364" s="2" t="s">
        <v>4471</v>
      </c>
      <c r="H364" s="2" t="s">
        <v>2767</v>
      </c>
      <c r="I364" s="2" t="s">
        <v>1585</v>
      </c>
    </row>
    <row r="365" spans="1:9" ht="34" customHeight="1">
      <c r="A365" s="2" t="s">
        <v>1272</v>
      </c>
      <c r="B365" s="2" t="s">
        <v>1582</v>
      </c>
      <c r="C365" s="2" t="s">
        <v>65</v>
      </c>
      <c r="D365" s="7"/>
      <c r="E365" s="7">
        <v>0.5</v>
      </c>
      <c r="F365" s="2" t="s">
        <v>4391</v>
      </c>
      <c r="G365" s="2"/>
      <c r="H365" s="2" t="s">
        <v>2764</v>
      </c>
      <c r="I365" s="2" t="s">
        <v>1585</v>
      </c>
    </row>
    <row r="366" spans="1:9" ht="34" customHeight="1">
      <c r="A366" s="2" t="s">
        <v>1272</v>
      </c>
      <c r="B366" s="2" t="s">
        <v>1582</v>
      </c>
      <c r="C366" s="2" t="s">
        <v>222</v>
      </c>
      <c r="D366" s="7">
        <v>11</v>
      </c>
      <c r="E366" s="7">
        <v>10.1</v>
      </c>
      <c r="F366" s="2" t="s">
        <v>4390</v>
      </c>
      <c r="G366" s="2"/>
      <c r="H366" s="2" t="s">
        <v>2764</v>
      </c>
      <c r="I366" s="2" t="s">
        <v>1585</v>
      </c>
    </row>
    <row r="367" spans="1:9" ht="34" customHeight="1">
      <c r="A367" s="2" t="s">
        <v>1272</v>
      </c>
      <c r="B367" s="2" t="s">
        <v>1606</v>
      </c>
      <c r="C367" s="2" t="s">
        <v>1757</v>
      </c>
      <c r="D367" s="7">
        <v>2.52</v>
      </c>
      <c r="E367" s="7">
        <v>2.524</v>
      </c>
      <c r="F367" s="2" t="s">
        <v>4390</v>
      </c>
      <c r="G367" s="2"/>
      <c r="H367" s="2" t="s">
        <v>2779</v>
      </c>
      <c r="I367" s="2" t="s">
        <v>1611</v>
      </c>
    </row>
    <row r="368" spans="1:9" ht="34" customHeight="1">
      <c r="A368" s="2" t="s">
        <v>1272</v>
      </c>
      <c r="B368" s="2" t="s">
        <v>1606</v>
      </c>
      <c r="C368" s="2" t="s">
        <v>254</v>
      </c>
      <c r="D368" s="7">
        <v>0.87</v>
      </c>
      <c r="E368" s="7">
        <v>0.87260000000000004</v>
      </c>
      <c r="F368" s="2" t="s">
        <v>4390</v>
      </c>
      <c r="G368" s="2"/>
      <c r="H368" s="2" t="s">
        <v>2779</v>
      </c>
      <c r="I368" s="2" t="s">
        <v>1611</v>
      </c>
    </row>
    <row r="369" spans="1:9" ht="34" customHeight="1">
      <c r="A369" s="2" t="s">
        <v>1272</v>
      </c>
      <c r="B369" s="2" t="s">
        <v>1606</v>
      </c>
      <c r="C369" s="2" t="s">
        <v>124</v>
      </c>
      <c r="D369" s="7"/>
      <c r="E369" s="7">
        <v>1.02</v>
      </c>
      <c r="F369" s="2" t="s">
        <v>4391</v>
      </c>
      <c r="G369" s="2"/>
      <c r="H369" s="2" t="s">
        <v>2779</v>
      </c>
      <c r="I369" s="2" t="s">
        <v>1611</v>
      </c>
    </row>
    <row r="370" spans="1:9" ht="34" customHeight="1">
      <c r="A370" s="2" t="s">
        <v>1272</v>
      </c>
      <c r="B370" s="2" t="s">
        <v>1606</v>
      </c>
      <c r="C370" s="2" t="s">
        <v>65</v>
      </c>
      <c r="D370" s="7"/>
      <c r="E370" s="7">
        <v>2.1160000000000002E-2</v>
      </c>
      <c r="F370" s="2" t="s">
        <v>4391</v>
      </c>
      <c r="G370" s="2"/>
      <c r="H370" s="2" t="s">
        <v>2779</v>
      </c>
      <c r="I370" s="2" t="s">
        <v>1611</v>
      </c>
    </row>
    <row r="371" spans="1:9" ht="34" customHeight="1">
      <c r="A371" s="2" t="s">
        <v>1272</v>
      </c>
      <c r="B371" s="2" t="s">
        <v>1606</v>
      </c>
      <c r="C371" s="2" t="s">
        <v>222</v>
      </c>
      <c r="D371" s="7">
        <v>2.7</v>
      </c>
      <c r="E371" s="7">
        <v>2.6680000000000001</v>
      </c>
      <c r="F371" s="2" t="s">
        <v>4390</v>
      </c>
      <c r="G371" s="2"/>
      <c r="H371" s="2" t="s">
        <v>2779</v>
      </c>
      <c r="I371" s="2" t="s">
        <v>1611</v>
      </c>
    </row>
    <row r="372" spans="1:9" ht="34" customHeight="1">
      <c r="A372" s="2" t="s">
        <v>1272</v>
      </c>
      <c r="B372" s="2" t="s">
        <v>1613</v>
      </c>
      <c r="C372" s="2" t="s">
        <v>65</v>
      </c>
      <c r="D372" s="7"/>
      <c r="E372" s="20">
        <v>0</v>
      </c>
      <c r="F372" s="2" t="s">
        <v>4391</v>
      </c>
      <c r="G372" s="2" t="s">
        <v>4472</v>
      </c>
      <c r="H372" s="2" t="s">
        <v>2786</v>
      </c>
      <c r="I372" s="2" t="s">
        <v>1615</v>
      </c>
    </row>
    <row r="373" spans="1:9" ht="34" customHeight="1">
      <c r="A373" s="2" t="s">
        <v>1272</v>
      </c>
      <c r="B373" s="2" t="s">
        <v>1631</v>
      </c>
      <c r="C373" s="2" t="s">
        <v>254</v>
      </c>
      <c r="D373" s="7"/>
      <c r="E373" s="7">
        <v>0.3</v>
      </c>
      <c r="F373" s="2" t="s">
        <v>4391</v>
      </c>
      <c r="G373" s="2"/>
      <c r="H373" s="2" t="s">
        <v>2799</v>
      </c>
      <c r="I373" s="2" t="s">
        <v>1636</v>
      </c>
    </row>
    <row r="374" spans="1:9" ht="34" customHeight="1">
      <c r="A374" s="2" t="s">
        <v>1272</v>
      </c>
      <c r="B374" s="2" t="s">
        <v>1631</v>
      </c>
      <c r="C374" s="2" t="s">
        <v>222</v>
      </c>
      <c r="D374" s="7"/>
      <c r="E374" s="7">
        <v>1.85</v>
      </c>
      <c r="F374" s="2" t="s">
        <v>4391</v>
      </c>
      <c r="G374" s="2"/>
      <c r="H374" s="2" t="s">
        <v>2799</v>
      </c>
      <c r="I374" s="2" t="s">
        <v>1636</v>
      </c>
    </row>
    <row r="375" spans="1:9" ht="34" customHeight="1">
      <c r="A375" s="2" t="s">
        <v>1637</v>
      </c>
      <c r="B375" s="2" t="s">
        <v>1644</v>
      </c>
      <c r="C375" s="2" t="s">
        <v>65</v>
      </c>
      <c r="D375" s="7"/>
      <c r="E375" s="20">
        <v>0</v>
      </c>
      <c r="F375" s="2" t="s">
        <v>4391</v>
      </c>
      <c r="G375" s="2" t="s">
        <v>4473</v>
      </c>
      <c r="H375" s="2" t="s">
        <v>2809</v>
      </c>
      <c r="I375" s="2" t="s">
        <v>1647</v>
      </c>
    </row>
    <row r="376" spans="1:9" ht="34" customHeight="1">
      <c r="A376" s="2" t="s">
        <v>1653</v>
      </c>
      <c r="B376" s="2" t="s">
        <v>1654</v>
      </c>
      <c r="C376" s="2" t="s">
        <v>65</v>
      </c>
      <c r="D376" s="7"/>
      <c r="E376" s="20">
        <v>0</v>
      </c>
      <c r="F376" s="2" t="s">
        <v>4391</v>
      </c>
      <c r="G376" s="2" t="s">
        <v>4474</v>
      </c>
      <c r="H376" s="2" t="s">
        <v>2820</v>
      </c>
      <c r="I376" s="2" t="s">
        <v>1657</v>
      </c>
    </row>
    <row r="377" spans="1:9" ht="34" customHeight="1">
      <c r="A377" s="2" t="s">
        <v>1678</v>
      </c>
      <c r="B377" s="2" t="s">
        <v>1679</v>
      </c>
      <c r="C377" s="2" t="s">
        <v>124</v>
      </c>
      <c r="D377" s="7"/>
      <c r="E377" s="7" t="s">
        <v>1680</v>
      </c>
      <c r="F377" s="2" t="s">
        <v>4391</v>
      </c>
      <c r="G377" s="2"/>
      <c r="H377" s="2" t="s">
        <v>2833</v>
      </c>
      <c r="I377" s="2" t="s">
        <v>1685</v>
      </c>
    </row>
    <row r="378" spans="1:9" ht="34" customHeight="1">
      <c r="A378" s="2" t="s">
        <v>1678</v>
      </c>
      <c r="B378" s="2" t="s">
        <v>1679</v>
      </c>
      <c r="C378" s="2" t="s">
        <v>65</v>
      </c>
      <c r="D378" s="7"/>
      <c r="E378" s="7">
        <v>0.3</v>
      </c>
      <c r="F378" s="2" t="s">
        <v>4391</v>
      </c>
      <c r="G378" s="2"/>
      <c r="H378" s="2" t="s">
        <v>2833</v>
      </c>
      <c r="I378" s="2" t="s">
        <v>1685</v>
      </c>
    </row>
    <row r="379" spans="1:9" ht="34" customHeight="1">
      <c r="A379" s="2" t="s">
        <v>1678</v>
      </c>
      <c r="B379" s="2" t="s">
        <v>1679</v>
      </c>
      <c r="C379" s="2" t="s">
        <v>222</v>
      </c>
      <c r="D379" s="7">
        <v>4.4999999999999998E-2</v>
      </c>
      <c r="E379" s="7">
        <v>0.22</v>
      </c>
      <c r="F379" s="2" t="s">
        <v>4390</v>
      </c>
      <c r="G379" s="2"/>
      <c r="H379" s="2" t="s">
        <v>2833</v>
      </c>
      <c r="I379" s="2" t="s">
        <v>1685</v>
      </c>
    </row>
    <row r="380" spans="1:9" ht="34" customHeight="1">
      <c r="A380" s="2" t="s">
        <v>1678</v>
      </c>
      <c r="B380" s="2" t="s">
        <v>1688</v>
      </c>
      <c r="C380" s="2" t="s">
        <v>65</v>
      </c>
      <c r="D380" s="7"/>
      <c r="E380" s="20">
        <v>0</v>
      </c>
      <c r="F380" s="2" t="s">
        <v>4391</v>
      </c>
      <c r="G380" s="2" t="s">
        <v>4475</v>
      </c>
      <c r="H380" s="2" t="s">
        <v>2840</v>
      </c>
      <c r="I380" s="2" t="s">
        <v>1690</v>
      </c>
    </row>
    <row r="381" spans="1:9" ht="34" customHeight="1">
      <c r="A381" s="2" t="s">
        <v>1678</v>
      </c>
      <c r="B381" s="2" t="s">
        <v>1699</v>
      </c>
      <c r="C381" s="2" t="s">
        <v>65</v>
      </c>
      <c r="D381" s="7"/>
      <c r="E381" s="20">
        <v>0</v>
      </c>
      <c r="F381" s="2" t="s">
        <v>4391</v>
      </c>
      <c r="G381" s="2" t="s">
        <v>4476</v>
      </c>
      <c r="H381" s="2" t="s">
        <v>2847</v>
      </c>
      <c r="I381" s="2" t="s">
        <v>1702</v>
      </c>
    </row>
    <row r="382" spans="1:9" ht="37" customHeight="1">
      <c r="A382" s="2" t="s">
        <v>1716</v>
      </c>
      <c r="B382" s="2" t="s">
        <v>1717</v>
      </c>
      <c r="C382" s="2" t="s">
        <v>65</v>
      </c>
      <c r="D382" s="7"/>
      <c r="E382" s="20">
        <v>0</v>
      </c>
      <c r="F382" s="2" t="s">
        <v>4391</v>
      </c>
      <c r="G382" s="2" t="s">
        <v>4477</v>
      </c>
      <c r="H382" s="2" t="s">
        <v>2855</v>
      </c>
      <c r="I382" s="2" t="s">
        <v>1718</v>
      </c>
    </row>
    <row r="383" spans="1:9" ht="37" customHeight="1">
      <c r="A383" s="2" t="s">
        <v>1722</v>
      </c>
      <c r="B383" s="2" t="s">
        <v>1723</v>
      </c>
      <c r="C383" s="2" t="s">
        <v>124</v>
      </c>
      <c r="D383" s="7"/>
      <c r="E383" s="20">
        <v>1</v>
      </c>
      <c r="F383" s="2" t="s">
        <v>4391</v>
      </c>
      <c r="G383" s="2" t="s">
        <v>4478</v>
      </c>
      <c r="H383" s="2" t="s">
        <v>2860</v>
      </c>
      <c r="I383" s="2" t="s">
        <v>1726</v>
      </c>
    </row>
    <row r="384" spans="1:9" ht="37" customHeight="1">
      <c r="A384" s="2" t="s">
        <v>1722</v>
      </c>
      <c r="B384" s="2" t="s">
        <v>1723</v>
      </c>
      <c r="C384" s="2" t="s">
        <v>65</v>
      </c>
      <c r="D384" s="7"/>
      <c r="E384" s="20">
        <v>0</v>
      </c>
      <c r="F384" s="2" t="s">
        <v>4391</v>
      </c>
      <c r="G384" s="2" t="s">
        <v>4479</v>
      </c>
      <c r="H384" s="2" t="s">
        <v>2860</v>
      </c>
      <c r="I384" s="2" t="s">
        <v>1726</v>
      </c>
    </row>
    <row r="385" spans="1:9" ht="37" customHeight="1">
      <c r="A385" s="2" t="s">
        <v>1729</v>
      </c>
      <c r="B385" s="2" t="s">
        <v>1734</v>
      </c>
      <c r="C385" s="2" t="s">
        <v>124</v>
      </c>
      <c r="D385" s="7"/>
      <c r="E385" s="20">
        <v>1</v>
      </c>
      <c r="F385" s="2" t="s">
        <v>4391</v>
      </c>
      <c r="G385" s="2" t="s">
        <v>4480</v>
      </c>
      <c r="H385" s="2" t="s">
        <v>2855</v>
      </c>
      <c r="I385" s="2" t="s">
        <v>1737</v>
      </c>
    </row>
    <row r="386" spans="1:9" ht="37" customHeight="1">
      <c r="A386" s="2" t="s">
        <v>1729</v>
      </c>
      <c r="B386" s="2" t="s">
        <v>1734</v>
      </c>
      <c r="C386" s="2" t="s">
        <v>65</v>
      </c>
      <c r="D386" s="7"/>
      <c r="E386" s="20">
        <v>0</v>
      </c>
      <c r="F386" s="2" t="s">
        <v>4391</v>
      </c>
      <c r="G386" s="2" t="s">
        <v>4477</v>
      </c>
      <c r="H386" s="2" t="s">
        <v>2855</v>
      </c>
      <c r="I386" s="2" t="s">
        <v>1737</v>
      </c>
    </row>
    <row r="387" spans="1:9" ht="37" customHeight="1">
      <c r="A387" s="2" t="s">
        <v>1729</v>
      </c>
      <c r="B387" s="2" t="s">
        <v>1740</v>
      </c>
      <c r="C387" s="2" t="s">
        <v>124</v>
      </c>
      <c r="D387" s="7"/>
      <c r="E387" s="20">
        <v>1</v>
      </c>
      <c r="F387" s="2" t="s">
        <v>4391</v>
      </c>
      <c r="G387" s="2" t="s">
        <v>4480</v>
      </c>
      <c r="H387" s="2" t="s">
        <v>2855</v>
      </c>
      <c r="I387" s="2" t="s">
        <v>1741</v>
      </c>
    </row>
    <row r="388" spans="1:9" ht="37" customHeight="1">
      <c r="A388" s="2" t="s">
        <v>1729</v>
      </c>
      <c r="B388" s="2" t="s">
        <v>1740</v>
      </c>
      <c r="C388" s="2" t="s">
        <v>65</v>
      </c>
      <c r="D388" s="7"/>
      <c r="E388" s="20">
        <v>0</v>
      </c>
      <c r="F388" s="2" t="s">
        <v>4391</v>
      </c>
      <c r="G388" s="2" t="s">
        <v>4477</v>
      </c>
      <c r="H388" s="2" t="s">
        <v>2855</v>
      </c>
      <c r="I388" s="2" t="s">
        <v>1741</v>
      </c>
    </row>
    <row r="389" spans="1:9" ht="37" customHeight="1">
      <c r="A389" s="2" t="s">
        <v>1729</v>
      </c>
      <c r="B389" s="2" t="s">
        <v>1742</v>
      </c>
      <c r="C389" s="2" t="s">
        <v>124</v>
      </c>
      <c r="D389" s="7"/>
      <c r="E389" s="20">
        <v>1</v>
      </c>
      <c r="F389" s="2" t="s">
        <v>4391</v>
      </c>
      <c r="G389" s="2" t="s">
        <v>4428</v>
      </c>
      <c r="H389" s="2" t="s">
        <v>2299</v>
      </c>
      <c r="I389" s="2" t="s">
        <v>1746</v>
      </c>
    </row>
    <row r="390" spans="1:9" ht="37" customHeight="1">
      <c r="A390" s="2" t="s">
        <v>1729</v>
      </c>
      <c r="B390" s="2" t="s">
        <v>1742</v>
      </c>
      <c r="C390" s="2" t="s">
        <v>65</v>
      </c>
      <c r="D390" s="7"/>
      <c r="E390" s="20">
        <v>0</v>
      </c>
      <c r="F390" s="2" t="s">
        <v>4391</v>
      </c>
      <c r="G390" s="2" t="s">
        <v>4429</v>
      </c>
      <c r="H390" s="2" t="s">
        <v>2299</v>
      </c>
      <c r="I390" s="2" t="s">
        <v>1746</v>
      </c>
    </row>
  </sheetData>
  <mergeCells count="2">
    <mergeCell ref="A2:F2"/>
    <mergeCell ref="A1:F1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7F8C"/>
  </sheetPr>
  <dimension ref="A1:I65"/>
  <sheetViews>
    <sheetView showGridLines="0" workbookViewId="0">
      <pane ySplit="3" topLeftCell="A4" activePane="bottomLeft" state="frozen"/>
      <selection pane="bottomLeft"/>
    </sheetView>
  </sheetViews>
  <sheetFormatPr defaultRowHeight="14"/>
  <cols>
    <col min="1" max="3" width="16.25" customWidth="1"/>
    <col min="4" max="4" width="30" customWidth="1"/>
    <col min="5" max="7" width="16.25" customWidth="1"/>
    <col min="8" max="8" width="30.6640625" customWidth="1"/>
    <col min="9" max="9" width="16.25" customWidth="1"/>
  </cols>
  <sheetData>
    <row r="1" spans="1:9" ht="38" customHeight="1">
      <c r="A1" s="34" t="s">
        <v>4481</v>
      </c>
      <c r="B1" s="32"/>
      <c r="C1" s="32"/>
      <c r="D1" s="32"/>
      <c r="E1" s="32"/>
      <c r="F1" s="32"/>
      <c r="G1" s="32"/>
      <c r="H1" s="32"/>
      <c r="I1" s="32"/>
    </row>
    <row r="2" spans="1:9" ht="34" customHeight="1">
      <c r="A2" s="33" t="s">
        <v>4482</v>
      </c>
      <c r="B2" s="32"/>
      <c r="C2" s="32"/>
      <c r="D2" s="32"/>
      <c r="E2" s="32"/>
      <c r="F2" s="32"/>
      <c r="G2" s="32"/>
      <c r="H2" s="32"/>
      <c r="I2" s="32"/>
    </row>
    <row r="3" spans="1:9" ht="16.5">
      <c r="A3" s="1"/>
      <c r="B3" s="1"/>
      <c r="C3" s="1"/>
      <c r="D3" s="1"/>
      <c r="E3" s="1"/>
      <c r="F3" s="1"/>
      <c r="G3" s="1"/>
      <c r="H3" s="1"/>
      <c r="I3" s="1"/>
    </row>
    <row r="4" spans="1:9" ht="16.5">
      <c r="A4" s="22"/>
      <c r="B4" s="22"/>
      <c r="C4" s="22"/>
      <c r="D4" s="22"/>
      <c r="E4" s="22"/>
      <c r="F4" s="22"/>
      <c r="G4" s="22"/>
      <c r="H4" s="22"/>
      <c r="I4" s="22"/>
    </row>
    <row r="5" spans="1:9" ht="39" customHeight="1">
      <c r="A5" s="36" t="s">
        <v>4483</v>
      </c>
      <c r="B5" s="32"/>
      <c r="C5" s="37" t="s">
        <v>4484</v>
      </c>
      <c r="D5" s="32"/>
      <c r="E5" s="32"/>
      <c r="F5" s="32"/>
      <c r="G5" s="32"/>
      <c r="H5" s="32"/>
      <c r="I5" s="32"/>
    </row>
    <row r="6" spans="1:9" ht="39" customHeight="1">
      <c r="A6" s="38" t="s">
        <v>4485</v>
      </c>
      <c r="B6" s="32"/>
      <c r="C6" s="35" t="s">
        <v>4486</v>
      </c>
      <c r="D6" s="32"/>
      <c r="E6" s="32"/>
      <c r="F6" s="32"/>
      <c r="G6" s="32"/>
      <c r="H6" s="32"/>
      <c r="I6" s="32"/>
    </row>
    <row r="7" spans="1:9" ht="39" customHeight="1">
      <c r="A7" s="36" t="s">
        <v>4487</v>
      </c>
      <c r="B7" s="32"/>
      <c r="C7" s="37" t="s">
        <v>4488</v>
      </c>
      <c r="D7" s="32"/>
      <c r="E7" s="32"/>
      <c r="F7" s="32"/>
      <c r="G7" s="32"/>
      <c r="H7" s="32"/>
      <c r="I7" s="32"/>
    </row>
    <row r="8" spans="1:9" ht="39" customHeight="1">
      <c r="A8" s="38" t="s">
        <v>4489</v>
      </c>
      <c r="B8" s="32"/>
      <c r="C8" s="35" t="s">
        <v>4490</v>
      </c>
      <c r="D8" s="32"/>
      <c r="E8" s="32"/>
      <c r="F8" s="32"/>
      <c r="G8" s="32"/>
      <c r="H8" s="32"/>
      <c r="I8" s="32"/>
    </row>
    <row r="9" spans="1:9" ht="39" customHeight="1">
      <c r="A9" s="36" t="s">
        <v>4491</v>
      </c>
      <c r="B9" s="32"/>
      <c r="C9" s="37" t="s">
        <v>4492</v>
      </c>
      <c r="D9" s="32"/>
      <c r="E9" s="32"/>
      <c r="F9" s="32"/>
      <c r="G9" s="32"/>
      <c r="H9" s="32"/>
      <c r="I9" s="32"/>
    </row>
    <row r="10" spans="1:9" ht="39" customHeight="1">
      <c r="A10" s="38" t="s">
        <v>18</v>
      </c>
      <c r="B10" s="32"/>
      <c r="C10" s="35" t="s">
        <v>4493</v>
      </c>
      <c r="D10" s="32"/>
      <c r="E10" s="32"/>
      <c r="F10" s="32"/>
      <c r="G10" s="32"/>
      <c r="H10" s="32"/>
      <c r="I10" s="32"/>
    </row>
    <row r="11" spans="1:9" ht="39" customHeight="1">
      <c r="A11" s="36" t="s">
        <v>4494</v>
      </c>
      <c r="B11" s="32"/>
      <c r="C11" s="37" t="s">
        <v>4495</v>
      </c>
      <c r="D11" s="32"/>
      <c r="E11" s="32"/>
      <c r="F11" s="32"/>
      <c r="G11" s="32"/>
      <c r="H11" s="32"/>
      <c r="I11" s="32"/>
    </row>
    <row r="12" spans="1:9" ht="39" customHeight="1">
      <c r="A12" s="38" t="s">
        <v>4496</v>
      </c>
      <c r="B12" s="32"/>
      <c r="C12" s="35" t="s">
        <v>4497</v>
      </c>
      <c r="D12" s="32"/>
      <c r="E12" s="32"/>
      <c r="F12" s="32"/>
      <c r="G12" s="32"/>
      <c r="H12" s="32"/>
      <c r="I12" s="32"/>
    </row>
    <row r="13" spans="1:9" ht="39" customHeight="1">
      <c r="A13" s="36" t="s">
        <v>4498</v>
      </c>
      <c r="B13" s="32"/>
      <c r="C13" s="37" t="s">
        <v>4499</v>
      </c>
      <c r="D13" s="32"/>
      <c r="E13" s="32"/>
      <c r="F13" s="32"/>
      <c r="G13" s="32"/>
      <c r="H13" s="32"/>
      <c r="I13" s="32"/>
    </row>
    <row r="14" spans="1:9" ht="16.5">
      <c r="A14" s="26"/>
      <c r="B14" s="26"/>
      <c r="C14" s="26"/>
      <c r="D14" s="26"/>
      <c r="E14" s="26"/>
      <c r="F14" s="26"/>
      <c r="G14" s="26"/>
      <c r="H14" s="26"/>
      <c r="I14" s="26"/>
    </row>
    <row r="15" spans="1:9" ht="16.5">
      <c r="A15" s="26"/>
      <c r="B15" s="26"/>
      <c r="C15" s="26"/>
      <c r="D15" s="26"/>
      <c r="E15" s="26"/>
      <c r="F15" s="26"/>
      <c r="G15" s="26"/>
      <c r="H15" s="26"/>
      <c r="I15" s="26"/>
    </row>
    <row r="16" spans="1:9" ht="32" customHeight="1">
      <c r="A16" s="27" t="s">
        <v>4500</v>
      </c>
      <c r="B16" s="27" t="s">
        <v>4501</v>
      </c>
      <c r="C16" s="26"/>
      <c r="D16" s="27" t="s">
        <v>3</v>
      </c>
      <c r="E16" s="27" t="s">
        <v>4502</v>
      </c>
      <c r="F16" s="27" t="s">
        <v>4503</v>
      </c>
      <c r="G16" s="26"/>
      <c r="H16" s="27" t="s">
        <v>18</v>
      </c>
      <c r="I16" s="27" t="s">
        <v>4502</v>
      </c>
    </row>
    <row r="17" spans="1:9" ht="36" customHeight="1">
      <c r="A17" s="28" t="s">
        <v>4504</v>
      </c>
      <c r="B17" s="28">
        <f>COUNTA(装置总览!B6:B315)</f>
        <v>310</v>
      </c>
      <c r="C17" s="28"/>
      <c r="D17" s="29" t="s">
        <v>26</v>
      </c>
      <c r="E17" s="29">
        <v>28</v>
      </c>
      <c r="F17" s="29">
        <v>20</v>
      </c>
      <c r="G17" s="28"/>
      <c r="H17" s="29" t="s">
        <v>35</v>
      </c>
      <c r="I17" s="29">
        <v>40</v>
      </c>
    </row>
    <row r="18" spans="1:9" ht="36" customHeight="1">
      <c r="A18" s="28" t="s">
        <v>4505</v>
      </c>
      <c r="B18" s="28">
        <f>COUNTIF(装置总览!L6:L315,"&gt;0")</f>
        <v>0</v>
      </c>
      <c r="C18" s="28"/>
      <c r="D18" s="29" t="s">
        <v>217</v>
      </c>
      <c r="E18" s="29">
        <v>1</v>
      </c>
      <c r="F18" s="29">
        <v>0</v>
      </c>
      <c r="G18" s="28"/>
      <c r="H18" s="29" t="s">
        <v>45</v>
      </c>
      <c r="I18" s="29">
        <v>181</v>
      </c>
    </row>
    <row r="19" spans="1:9" ht="36" customHeight="1">
      <c r="A19" s="28" t="s">
        <v>4506</v>
      </c>
      <c r="B19" s="28">
        <f>COUNTIF(装置总览!L6:L315,5)</f>
        <v>0</v>
      </c>
      <c r="C19" s="28"/>
      <c r="D19" s="29" t="s">
        <v>224</v>
      </c>
      <c r="E19" s="29">
        <v>51</v>
      </c>
      <c r="F19" s="29">
        <v>20</v>
      </c>
      <c r="G19" s="28"/>
      <c r="H19" s="29" t="s">
        <v>54</v>
      </c>
      <c r="I19" s="29">
        <v>2</v>
      </c>
    </row>
    <row r="20" spans="1:9" ht="36" customHeight="1">
      <c r="A20" s="28" t="s">
        <v>4507</v>
      </c>
      <c r="B20" s="28">
        <f>COUNTBLANK(装置总览!C6:C315)</f>
        <v>8</v>
      </c>
      <c r="C20" s="28"/>
      <c r="D20" s="29" t="s">
        <v>462</v>
      </c>
      <c r="E20" s="29">
        <v>9</v>
      </c>
      <c r="F20" s="29">
        <v>6</v>
      </c>
      <c r="G20" s="28"/>
      <c r="H20" s="29" t="s">
        <v>122</v>
      </c>
      <c r="I20" s="29">
        <v>54</v>
      </c>
    </row>
    <row r="21" spans="1:9" ht="36" customHeight="1">
      <c r="A21" s="28" t="s">
        <v>4508</v>
      </c>
      <c r="B21" s="28">
        <f>COUNTBLANK(装置总览!D6:D315)</f>
        <v>19</v>
      </c>
      <c r="C21" s="28"/>
      <c r="D21" s="29" t="s">
        <v>510</v>
      </c>
      <c r="E21" s="29">
        <v>8</v>
      </c>
      <c r="F21" s="29">
        <v>6</v>
      </c>
      <c r="G21" s="28"/>
      <c r="H21" s="29" t="s">
        <v>130</v>
      </c>
      <c r="I21" s="29">
        <v>11</v>
      </c>
    </row>
    <row r="22" spans="1:9" ht="36" customHeight="1">
      <c r="A22" s="28" t="s">
        <v>4509</v>
      </c>
      <c r="B22" s="28">
        <f>COUNTBLANK(装置总览!E6:E315)</f>
        <v>62</v>
      </c>
      <c r="C22" s="28"/>
      <c r="D22" s="29" t="s">
        <v>556</v>
      </c>
      <c r="E22" s="29">
        <v>1</v>
      </c>
      <c r="F22" s="29">
        <v>1</v>
      </c>
      <c r="G22" s="28"/>
      <c r="H22" s="29" t="s">
        <v>190</v>
      </c>
      <c r="I22" s="29">
        <v>14</v>
      </c>
    </row>
    <row r="23" spans="1:9" ht="36" customHeight="1">
      <c r="A23" s="28" t="s">
        <v>4510</v>
      </c>
      <c r="B23" s="28">
        <f>COUNTBLANK(装置总览!F6:F315)</f>
        <v>101</v>
      </c>
      <c r="C23" s="28"/>
      <c r="D23" s="29" t="s">
        <v>565</v>
      </c>
      <c r="E23" s="29">
        <v>6</v>
      </c>
      <c r="F23" s="29">
        <v>0</v>
      </c>
      <c r="G23" s="28"/>
      <c r="H23" s="29" t="s">
        <v>576</v>
      </c>
      <c r="I23" s="29">
        <v>1</v>
      </c>
    </row>
    <row r="24" spans="1:9" ht="36" customHeight="1">
      <c r="A24" s="28" t="s">
        <v>4511</v>
      </c>
      <c r="B24" s="28">
        <f>COUNTBLANK(装置总览!G6:G315)</f>
        <v>21</v>
      </c>
      <c r="C24" s="28"/>
      <c r="D24" s="29" t="s">
        <v>599</v>
      </c>
      <c r="E24" s="29">
        <v>4</v>
      </c>
      <c r="F24" s="29">
        <v>3</v>
      </c>
      <c r="G24" s="28"/>
      <c r="H24" s="29" t="s">
        <v>598</v>
      </c>
      <c r="I24" s="29">
        <v>1</v>
      </c>
    </row>
    <row r="25" spans="1:9" ht="36" customHeight="1">
      <c r="A25" s="24"/>
      <c r="B25" s="24"/>
      <c r="C25" s="24"/>
      <c r="D25" s="25" t="s">
        <v>626</v>
      </c>
      <c r="E25" s="25">
        <v>1</v>
      </c>
      <c r="F25" s="25">
        <v>1</v>
      </c>
      <c r="G25" s="24"/>
      <c r="H25" s="25" t="s">
        <v>633</v>
      </c>
      <c r="I25" s="25">
        <v>2</v>
      </c>
    </row>
    <row r="26" spans="1:9" ht="36" customHeight="1">
      <c r="A26" s="24"/>
      <c r="B26" s="24"/>
      <c r="C26" s="24"/>
      <c r="D26" s="25" t="s">
        <v>635</v>
      </c>
      <c r="E26" s="25">
        <v>1</v>
      </c>
      <c r="F26" s="25">
        <v>1</v>
      </c>
      <c r="G26" s="24"/>
      <c r="H26" s="25" t="s">
        <v>778</v>
      </c>
      <c r="I26" s="25">
        <v>1</v>
      </c>
    </row>
    <row r="27" spans="1:9" ht="32" customHeight="1">
      <c r="A27" s="23" t="s">
        <v>4512</v>
      </c>
      <c r="B27" s="23" t="s">
        <v>4501</v>
      </c>
      <c r="C27" s="24"/>
      <c r="D27" s="25" t="s">
        <v>640</v>
      </c>
      <c r="E27" s="25">
        <v>48</v>
      </c>
      <c r="F27" s="25">
        <v>38</v>
      </c>
      <c r="G27" s="24"/>
      <c r="H27" s="25" t="s">
        <v>868</v>
      </c>
      <c r="I27" s="25">
        <v>1</v>
      </c>
    </row>
    <row r="28" spans="1:9" ht="36" customHeight="1">
      <c r="A28" s="25" t="s">
        <v>4513</v>
      </c>
      <c r="B28" s="25">
        <v>294</v>
      </c>
      <c r="C28" s="24"/>
      <c r="D28" s="25" t="s">
        <v>869</v>
      </c>
      <c r="E28" s="25">
        <v>1</v>
      </c>
      <c r="F28" s="25">
        <v>1</v>
      </c>
      <c r="G28" s="24"/>
      <c r="H28" s="24" t="s">
        <v>974</v>
      </c>
      <c r="I28" s="24">
        <v>1</v>
      </c>
    </row>
    <row r="29" spans="1:9" ht="36" customHeight="1">
      <c r="A29" s="25" t="s">
        <v>4514</v>
      </c>
      <c r="B29" s="25">
        <v>99</v>
      </c>
      <c r="C29" s="24"/>
      <c r="D29" s="25" t="s">
        <v>874</v>
      </c>
      <c r="E29" s="25">
        <v>16</v>
      </c>
      <c r="F29" s="25">
        <v>13</v>
      </c>
      <c r="G29" s="24"/>
      <c r="H29" s="24" t="s">
        <v>1112</v>
      </c>
      <c r="I29" s="24">
        <v>1</v>
      </c>
    </row>
    <row r="30" spans="1:9" ht="36" customHeight="1">
      <c r="A30" s="25" t="s">
        <v>4515</v>
      </c>
      <c r="B30" s="25">
        <v>195</v>
      </c>
      <c r="C30" s="24"/>
      <c r="D30" s="25" t="s">
        <v>977</v>
      </c>
      <c r="E30" s="25">
        <v>9</v>
      </c>
      <c r="F30" s="25">
        <v>9</v>
      </c>
      <c r="G30" s="24"/>
      <c r="H30" s="24"/>
      <c r="I30" s="24"/>
    </row>
    <row r="31" spans="1:9" ht="36" customHeight="1">
      <c r="A31" s="25" t="s">
        <v>4516</v>
      </c>
      <c r="B31" s="25">
        <v>89</v>
      </c>
      <c r="C31" s="24"/>
      <c r="D31" s="25" t="s">
        <v>1021</v>
      </c>
      <c r="E31" s="25">
        <v>6</v>
      </c>
      <c r="F31" s="25">
        <v>6</v>
      </c>
      <c r="G31" s="24"/>
      <c r="H31" s="24"/>
      <c r="I31" s="24"/>
    </row>
    <row r="32" spans="1:9" ht="36" customHeight="1">
      <c r="A32" s="25" t="s">
        <v>4517</v>
      </c>
      <c r="B32" s="25">
        <v>114</v>
      </c>
      <c r="C32" s="24"/>
      <c r="D32" s="25" t="s">
        <v>1055</v>
      </c>
      <c r="E32" s="25">
        <v>11</v>
      </c>
      <c r="F32" s="25">
        <v>9</v>
      </c>
      <c r="G32" s="24"/>
      <c r="H32" s="24"/>
      <c r="I32" s="24"/>
    </row>
    <row r="33" spans="1:9" ht="36" customHeight="1">
      <c r="A33" s="25" t="s">
        <v>4518</v>
      </c>
      <c r="B33" s="25">
        <v>57</v>
      </c>
      <c r="C33" s="24"/>
      <c r="D33" s="25" t="s">
        <v>1123</v>
      </c>
      <c r="E33" s="25">
        <v>2</v>
      </c>
      <c r="F33" s="25">
        <v>2</v>
      </c>
      <c r="G33" s="24"/>
      <c r="H33" s="24"/>
      <c r="I33" s="24"/>
    </row>
    <row r="34" spans="1:9" ht="36" customHeight="1">
      <c r="A34" s="25" t="s">
        <v>4519</v>
      </c>
      <c r="B34" s="25">
        <v>4</v>
      </c>
      <c r="C34" s="24"/>
      <c r="D34" s="25" t="s">
        <v>1134</v>
      </c>
      <c r="E34" s="25">
        <v>4</v>
      </c>
      <c r="F34" s="25">
        <v>4</v>
      </c>
      <c r="G34" s="24"/>
      <c r="H34" s="24"/>
      <c r="I34" s="24"/>
    </row>
    <row r="35" spans="1:9" ht="27" customHeight="1">
      <c r="A35" s="24"/>
      <c r="B35" s="24"/>
      <c r="C35" s="24"/>
      <c r="D35" s="25" t="s">
        <v>1161</v>
      </c>
      <c r="E35" s="25">
        <v>2</v>
      </c>
      <c r="F35" s="25">
        <v>2</v>
      </c>
      <c r="G35" s="24"/>
      <c r="H35" s="24"/>
      <c r="I35" s="24"/>
    </row>
    <row r="36" spans="1:9" ht="27" customHeight="1">
      <c r="A36" s="24"/>
      <c r="B36" s="24"/>
      <c r="C36" s="24"/>
      <c r="D36" s="25" t="s">
        <v>1176</v>
      </c>
      <c r="E36" s="25">
        <v>1</v>
      </c>
      <c r="F36" s="25">
        <v>1</v>
      </c>
      <c r="G36" s="24"/>
      <c r="H36" s="24"/>
      <c r="I36" s="24"/>
    </row>
    <row r="37" spans="1:9" ht="27" customHeight="1">
      <c r="A37" s="24"/>
      <c r="B37" s="24"/>
      <c r="C37" s="24"/>
      <c r="D37" s="25" t="s">
        <v>1183</v>
      </c>
      <c r="E37" s="25">
        <v>2</v>
      </c>
      <c r="F37" s="25">
        <v>2</v>
      </c>
      <c r="G37" s="24"/>
      <c r="H37" s="24"/>
      <c r="I37" s="24"/>
    </row>
    <row r="38" spans="1:9" ht="27" customHeight="1">
      <c r="A38" s="24"/>
      <c r="B38" s="24"/>
      <c r="C38" s="24"/>
      <c r="D38" s="25" t="s">
        <v>1198</v>
      </c>
      <c r="E38" s="25">
        <v>1</v>
      </c>
      <c r="F38" s="25">
        <v>1</v>
      </c>
      <c r="G38" s="24"/>
      <c r="H38" s="24"/>
      <c r="I38" s="24"/>
    </row>
    <row r="39" spans="1:9" ht="27" customHeight="1">
      <c r="A39" s="24"/>
      <c r="B39" s="24"/>
      <c r="C39" s="24"/>
      <c r="D39" s="25" t="s">
        <v>1204</v>
      </c>
      <c r="E39" s="25">
        <v>2</v>
      </c>
      <c r="F39" s="25">
        <v>1</v>
      </c>
      <c r="G39" s="24"/>
      <c r="H39" s="24"/>
      <c r="I39" s="24"/>
    </row>
    <row r="40" spans="1:9" ht="27" customHeight="1">
      <c r="A40" s="24"/>
      <c r="B40" s="24"/>
      <c r="C40" s="24"/>
      <c r="D40" s="25" t="s">
        <v>1217</v>
      </c>
      <c r="E40" s="25">
        <v>2</v>
      </c>
      <c r="F40" s="25">
        <v>2</v>
      </c>
      <c r="G40" s="24"/>
      <c r="H40" s="24"/>
      <c r="I40" s="24"/>
    </row>
    <row r="41" spans="1:9" ht="40" customHeight="1">
      <c r="A41" s="24"/>
      <c r="B41" s="24"/>
      <c r="C41" s="24"/>
      <c r="D41" s="25" t="s">
        <v>1225</v>
      </c>
      <c r="E41" s="25">
        <v>1</v>
      </c>
      <c r="F41" s="25">
        <v>1</v>
      </c>
      <c r="G41" s="24"/>
      <c r="H41" s="24"/>
      <c r="I41" s="24"/>
    </row>
    <row r="42" spans="1:9" ht="27" customHeight="1">
      <c r="A42" s="24"/>
      <c r="B42" s="24"/>
      <c r="C42" s="24"/>
      <c r="D42" s="25" t="s">
        <v>1232</v>
      </c>
      <c r="E42" s="25">
        <v>6</v>
      </c>
      <c r="F42" s="25">
        <v>6</v>
      </c>
      <c r="G42" s="24"/>
      <c r="H42" s="24"/>
      <c r="I42" s="24"/>
    </row>
    <row r="43" spans="1:9" ht="27" customHeight="1">
      <c r="A43" s="24"/>
      <c r="B43" s="24"/>
      <c r="C43" s="24"/>
      <c r="D43" s="25" t="s">
        <v>1266</v>
      </c>
      <c r="E43" s="25">
        <v>1</v>
      </c>
      <c r="F43" s="25">
        <v>0</v>
      </c>
      <c r="G43" s="24"/>
      <c r="H43" s="24"/>
      <c r="I43" s="24"/>
    </row>
    <row r="44" spans="1:9" ht="27" customHeight="1">
      <c r="A44" s="24"/>
      <c r="B44" s="24"/>
      <c r="C44" s="24"/>
      <c r="D44" s="25" t="s">
        <v>1272</v>
      </c>
      <c r="E44" s="25">
        <v>66</v>
      </c>
      <c r="F44" s="25">
        <v>37</v>
      </c>
      <c r="G44" s="24"/>
      <c r="H44" s="24"/>
      <c r="I44" s="24"/>
    </row>
    <row r="45" spans="1:9" ht="27" customHeight="1">
      <c r="A45" s="24"/>
      <c r="B45" s="24"/>
      <c r="C45" s="24"/>
      <c r="D45" s="25" t="s">
        <v>1637</v>
      </c>
      <c r="E45" s="25">
        <v>3</v>
      </c>
      <c r="F45" s="25">
        <v>1</v>
      </c>
      <c r="G45" s="24"/>
      <c r="H45" s="24"/>
      <c r="I45" s="24"/>
    </row>
    <row r="46" spans="1:9" ht="27" customHeight="1">
      <c r="A46" s="24"/>
      <c r="B46" s="24"/>
      <c r="C46" s="24"/>
      <c r="D46" s="25" t="s">
        <v>1653</v>
      </c>
      <c r="E46" s="25">
        <v>4</v>
      </c>
      <c r="F46" s="25">
        <v>1</v>
      </c>
      <c r="G46" s="24"/>
      <c r="H46" s="24"/>
      <c r="I46" s="24"/>
    </row>
    <row r="47" spans="1:9" ht="27" customHeight="1">
      <c r="A47" s="24"/>
      <c r="B47" s="24"/>
      <c r="C47" s="24"/>
      <c r="D47" s="25" t="s">
        <v>1678</v>
      </c>
      <c r="E47" s="25">
        <v>4</v>
      </c>
      <c r="F47" s="25">
        <v>3</v>
      </c>
      <c r="G47" s="24"/>
      <c r="H47" s="24"/>
      <c r="I47" s="24"/>
    </row>
    <row r="48" spans="1:9" ht="27" customHeight="1">
      <c r="A48" s="24"/>
      <c r="B48" s="24"/>
      <c r="C48" s="24"/>
      <c r="D48" s="25" t="s">
        <v>1705</v>
      </c>
      <c r="E48" s="25">
        <v>1</v>
      </c>
      <c r="F48" s="25">
        <v>0</v>
      </c>
      <c r="G48" s="24"/>
      <c r="H48" s="24"/>
      <c r="I48" s="24"/>
    </row>
    <row r="49" spans="1:9" ht="27" customHeight="1">
      <c r="A49" s="24"/>
      <c r="B49" s="24"/>
      <c r="C49" s="24"/>
      <c r="D49" s="25" t="s">
        <v>1711</v>
      </c>
      <c r="E49" s="25">
        <v>1</v>
      </c>
      <c r="F49" s="25">
        <v>0</v>
      </c>
      <c r="G49" s="24"/>
      <c r="H49" s="24"/>
      <c r="I49" s="24"/>
    </row>
    <row r="50" spans="1:9" ht="27" customHeight="1">
      <c r="A50" s="24"/>
      <c r="B50" s="24"/>
      <c r="C50" s="24"/>
      <c r="D50" s="25" t="s">
        <v>1716</v>
      </c>
      <c r="E50" s="25">
        <v>1</v>
      </c>
      <c r="F50" s="25">
        <v>1</v>
      </c>
      <c r="G50" s="24"/>
      <c r="H50" s="24"/>
      <c r="I50" s="24"/>
    </row>
    <row r="51" spans="1:9" ht="27" customHeight="1">
      <c r="A51" s="24"/>
      <c r="B51" s="24"/>
      <c r="C51" s="24"/>
      <c r="D51" s="25" t="s">
        <v>1722</v>
      </c>
      <c r="E51" s="25">
        <v>1</v>
      </c>
      <c r="F51" s="25">
        <v>1</v>
      </c>
      <c r="G51" s="24"/>
      <c r="H51" s="24"/>
      <c r="I51" s="24"/>
    </row>
    <row r="52" spans="1:9" ht="27" customHeight="1">
      <c r="A52" s="24"/>
      <c r="B52" s="24"/>
      <c r="C52" s="24"/>
      <c r="D52" s="25" t="s">
        <v>1729</v>
      </c>
      <c r="E52" s="25">
        <v>4</v>
      </c>
      <c r="F52" s="25">
        <v>3</v>
      </c>
      <c r="G52" s="24"/>
      <c r="H52" s="24"/>
      <c r="I52" s="24"/>
    </row>
    <row r="53" spans="1:9" ht="15">
      <c r="A53" s="24"/>
      <c r="B53" s="24"/>
      <c r="C53" s="24"/>
      <c r="D53" s="24"/>
      <c r="E53" s="24"/>
      <c r="F53" s="24"/>
      <c r="G53" s="24"/>
      <c r="H53" s="24"/>
      <c r="I53" s="24"/>
    </row>
    <row r="54" spans="1:9" ht="27.5">
      <c r="A54" s="30" t="s">
        <v>4520</v>
      </c>
      <c r="B54" s="24"/>
      <c r="C54" s="24"/>
      <c r="D54" s="24"/>
      <c r="E54" s="24"/>
      <c r="F54" s="24"/>
      <c r="G54" s="24"/>
      <c r="H54" s="24"/>
      <c r="I54" s="24"/>
    </row>
    <row r="55" spans="1:9" ht="15">
      <c r="A55" s="24" t="s">
        <v>4521</v>
      </c>
      <c r="B55" s="24"/>
      <c r="C55" s="24"/>
      <c r="D55" s="24"/>
      <c r="E55" s="24"/>
      <c r="F55" s="24"/>
      <c r="G55" s="24"/>
      <c r="H55" s="24"/>
      <c r="I55" s="24"/>
    </row>
    <row r="56" spans="1:9" ht="15">
      <c r="A56" s="24" t="s">
        <v>4522</v>
      </c>
      <c r="B56" s="24"/>
      <c r="C56" s="24"/>
      <c r="D56" s="24"/>
      <c r="E56" s="24"/>
      <c r="F56" s="24"/>
      <c r="G56" s="24"/>
      <c r="H56" s="24"/>
      <c r="I56" s="24"/>
    </row>
    <row r="57" spans="1:9" ht="15">
      <c r="A57" s="24" t="s">
        <v>4523</v>
      </c>
      <c r="B57" s="24"/>
      <c r="C57" s="24"/>
      <c r="D57" s="24"/>
      <c r="E57" s="24"/>
      <c r="F57" s="24"/>
      <c r="G57" s="24"/>
      <c r="H57" s="24"/>
      <c r="I57" s="24"/>
    </row>
    <row r="58" spans="1:9" ht="15">
      <c r="A58" s="24"/>
      <c r="B58" s="24"/>
      <c r="C58" s="24"/>
      <c r="D58" s="24"/>
      <c r="E58" s="24"/>
      <c r="F58" s="24"/>
      <c r="G58" s="24"/>
      <c r="H58" s="24"/>
      <c r="I58" s="24"/>
    </row>
    <row r="59" spans="1:9" ht="15">
      <c r="A59" s="24"/>
      <c r="B59" s="24"/>
      <c r="C59" s="24"/>
      <c r="D59" s="24"/>
      <c r="E59" s="24"/>
      <c r="F59" s="24"/>
      <c r="G59" s="24"/>
      <c r="H59" s="24"/>
      <c r="I59" s="24"/>
    </row>
    <row r="60" spans="1:9" ht="15">
      <c r="A60" s="24"/>
      <c r="B60" s="24"/>
      <c r="C60" s="24"/>
      <c r="D60" s="24"/>
      <c r="E60" s="24"/>
      <c r="F60" s="24"/>
      <c r="G60" s="24"/>
      <c r="H60" s="24"/>
      <c r="I60" s="24"/>
    </row>
    <row r="61" spans="1:9" ht="16.5">
      <c r="A61" s="22"/>
      <c r="B61" s="22"/>
      <c r="C61" s="22"/>
      <c r="D61" s="22"/>
      <c r="E61" s="22"/>
      <c r="F61" s="22"/>
      <c r="G61" s="22"/>
      <c r="H61" s="22"/>
      <c r="I61" s="22"/>
    </row>
    <row r="62" spans="1:9" ht="16.5">
      <c r="A62" s="22"/>
      <c r="B62" s="22"/>
      <c r="C62" s="22"/>
      <c r="D62" s="22"/>
      <c r="E62" s="22"/>
      <c r="F62" s="22"/>
      <c r="G62" s="22"/>
      <c r="H62" s="22"/>
      <c r="I62" s="22"/>
    </row>
    <row r="63" spans="1:9" ht="16.5">
      <c r="A63" s="22"/>
      <c r="B63" s="22"/>
      <c r="C63" s="22"/>
      <c r="D63" s="22"/>
      <c r="E63" s="22"/>
      <c r="F63" s="22"/>
      <c r="G63" s="22"/>
      <c r="H63" s="22"/>
      <c r="I63" s="22"/>
    </row>
    <row r="64" spans="1:9" ht="16.5">
      <c r="A64" s="22"/>
      <c r="B64" s="22"/>
      <c r="C64" s="22"/>
      <c r="D64" s="22"/>
      <c r="E64" s="22"/>
      <c r="F64" s="22"/>
      <c r="G64" s="22"/>
      <c r="H64" s="22"/>
      <c r="I64" s="22"/>
    </row>
    <row r="65" spans="1:9" ht="16.5">
      <c r="A65" s="22"/>
      <c r="B65" s="22"/>
      <c r="C65" s="22"/>
      <c r="D65" s="22"/>
      <c r="E65" s="22"/>
      <c r="F65" s="22"/>
      <c r="G65" s="22"/>
      <c r="H65" s="22"/>
      <c r="I65" s="22"/>
    </row>
  </sheetData>
  <mergeCells count="20">
    <mergeCell ref="C8:I8"/>
    <mergeCell ref="C7:I7"/>
    <mergeCell ref="A6:B6"/>
    <mergeCell ref="C13:I13"/>
    <mergeCell ref="A1:I1"/>
    <mergeCell ref="C12:I12"/>
    <mergeCell ref="A13:B13"/>
    <mergeCell ref="A9:B9"/>
    <mergeCell ref="C11:I11"/>
    <mergeCell ref="A2:I2"/>
    <mergeCell ref="A7:B7"/>
    <mergeCell ref="C6:I6"/>
    <mergeCell ref="C5:I5"/>
    <mergeCell ref="A12:B12"/>
    <mergeCell ref="A5:B5"/>
    <mergeCell ref="C10:I10"/>
    <mergeCell ref="A8:B8"/>
    <mergeCell ref="C9:I9"/>
    <mergeCell ref="A10:B10"/>
    <mergeCell ref="A11:B1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装置总览</vt:lpstr>
      <vt:lpstr>参数证据明细</vt:lpstr>
      <vt:lpstr>来源文献</vt:lpstr>
      <vt:lpstr>缺失与待核实</vt:lpstr>
      <vt:lpstr>本轮补缺与修订</vt:lpstr>
      <vt:lpstr>调研说明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星宇 李</cp:lastModifiedBy>
  <dcterms:created xsi:type="dcterms:W3CDTF">2026-09-14T03:37:55Z</dcterms:created>
  <dcterms:modified xsi:type="dcterms:W3CDTF">2026-09-14T08:04:09Z</dcterms:modified>
</cp:coreProperties>
</file>